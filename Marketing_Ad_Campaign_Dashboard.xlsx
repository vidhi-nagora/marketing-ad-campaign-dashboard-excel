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uney\DATA ANALYST\Global Ads Excel Project\"/>
    </mc:Choice>
  </mc:AlternateContent>
  <xr:revisionPtr revIDLastSave="0" documentId="13_ncr:1_{AE321456-63B2-4BA6-928E-2FB1619D622F}" xr6:coauthVersionLast="47" xr6:coauthVersionMax="47" xr10:uidLastSave="{00000000-0000-0000-0000-000000000000}"/>
  <bookViews>
    <workbookView xWindow="0" yWindow="0" windowWidth="21600" windowHeight="12780" activeTab="4" xr2:uid="{00000000-000D-0000-FFFF-FFFF00000000}"/>
  </bookViews>
  <sheets>
    <sheet name="Raw_Data " sheetId="3" r:id="rId1"/>
    <sheet name="Cleaned_Data" sheetId="1" r:id="rId2"/>
    <sheet name="Pivot_Analysis" sheetId="2" r:id="rId3"/>
    <sheet name="Dashboard" sheetId="4" r:id="rId4"/>
    <sheet name="Insights" sheetId="6" r:id="rId5"/>
  </sheets>
  <definedNames>
    <definedName name="_xlnm._FilterDatabase" localSheetId="1" hidden="1">Cleaned_Data!$A$1:$J$1801</definedName>
    <definedName name="_xlnm._FilterDatabase" localSheetId="0" hidden="1">'Raw_Data '!$A$1:$J$1801</definedName>
    <definedName name="Slicer_campaign_type">#N/A</definedName>
    <definedName name="Slicer_country">#N/A</definedName>
    <definedName name="Slicer_industry">#N/A</definedName>
    <definedName name="Slicer_platform">#N/A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2" i="1"/>
  <c r="B5" i="4"/>
  <c r="R5" i="4"/>
  <c r="N5" i="4"/>
  <c r="J5" i="4"/>
  <c r="F5" i="4"/>
</calcChain>
</file>

<file path=xl/sharedStrings.xml><?xml version="1.0" encoding="utf-8"?>
<sst xmlns="http://schemas.openxmlformats.org/spreadsheetml/2006/main" count="16415" uniqueCount="446">
  <si>
    <t>date</t>
  </si>
  <si>
    <t>platform</t>
  </si>
  <si>
    <t>campaign_type</t>
  </si>
  <si>
    <t>industry</t>
  </si>
  <si>
    <t>country</t>
  </si>
  <si>
    <t>impressions</t>
  </si>
  <si>
    <t>clicks</t>
  </si>
  <si>
    <t>CTR</t>
  </si>
  <si>
    <t>CPC</t>
  </si>
  <si>
    <t>ad_spend</t>
  </si>
  <si>
    <t>conversions</t>
  </si>
  <si>
    <t>CPA</t>
  </si>
  <si>
    <t>revenue</t>
  </si>
  <si>
    <t>ROAS</t>
  </si>
  <si>
    <t>2024-01-21</t>
  </si>
  <si>
    <t>Google Ads</t>
  </si>
  <si>
    <t>Search</t>
  </si>
  <si>
    <t>Fintech</t>
  </si>
  <si>
    <t>UAE</t>
  </si>
  <si>
    <t>2024-01-22</t>
  </si>
  <si>
    <t>TikTok Ads</t>
  </si>
  <si>
    <t>EdTech</t>
  </si>
  <si>
    <t>UK</t>
  </si>
  <si>
    <t>2024-06-15</t>
  </si>
  <si>
    <t>Video</t>
  </si>
  <si>
    <t>Healthcare</t>
  </si>
  <si>
    <t>USA</t>
  </si>
  <si>
    <t>2024-01-02</t>
  </si>
  <si>
    <t>Shopping</t>
  </si>
  <si>
    <t>SaaS</t>
  </si>
  <si>
    <t>Germany</t>
  </si>
  <si>
    <t>2024-02-22</t>
  </si>
  <si>
    <t>2024-10-15</t>
  </si>
  <si>
    <t>Canada</t>
  </si>
  <si>
    <t>2024-08-14</t>
  </si>
  <si>
    <t>Meta Ads</t>
  </si>
  <si>
    <t>2024-04-05</t>
  </si>
  <si>
    <t>2024-04-17</t>
  </si>
  <si>
    <t>Display</t>
  </si>
  <si>
    <t>2024-11-13</t>
  </si>
  <si>
    <t>2024-04-22</t>
  </si>
  <si>
    <t>E-commerce</t>
  </si>
  <si>
    <t>2024-09-11</t>
  </si>
  <si>
    <t>2024-05-26</t>
  </si>
  <si>
    <t>2024-02-29</t>
  </si>
  <si>
    <t>2024-08-13</t>
  </si>
  <si>
    <t>2024-08-20</t>
  </si>
  <si>
    <t>2024-12-25</t>
  </si>
  <si>
    <t>2024-11-01</t>
  </si>
  <si>
    <t>2024-07-04</t>
  </si>
  <si>
    <t>2024-12-30</t>
  </si>
  <si>
    <t>India</t>
  </si>
  <si>
    <t>2024-12-14</t>
  </si>
  <si>
    <t>2024-04-09</t>
  </si>
  <si>
    <t>Australia</t>
  </si>
  <si>
    <t>2024-06-08</t>
  </si>
  <si>
    <t>2024-08-29</t>
  </si>
  <si>
    <t>2024-09-05</t>
  </si>
  <si>
    <t>2024-12-26</t>
  </si>
  <si>
    <t>2024-05-23</t>
  </si>
  <si>
    <t>2024-11-26</t>
  </si>
  <si>
    <t>2024-11-16</t>
  </si>
  <si>
    <t>2024-02-27</t>
  </si>
  <si>
    <t>2024-11-12</t>
  </si>
  <si>
    <t>2024-01-12</t>
  </si>
  <si>
    <t>2024-05-24</t>
  </si>
  <si>
    <t>2024-01-05</t>
  </si>
  <si>
    <t>2024-01-06</t>
  </si>
  <si>
    <t>2024-10-14</t>
  </si>
  <si>
    <t>2024-03-06</t>
  </si>
  <si>
    <t>2024-03-21</t>
  </si>
  <si>
    <t>2024-01-08</t>
  </si>
  <si>
    <t>2024-09-30</t>
  </si>
  <si>
    <t>2024-03-07</t>
  </si>
  <si>
    <t>2024-08-16</t>
  </si>
  <si>
    <t>2024-08-10</t>
  </si>
  <si>
    <t>2024-04-27</t>
  </si>
  <si>
    <t>2024-05-17</t>
  </si>
  <si>
    <t>2024-11-29</t>
  </si>
  <si>
    <t>2024-12-04</t>
  </si>
  <si>
    <t>2024-08-12</t>
  </si>
  <si>
    <t>2024-06-05</t>
  </si>
  <si>
    <t>2024-12-28</t>
  </si>
  <si>
    <t>2024-02-20</t>
  </si>
  <si>
    <t>2024-05-16</t>
  </si>
  <si>
    <t>2024-06-30</t>
  </si>
  <si>
    <t>2024-07-07</t>
  </si>
  <si>
    <t>2024-06-23</t>
  </si>
  <si>
    <t>2024-06-13</t>
  </si>
  <si>
    <t>2024-01-11</t>
  </si>
  <si>
    <t>2024-04-29</t>
  </si>
  <si>
    <t>2024-04-07</t>
  </si>
  <si>
    <t>2024-05-13</t>
  </si>
  <si>
    <t>2024-10-08</t>
  </si>
  <si>
    <t>2024-05-28</t>
  </si>
  <si>
    <t>2024-03-26</t>
  </si>
  <si>
    <t>2024-06-07</t>
  </si>
  <si>
    <t>2024-09-28</t>
  </si>
  <si>
    <t>2024-03-13</t>
  </si>
  <si>
    <t>2024-02-28</t>
  </si>
  <si>
    <t>2024-04-08</t>
  </si>
  <si>
    <t>2024-09-23</t>
  </si>
  <si>
    <t>2024-06-24</t>
  </si>
  <si>
    <t>2024-08-24</t>
  </si>
  <si>
    <t>2024-02-14</t>
  </si>
  <si>
    <t>2024-07-14</t>
  </si>
  <si>
    <t>2024-09-27</t>
  </si>
  <si>
    <t>2024-09-18</t>
  </si>
  <si>
    <t>2024-08-23</t>
  </si>
  <si>
    <t>2024-04-04</t>
  </si>
  <si>
    <t>2024-06-09</t>
  </si>
  <si>
    <t>2024-04-15</t>
  </si>
  <si>
    <t>2024-01-07</t>
  </si>
  <si>
    <t>2024-02-24</t>
  </si>
  <si>
    <t>2024-04-02</t>
  </si>
  <si>
    <t>2024-09-06</t>
  </si>
  <si>
    <t>2024-08-18</t>
  </si>
  <si>
    <t>2024-09-22</t>
  </si>
  <si>
    <t>2024-07-25</t>
  </si>
  <si>
    <t>2024-12-01</t>
  </si>
  <si>
    <t>2024-07-10</t>
  </si>
  <si>
    <t>2024-04-11</t>
  </si>
  <si>
    <t>2024-10-26</t>
  </si>
  <si>
    <t>2024-11-19</t>
  </si>
  <si>
    <t>2024-12-15</t>
  </si>
  <si>
    <t>2024-05-20</t>
  </si>
  <si>
    <t>2024-01-19</t>
  </si>
  <si>
    <t>2024-12-13</t>
  </si>
  <si>
    <t>2024-05-21</t>
  </si>
  <si>
    <t>2024-12-07</t>
  </si>
  <si>
    <t>2024-05-09</t>
  </si>
  <si>
    <t>2024-01-25</t>
  </si>
  <si>
    <t>2024-09-10</t>
  </si>
  <si>
    <t>2024-06-04</t>
  </si>
  <si>
    <t>2024-07-09</t>
  </si>
  <si>
    <t>2024-11-09</t>
  </si>
  <si>
    <t>2024-02-17</t>
  </si>
  <si>
    <t>2024-03-27</t>
  </si>
  <si>
    <t>2024-01-28</t>
  </si>
  <si>
    <t>2024-02-18</t>
  </si>
  <si>
    <t>2024-05-01</t>
  </si>
  <si>
    <t>2024-01-10</t>
  </si>
  <si>
    <t>2024-01-20</t>
  </si>
  <si>
    <t>2024-02-07</t>
  </si>
  <si>
    <t>2024-05-25</t>
  </si>
  <si>
    <t>2024-12-24</t>
  </si>
  <si>
    <t>2024-10-28</t>
  </si>
  <si>
    <t>2024-10-23</t>
  </si>
  <si>
    <t>2024-05-22</t>
  </si>
  <si>
    <t>2024-11-25</t>
  </si>
  <si>
    <t>2024-01-26</t>
  </si>
  <si>
    <t>2024-09-15</t>
  </si>
  <si>
    <t>2024-06-02</t>
  </si>
  <si>
    <t>2024-10-12</t>
  </si>
  <si>
    <t>2024-10-29</t>
  </si>
  <si>
    <t>2024-03-31</t>
  </si>
  <si>
    <t>2024-04-19</t>
  </si>
  <si>
    <t>2024-03-01</t>
  </si>
  <si>
    <t>2024-07-08</t>
  </si>
  <si>
    <t>2024-08-27</t>
  </si>
  <si>
    <t>2024-03-22</t>
  </si>
  <si>
    <t>2024-07-19</t>
  </si>
  <si>
    <t>2024-12-22</t>
  </si>
  <si>
    <t>2024-12-19</t>
  </si>
  <si>
    <t>2024-05-05</t>
  </si>
  <si>
    <t>2024-12-06</t>
  </si>
  <si>
    <t>2024-04-13</t>
  </si>
  <si>
    <t>2024-11-22</t>
  </si>
  <si>
    <t>2024-09-16</t>
  </si>
  <si>
    <t>2024-09-25</t>
  </si>
  <si>
    <t>2024-08-28</t>
  </si>
  <si>
    <t>2024-06-10</t>
  </si>
  <si>
    <t>2024-01-23</t>
  </si>
  <si>
    <t>2024-12-20</t>
  </si>
  <si>
    <t>2024-04-18</t>
  </si>
  <si>
    <t>2024-11-08</t>
  </si>
  <si>
    <t>2024-11-02</t>
  </si>
  <si>
    <t>2024-01-04</t>
  </si>
  <si>
    <t>2024-10-27</t>
  </si>
  <si>
    <t>2024-10-25</t>
  </si>
  <si>
    <t>2024-03-14</t>
  </si>
  <si>
    <t>2024-01-17</t>
  </si>
  <si>
    <t>2024-10-04</t>
  </si>
  <si>
    <t>2024-05-11</t>
  </si>
  <si>
    <t>2024-10-06</t>
  </si>
  <si>
    <t>2024-06-17</t>
  </si>
  <si>
    <t>2024-08-26</t>
  </si>
  <si>
    <t>2024-09-07</t>
  </si>
  <si>
    <t>2024-07-24</t>
  </si>
  <si>
    <t>2024-09-04</t>
  </si>
  <si>
    <t>2024-08-06</t>
  </si>
  <si>
    <t>2024-05-27</t>
  </si>
  <si>
    <t>2024-03-05</t>
  </si>
  <si>
    <t>2024-06-12</t>
  </si>
  <si>
    <t>2024-03-09</t>
  </si>
  <si>
    <t>2024-12-23</t>
  </si>
  <si>
    <t>2024-09-14</t>
  </si>
  <si>
    <t>2024-11-05</t>
  </si>
  <si>
    <t>2024-10-17</t>
  </si>
  <si>
    <t>2024-06-25</t>
  </si>
  <si>
    <t>2024-07-27</t>
  </si>
  <si>
    <t>2024-11-15</t>
  </si>
  <si>
    <t>2024-10-03</t>
  </si>
  <si>
    <t>2024-06-21</t>
  </si>
  <si>
    <t>2024-12-16</t>
  </si>
  <si>
    <t>2024-12-21</t>
  </si>
  <si>
    <t>2024-06-03</t>
  </si>
  <si>
    <t>2024-08-01</t>
  </si>
  <si>
    <t>2024-01-13</t>
  </si>
  <si>
    <t>2024-02-19</t>
  </si>
  <si>
    <t>2024-02-08</t>
  </si>
  <si>
    <t>2024-09-21</t>
  </si>
  <si>
    <t>2024-07-26</t>
  </si>
  <si>
    <t>2024-03-17</t>
  </si>
  <si>
    <t>2024-05-06</t>
  </si>
  <si>
    <t>2024-08-19</t>
  </si>
  <si>
    <t>2024-07-18</t>
  </si>
  <si>
    <t>2024-08-31</t>
  </si>
  <si>
    <t>2024-07-28</t>
  </si>
  <si>
    <t>2024-10-20</t>
  </si>
  <si>
    <t>2024-04-03</t>
  </si>
  <si>
    <t>2024-11-30</t>
  </si>
  <si>
    <t>2024-12-11</t>
  </si>
  <si>
    <t>2024-08-17</t>
  </si>
  <si>
    <t>2024-07-05</t>
  </si>
  <si>
    <t>2024-06-28</t>
  </si>
  <si>
    <t>2024-08-11</t>
  </si>
  <si>
    <t>2024-03-10</t>
  </si>
  <si>
    <t>2024-05-14</t>
  </si>
  <si>
    <t>2024-04-16</t>
  </si>
  <si>
    <t>2024-03-29</t>
  </si>
  <si>
    <t>2024-07-12</t>
  </si>
  <si>
    <t>2024-02-15</t>
  </si>
  <si>
    <t>2024-10-02</t>
  </si>
  <si>
    <t>2024-10-01</t>
  </si>
  <si>
    <t>2024-05-19</t>
  </si>
  <si>
    <t>2024-08-02</t>
  </si>
  <si>
    <t>2024-11-27</t>
  </si>
  <si>
    <t>2024-03-08</t>
  </si>
  <si>
    <t>2024-04-28</t>
  </si>
  <si>
    <t>2024-01-29</t>
  </si>
  <si>
    <t>2024-07-06</t>
  </si>
  <si>
    <t>2024-02-25</t>
  </si>
  <si>
    <t>2024-01-14</t>
  </si>
  <si>
    <t>2024-03-28</t>
  </si>
  <si>
    <t>2024-09-02</t>
  </si>
  <si>
    <t>2024-05-31</t>
  </si>
  <si>
    <t>2024-01-16</t>
  </si>
  <si>
    <t>2024-10-13</t>
  </si>
  <si>
    <t>2024-11-03</t>
  </si>
  <si>
    <t>2024-02-05</t>
  </si>
  <si>
    <t>2024-09-01</t>
  </si>
  <si>
    <t>2024-04-14</t>
  </si>
  <si>
    <t>2024-08-03</t>
  </si>
  <si>
    <t>2024-01-18</t>
  </si>
  <si>
    <t>2024-06-27</t>
  </si>
  <si>
    <t>2024-07-16</t>
  </si>
  <si>
    <t>2024-04-06</t>
  </si>
  <si>
    <t>2024-02-01</t>
  </si>
  <si>
    <t>2024-09-29</t>
  </si>
  <si>
    <t>2024-04-01</t>
  </si>
  <si>
    <t>2024-09-24</t>
  </si>
  <si>
    <t>2024-03-24</t>
  </si>
  <si>
    <t>2024-03-30</t>
  </si>
  <si>
    <t>2024-11-04</t>
  </si>
  <si>
    <t>2024-01-27</t>
  </si>
  <si>
    <t>2024-08-08</t>
  </si>
  <si>
    <t>2024-06-20</t>
  </si>
  <si>
    <t>2024-08-07</t>
  </si>
  <si>
    <t>2024-05-12</t>
  </si>
  <si>
    <t>2024-06-19</t>
  </si>
  <si>
    <t>2024-02-26</t>
  </si>
  <si>
    <t>2024-05-07</t>
  </si>
  <si>
    <t>2024-01-03</t>
  </si>
  <si>
    <t>2024-03-16</t>
  </si>
  <si>
    <t>2024-07-17</t>
  </si>
  <si>
    <t>2024-10-31</t>
  </si>
  <si>
    <t>2024-04-26</t>
  </si>
  <si>
    <t>2024-08-30</t>
  </si>
  <si>
    <t>2024-08-04</t>
  </si>
  <si>
    <t>2024-07-03</t>
  </si>
  <si>
    <t>2024-03-23</t>
  </si>
  <si>
    <t>2024-06-26</t>
  </si>
  <si>
    <t>2024-08-09</t>
  </si>
  <si>
    <t>2024-11-10</t>
  </si>
  <si>
    <t>2024-01-15</t>
  </si>
  <si>
    <t>2024-11-21</t>
  </si>
  <si>
    <t>2024-04-21</t>
  </si>
  <si>
    <t>2024-05-02</t>
  </si>
  <si>
    <t>2024-09-20</t>
  </si>
  <si>
    <t>2024-08-22</t>
  </si>
  <si>
    <t>2024-11-28</t>
  </si>
  <si>
    <t>2024-05-10</t>
  </si>
  <si>
    <t>2024-07-21</t>
  </si>
  <si>
    <t>2024-08-05</t>
  </si>
  <si>
    <t>2024-12-08</t>
  </si>
  <si>
    <t>2024-10-18</t>
  </si>
  <si>
    <t>2024-03-02</t>
  </si>
  <si>
    <t>2024-07-22</t>
  </si>
  <si>
    <t>2024-11-14</t>
  </si>
  <si>
    <t>2024-05-18</t>
  </si>
  <si>
    <t>2024-11-23</t>
  </si>
  <si>
    <t>2024-12-05</t>
  </si>
  <si>
    <t>2024-10-09</t>
  </si>
  <si>
    <t>2024-03-18</t>
  </si>
  <si>
    <t>2024-02-13</t>
  </si>
  <si>
    <t>2024-09-26</t>
  </si>
  <si>
    <t>2024-09-13</t>
  </si>
  <si>
    <t>2024-12-12</t>
  </si>
  <si>
    <t>2024-08-21</t>
  </si>
  <si>
    <t>2024-02-23</t>
  </si>
  <si>
    <t>2024-04-25</t>
  </si>
  <si>
    <t>2024-10-11</t>
  </si>
  <si>
    <t>2024-02-10</t>
  </si>
  <si>
    <t>2024-05-30</t>
  </si>
  <si>
    <t>2024-04-24</t>
  </si>
  <si>
    <t>2024-03-25</t>
  </si>
  <si>
    <t>2024-05-15</t>
  </si>
  <si>
    <t>2024-08-15</t>
  </si>
  <si>
    <t>2024-02-09</t>
  </si>
  <si>
    <t>2024-03-12</t>
  </si>
  <si>
    <t>2024-09-03</t>
  </si>
  <si>
    <t>2024-03-19</t>
  </si>
  <si>
    <t>2024-11-06</t>
  </si>
  <si>
    <t>2024-11-24</t>
  </si>
  <si>
    <t>2024-10-19</t>
  </si>
  <si>
    <t>2024-01-01</t>
  </si>
  <si>
    <t>2024-09-12</t>
  </si>
  <si>
    <t>2024-07-02</t>
  </si>
  <si>
    <t>2024-03-03</t>
  </si>
  <si>
    <t>2024-06-18</t>
  </si>
  <si>
    <t>2024-07-31</t>
  </si>
  <si>
    <t>2024-11-20</t>
  </si>
  <si>
    <t>2024-09-17</t>
  </si>
  <si>
    <t>2024-01-24</t>
  </si>
  <si>
    <t>2024-04-30</t>
  </si>
  <si>
    <t>2024-01-30</t>
  </si>
  <si>
    <t>2024-02-03</t>
  </si>
  <si>
    <t>2024-06-14</t>
  </si>
  <si>
    <t>2024-02-11</t>
  </si>
  <si>
    <t>2024-07-11</t>
  </si>
  <si>
    <t>2024-03-15</t>
  </si>
  <si>
    <t>2024-10-22</t>
  </si>
  <si>
    <t>2024-02-04</t>
  </si>
  <si>
    <t>2024-01-31</t>
  </si>
  <si>
    <t>2024-01-09</t>
  </si>
  <si>
    <t>2024-02-16</t>
  </si>
  <si>
    <t>2024-02-06</t>
  </si>
  <si>
    <t>2024-12-10</t>
  </si>
  <si>
    <t>2024-06-16</t>
  </si>
  <si>
    <t>2024-11-11</t>
  </si>
  <si>
    <t>2024-03-04</t>
  </si>
  <si>
    <t>2024-06-06</t>
  </si>
  <si>
    <t>2024-12-29</t>
  </si>
  <si>
    <t>2024-12-17</t>
  </si>
  <si>
    <t>2024-04-20</t>
  </si>
  <si>
    <t>2024-07-29</t>
  </si>
  <si>
    <t>2024-12-03</t>
  </si>
  <si>
    <t>2024-10-05</t>
  </si>
  <si>
    <t>2024-10-30</t>
  </si>
  <si>
    <t>2024-12-18</t>
  </si>
  <si>
    <t>2024-02-21</t>
  </si>
  <si>
    <t>2024-07-13</t>
  </si>
  <si>
    <t>2024-05-08</t>
  </si>
  <si>
    <t>2024-06-01</t>
  </si>
  <si>
    <t>2024-06-29</t>
  </si>
  <si>
    <t>2024-11-17</t>
  </si>
  <si>
    <t>2024-03-11</t>
  </si>
  <si>
    <t>2024-10-16</t>
  </si>
  <si>
    <t>2024-02-12</t>
  </si>
  <si>
    <t>2024-04-12</t>
  </si>
  <si>
    <t>2024-06-11</t>
  </si>
  <si>
    <t>2024-12-09</t>
  </si>
  <si>
    <t>2024-07-20</t>
  </si>
  <si>
    <t>2024-02-02</t>
  </si>
  <si>
    <t>2024-09-08</t>
  </si>
  <si>
    <t>2024-05-03</t>
  </si>
  <si>
    <t>2024-09-19</t>
  </si>
  <si>
    <t>2024-11-07</t>
  </si>
  <si>
    <t>2024-04-10</t>
  </si>
  <si>
    <t>2024-12-02</t>
  </si>
  <si>
    <t>2024-10-24</t>
  </si>
  <si>
    <t>2024-05-29</t>
  </si>
  <si>
    <t>2024-09-09</t>
  </si>
  <si>
    <t>2024-03-20</t>
  </si>
  <si>
    <t>2024-06-22</t>
  </si>
  <si>
    <t>2024-07-23</t>
  </si>
  <si>
    <t>2024-07-30</t>
  </si>
  <si>
    <t>2024-10-21</t>
  </si>
  <si>
    <t>2024-05-04</t>
  </si>
  <si>
    <t>2024-10-10</t>
  </si>
  <si>
    <t>2024-10-07</t>
  </si>
  <si>
    <t>2024-12-27</t>
  </si>
  <si>
    <t>Grand Total</t>
  </si>
  <si>
    <t>Average of ROAS</t>
  </si>
  <si>
    <t>Q.1 Avg ROAS by platform</t>
  </si>
  <si>
    <t>Q.2 Avg CPA by Platform</t>
  </si>
  <si>
    <t>Average of CPA</t>
  </si>
  <si>
    <t>Sum of ad_spend</t>
  </si>
  <si>
    <t>Q.3 Total ad_spend by Platform</t>
  </si>
  <si>
    <t>Q.4 Total revenue by Country</t>
  </si>
  <si>
    <t>Sum of revenue</t>
  </si>
  <si>
    <t>Q.5 Avg ROAS by Country</t>
  </si>
  <si>
    <t>Q.6 Average CTR by Country</t>
  </si>
  <si>
    <t>Average of CTR</t>
  </si>
  <si>
    <t>Platform</t>
  </si>
  <si>
    <t>Country</t>
  </si>
  <si>
    <t>Q.7 Total conversions by Industry</t>
  </si>
  <si>
    <t>Sum of conversions</t>
  </si>
  <si>
    <t>Industry</t>
  </si>
  <si>
    <t>Q.8 Average CPA by Industry</t>
  </si>
  <si>
    <t>Q.9 Total revenue by Industry</t>
  </si>
  <si>
    <t>Q.10 Avg ROAS by campaign_type</t>
  </si>
  <si>
    <t>Campaign Type</t>
  </si>
  <si>
    <t>Q.11 Avg CTR by campaign_type</t>
  </si>
  <si>
    <t>Q.12 Total Ad_spend by month</t>
  </si>
  <si>
    <t>Jan</t>
  </si>
  <si>
    <t>Feb</t>
  </si>
  <si>
    <t>Mar</t>
  </si>
  <si>
    <t>Apr</t>
  </si>
  <si>
    <t>May</t>
  </si>
  <si>
    <t>Jun</t>
  </si>
  <si>
    <t>Jul</t>
  </si>
  <si>
    <t>Aug</t>
  </si>
  <si>
    <t>Sep</t>
  </si>
  <si>
    <t>Oct</t>
  </si>
  <si>
    <t>Nov</t>
  </si>
  <si>
    <t>Dec</t>
  </si>
  <si>
    <t>Q.13 Average ROAS by Month</t>
  </si>
  <si>
    <t>Q.14 Total revenue by Month</t>
  </si>
  <si>
    <t>Q.15 Avg ROAS by Platform + Country</t>
  </si>
  <si>
    <t>Month</t>
  </si>
  <si>
    <t>Google Ads Total</t>
  </si>
  <si>
    <t>Meta Ads Total</t>
  </si>
  <si>
    <t>TikTok Ads Total</t>
  </si>
  <si>
    <t>Marketing Campaign Performance Dashboard - 2024</t>
  </si>
  <si>
    <t>Total Ad Spend</t>
  </si>
  <si>
    <t>Total Revenue</t>
  </si>
  <si>
    <t>Overall ROAS</t>
  </si>
  <si>
    <t>Total Conversions</t>
  </si>
  <si>
    <t>Overall CTR</t>
  </si>
  <si>
    <t xml:space="preserve"> </t>
  </si>
  <si>
    <t>KPI Source</t>
  </si>
  <si>
    <t>Sum of impressions</t>
  </si>
  <si>
    <t>Sum of clicks</t>
  </si>
  <si>
    <t>Key Insights &amp;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</si>
</sst>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_-[$$-409]* #,##0.00_ ;_-[$$-409]* \-#,##0.00\ ;_-[$$-409]* &quot;-&quot;??_ ;_-@_ "/>
    <numFmt numFmtId="165" formatCode="0.00&quot;x&quot;\ "/>
    <numFmt numFmtId="166" formatCode="\ \$#,##0,,&quot;M&quot;\ "/>
    <numFmt numFmtId="167" formatCode="\ \$#,##0.0,,&quot;M&quot;\ "/>
    <numFmt numFmtId="168" formatCode="0.00&quot;x&quot;"/>
    <numFmt numFmtId="169" formatCode="_ * #,##0_ ;_ * \-#,##0_ ;_ * &quot;-&quot;??_ ;_ @_ "/>
  </numFmts>
  <fonts count="12" x14ac:knownFonts="1">
    <font>
      <sz val="11"/>
      <color theme="1"/>
      <name val="Aptos Narrow"/>
      <family val="2"/>
      <scheme val="minor"/>
    </font>
    <font>
      <b/>
      <sz val="11"/>
      <color rgb="FFFFFFFF"/>
      <name val="Arial"/>
    </font>
    <font>
      <sz val="10"/>
      <name val="Arial"/>
    </font>
    <font>
      <b/>
      <sz val="11"/>
      <color theme="1"/>
      <name val="Aptos Narrow"/>
      <family val="2"/>
      <scheme val="minor"/>
    </font>
    <font>
      <b/>
      <sz val="11"/>
      <color rgb="FFFFFFFF"/>
      <name val="Arial"/>
      <family val="2"/>
    </font>
    <font>
      <sz val="11"/>
      <color theme="1"/>
      <name val="Aptos Narrow"/>
      <family val="2"/>
      <scheme val="minor"/>
    </font>
    <font>
      <sz val="14"/>
      <color theme="1"/>
      <name val="Aptos Narrow"/>
      <family val="2"/>
      <scheme val="minor"/>
    </font>
    <font>
      <sz val="14"/>
      <color theme="3" tint="0.249977111117893"/>
      <name val="Aptos Narrow"/>
      <family val="2"/>
      <scheme val="minor"/>
    </font>
    <font>
      <b/>
      <sz val="24"/>
      <color rgb="FFFFFFFF"/>
      <name val="Segoe UI"/>
      <family val="2"/>
    </font>
    <font>
      <sz val="14"/>
      <color rgb="FF6B7280"/>
      <name val="Aptos Narrow"/>
      <family val="2"/>
      <scheme val="minor"/>
    </font>
    <font>
      <b/>
      <sz val="24"/>
      <color rgb="FFFF6B4A"/>
      <name val="Aptos Narrow"/>
      <family val="2"/>
      <scheme val="minor"/>
    </font>
    <font>
      <b/>
      <sz val="24"/>
      <color rgb="FF0B2545"/>
      <name val="Aptos Narrow"/>
      <family val="2"/>
      <scheme val="minor"/>
    </font>
  </fonts>
  <fills count="7">
    <fill>
      <patternFill patternType="none"/>
    </fill>
    <fill>
      <patternFill patternType="gray125"/>
    </fill>
    <fill>
      <patternFill patternType="solid">
        <fgColor rgb="FF1F4E78"/>
        <bgColor rgb="FF1F4E78"/>
      </patternFill>
    </fill>
    <fill>
      <patternFill patternType="solid">
        <fgColor theme="0" tint="-4.9989318521683403E-2"/>
        <bgColor indexed="64"/>
      </patternFill>
    </fill>
    <fill>
      <patternFill patternType="solid">
        <fgColor theme="0"/>
        <bgColor indexed="64"/>
      </patternFill>
    </fill>
    <fill>
      <patternFill patternType="solid">
        <fgColor rgb="FFF7F9FC"/>
        <bgColor indexed="64"/>
      </patternFill>
    </fill>
    <fill>
      <patternFill patternType="solid">
        <fgColor rgb="FF0B2545"/>
        <bgColor indexed="64"/>
      </patternFill>
    </fill>
  </fills>
  <borders count="12">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right/>
      <top/>
      <bottom style="thin">
        <color rgb="FF999999"/>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56">
    <xf numFmtId="0" fontId="0" fillId="0" borderId="0" xfId="0"/>
    <xf numFmtId="0" fontId="1" fillId="2" borderId="1" xfId="0" applyFont="1" applyFill="1" applyBorder="1" applyAlignment="1">
      <alignment horizontal="center" vertical="center"/>
    </xf>
    <xf numFmtId="0" fontId="2" fillId="0" borderId="1" xfId="0" applyFont="1" applyBorder="1"/>
    <xf numFmtId="10" fontId="1" fillId="2" borderId="2" xfId="0" applyNumberFormat="1" applyFont="1" applyFill="1" applyBorder="1" applyAlignment="1">
      <alignment horizontal="center" vertical="center"/>
    </xf>
    <xf numFmtId="10" fontId="0" fillId="0" borderId="0" xfId="0" applyNumberFormat="1"/>
    <xf numFmtId="164" fontId="1" fillId="2" borderId="2" xfId="0" applyNumberFormat="1" applyFont="1" applyFill="1" applyBorder="1" applyAlignment="1">
      <alignment horizontal="center" vertical="center"/>
    </xf>
    <xf numFmtId="164" fontId="0" fillId="0" borderId="0" xfId="0" applyNumberFormat="1"/>
    <xf numFmtId="165" fontId="1" fillId="2" borderId="2"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14" fontId="4" fillId="2" borderId="1" xfId="0" applyNumberFormat="1" applyFont="1" applyFill="1" applyBorder="1" applyAlignment="1">
      <alignment horizontal="center" vertical="center"/>
    </xf>
    <xf numFmtId="14" fontId="2" fillId="0" borderId="1" xfId="0" applyNumberFormat="1" applyFont="1" applyBorder="1"/>
    <xf numFmtId="0" fontId="3" fillId="0" borderId="0" xfId="0" applyFont="1"/>
    <xf numFmtId="0" fontId="0" fillId="5" borderId="0" xfId="0" applyFill="1"/>
    <xf numFmtId="0" fontId="7" fillId="5" borderId="0" xfId="0" applyFont="1" applyFill="1"/>
    <xf numFmtId="0" fontId="6" fillId="5" borderId="0" xfId="0" applyFont="1" applyFill="1"/>
    <xf numFmtId="0" fontId="3" fillId="5" borderId="0" xfId="0" applyFont="1" applyFill="1"/>
    <xf numFmtId="0" fontId="8" fillId="6" borderId="0" xfId="0" applyFont="1" applyFill="1" applyAlignment="1">
      <alignment horizontal="center" vertical="center"/>
    </xf>
    <xf numFmtId="0" fontId="9" fillId="4" borderId="4" xfId="0" applyFont="1" applyFill="1" applyBorder="1" applyAlignment="1">
      <alignment horizontal="center"/>
    </xf>
    <xf numFmtId="0" fontId="9" fillId="4" borderId="5" xfId="0" applyFont="1" applyFill="1" applyBorder="1" applyAlignment="1">
      <alignment horizontal="center"/>
    </xf>
    <xf numFmtId="0" fontId="9" fillId="4" borderId="6" xfId="0" applyFont="1" applyFill="1" applyBorder="1" applyAlignment="1">
      <alignment horizontal="center"/>
    </xf>
    <xf numFmtId="166" fontId="10" fillId="4" borderId="7" xfId="0" applyNumberFormat="1" applyFont="1" applyFill="1" applyBorder="1" applyAlignment="1">
      <alignment horizontal="center" vertical="center"/>
    </xf>
    <xf numFmtId="166" fontId="10" fillId="4" borderId="0" xfId="0" applyNumberFormat="1" applyFont="1" applyFill="1" applyAlignment="1">
      <alignment horizontal="center" vertical="center"/>
    </xf>
    <xf numFmtId="166" fontId="10" fillId="4" borderId="8" xfId="0" applyNumberFormat="1" applyFont="1" applyFill="1" applyBorder="1" applyAlignment="1">
      <alignment horizontal="center" vertical="center"/>
    </xf>
    <xf numFmtId="166" fontId="10" fillId="4" borderId="9" xfId="0" applyNumberFormat="1" applyFont="1" applyFill="1" applyBorder="1" applyAlignment="1">
      <alignment horizontal="center" vertical="center"/>
    </xf>
    <xf numFmtId="166" fontId="10" fillId="4" borderId="10" xfId="0" applyNumberFormat="1" applyFont="1" applyFill="1" applyBorder="1" applyAlignment="1">
      <alignment horizontal="center" vertical="center"/>
    </xf>
    <xf numFmtId="166" fontId="10" fillId="4" borderId="11" xfId="0" applyNumberFormat="1" applyFont="1" applyFill="1" applyBorder="1" applyAlignment="1">
      <alignment horizontal="center" vertical="center"/>
    </xf>
    <xf numFmtId="167" fontId="10" fillId="4" borderId="7" xfId="0" applyNumberFormat="1" applyFont="1" applyFill="1" applyBorder="1" applyAlignment="1">
      <alignment horizontal="center" vertical="center"/>
    </xf>
    <xf numFmtId="167" fontId="10" fillId="4" borderId="0" xfId="0" applyNumberFormat="1" applyFont="1" applyFill="1" applyAlignment="1">
      <alignment horizontal="center" vertical="center"/>
    </xf>
    <xf numFmtId="167" fontId="10" fillId="4" borderId="8" xfId="0" applyNumberFormat="1" applyFont="1" applyFill="1" applyBorder="1" applyAlignment="1">
      <alignment horizontal="center" vertical="center"/>
    </xf>
    <xf numFmtId="167" fontId="10" fillId="4" borderId="9" xfId="0" applyNumberFormat="1" applyFont="1" applyFill="1" applyBorder="1" applyAlignment="1">
      <alignment horizontal="center" vertical="center"/>
    </xf>
    <xf numFmtId="167" fontId="10" fillId="4" borderId="10" xfId="0" applyNumberFormat="1" applyFont="1" applyFill="1" applyBorder="1" applyAlignment="1">
      <alignment horizontal="center" vertical="center"/>
    </xf>
    <xf numFmtId="167" fontId="10" fillId="4" borderId="11" xfId="0" applyNumberFormat="1" applyFont="1" applyFill="1" applyBorder="1" applyAlignment="1">
      <alignment horizontal="center" vertical="center"/>
    </xf>
    <xf numFmtId="168" fontId="10" fillId="4" borderId="7" xfId="0" applyNumberFormat="1" applyFont="1" applyFill="1" applyBorder="1" applyAlignment="1">
      <alignment horizontal="center" vertical="center"/>
    </xf>
    <xf numFmtId="168" fontId="10" fillId="4" borderId="0" xfId="0" applyNumberFormat="1" applyFont="1" applyFill="1" applyAlignment="1">
      <alignment horizontal="center" vertical="center"/>
    </xf>
    <xf numFmtId="168" fontId="10" fillId="4" borderId="8" xfId="0" applyNumberFormat="1" applyFont="1" applyFill="1" applyBorder="1" applyAlignment="1">
      <alignment horizontal="center" vertical="center"/>
    </xf>
    <xf numFmtId="168" fontId="10" fillId="4" borderId="9" xfId="0" applyNumberFormat="1" applyFont="1" applyFill="1" applyBorder="1" applyAlignment="1">
      <alignment horizontal="center" vertical="center"/>
    </xf>
    <xf numFmtId="168" fontId="10" fillId="4" borderId="10" xfId="0" applyNumberFormat="1" applyFont="1" applyFill="1" applyBorder="1" applyAlignment="1">
      <alignment horizontal="center" vertical="center"/>
    </xf>
    <xf numFmtId="168" fontId="10" fillId="4" borderId="11" xfId="0" applyNumberFormat="1" applyFont="1" applyFill="1" applyBorder="1" applyAlignment="1">
      <alignment horizontal="center" vertical="center"/>
    </xf>
    <xf numFmtId="169" fontId="10" fillId="4" borderId="7" xfId="1" applyNumberFormat="1" applyFont="1" applyFill="1" applyBorder="1" applyAlignment="1">
      <alignment horizontal="center" vertical="center"/>
    </xf>
    <xf numFmtId="169" fontId="10" fillId="4" borderId="0" xfId="1" applyNumberFormat="1" applyFont="1" applyFill="1" applyBorder="1" applyAlignment="1">
      <alignment horizontal="center" vertical="center"/>
    </xf>
    <xf numFmtId="169" fontId="10" fillId="4" borderId="8" xfId="1" applyNumberFormat="1" applyFont="1" applyFill="1" applyBorder="1" applyAlignment="1">
      <alignment horizontal="center" vertical="center"/>
    </xf>
    <xf numFmtId="169" fontId="10" fillId="4" borderId="9" xfId="1" applyNumberFormat="1" applyFont="1" applyFill="1" applyBorder="1" applyAlignment="1">
      <alignment horizontal="center" vertical="center"/>
    </xf>
    <xf numFmtId="169" fontId="10" fillId="4" borderId="10" xfId="1" applyNumberFormat="1" applyFont="1" applyFill="1" applyBorder="1" applyAlignment="1">
      <alignment horizontal="center" vertical="center"/>
    </xf>
    <xf numFmtId="169" fontId="10" fillId="4" borderId="11" xfId="1" applyNumberFormat="1" applyFont="1" applyFill="1" applyBorder="1" applyAlignment="1">
      <alignment horizontal="center" vertical="center"/>
    </xf>
    <xf numFmtId="10" fontId="10" fillId="4" borderId="7" xfId="2" applyNumberFormat="1" applyFont="1" applyFill="1" applyBorder="1" applyAlignment="1">
      <alignment horizontal="center" vertical="center"/>
    </xf>
    <xf numFmtId="10" fontId="10" fillId="4" borderId="0" xfId="2" applyNumberFormat="1" applyFont="1" applyFill="1" applyBorder="1" applyAlignment="1">
      <alignment horizontal="center" vertical="center"/>
    </xf>
    <xf numFmtId="10" fontId="10" fillId="4" borderId="8" xfId="2" applyNumberFormat="1" applyFont="1" applyFill="1" applyBorder="1" applyAlignment="1">
      <alignment horizontal="center" vertical="center"/>
    </xf>
    <xf numFmtId="10" fontId="10" fillId="4" borderId="9" xfId="2" applyNumberFormat="1" applyFont="1" applyFill="1" applyBorder="1" applyAlignment="1">
      <alignment horizontal="center" vertical="center"/>
    </xf>
    <xf numFmtId="10" fontId="10" fillId="4" borderId="10" xfId="2" applyNumberFormat="1" applyFont="1" applyFill="1" applyBorder="1" applyAlignment="1">
      <alignment horizontal="center" vertical="center"/>
    </xf>
    <xf numFmtId="10" fontId="10" fillId="4" borderId="11" xfId="2" applyNumberFormat="1" applyFont="1" applyFill="1" applyBorder="1" applyAlignment="1">
      <alignment horizontal="center" vertical="center"/>
    </xf>
    <xf numFmtId="0" fontId="3" fillId="3" borderId="0" xfId="0" applyFont="1" applyFill="1" applyAlignment="1">
      <alignment horizontal="center"/>
    </xf>
    <xf numFmtId="0" fontId="3" fillId="3" borderId="3" xfId="0" applyFont="1" applyFill="1" applyBorder="1" applyAlignment="1">
      <alignment horizontal="center"/>
    </xf>
    <xf numFmtId="0" fontId="0" fillId="0" borderId="0" xfId="0" applyAlignment="1">
      <alignment horizontal="center"/>
    </xf>
    <xf numFmtId="0" fontId="11" fillId="5" borderId="0" xfId="0" applyFont="1" applyFill="1" applyAlignment="1">
      <alignment horizontal="center" vertical="center"/>
    </xf>
  </cellXfs>
  <cellStyles count="3">
    <cellStyle name="Comma" xfId="1" builtinId="3"/>
    <cellStyle name="Normal" xfId="0" builtinId="0"/>
    <cellStyle name="Percent" xfId="2" builtinId="5"/>
  </cellStyles>
  <dxfs count="8">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sz val="9"/>
        <color theme="0"/>
      </font>
      <fill>
        <patternFill>
          <bgColor rgb="FF0B2545"/>
        </patternFill>
      </fill>
    </dxf>
  </dxfs>
  <tableStyles count="1" defaultTableStyle="TableStyleMedium9" defaultPivotStyle="PivotStyleLight16">
    <tableStyle name="Marketing" pivot="0" table="0" count="3" xr9:uid="{B6E83F31-33B8-48BE-A881-A686F6299585}">
      <tableStyleElement type="headerRow" dxfId="7"/>
    </tableStyle>
  </tableStyles>
  <colors>
    <mruColors>
      <color rgb="FF0B2545"/>
      <color rgb="FFF7F9FC"/>
      <color rgb="FFE6F5F5"/>
      <color rgb="FF0FA3A3"/>
      <color rgb="FF134E6F"/>
      <color rgb="FF1F6FB2"/>
      <color rgb="FFFF6B4A"/>
      <color rgb="FF6B7280"/>
      <color rgb="FFD6DEE8"/>
      <color rgb="FFFFFFFF"/>
    </mruColors>
  </colors>
  <extLst>
    <ext xmlns:x14="http://schemas.microsoft.com/office/spreadsheetml/2009/9/main" uri="{46F421CA-312F-682f-3DD2-61675219B42D}">
      <x14:dxfs count="2">
        <dxf>
          <font>
            <color theme="0"/>
          </font>
          <fill>
            <patternFill>
              <bgColor rgb="FF0FA3A3"/>
            </patternFill>
          </fill>
        </dxf>
        <dxf>
          <font>
            <color theme="0"/>
          </font>
          <fill>
            <patternFill>
              <bgColor rgb="FFE6F5F5"/>
            </patternFill>
          </fill>
        </dxf>
      </x14:dxfs>
    </ext>
    <ext xmlns:x14="http://schemas.microsoft.com/office/spreadsheetml/2009/9/main" uri="{EB79DEF2-80B8-43e5-95BD-54CBDDF9020C}">
      <x14:slicerStyles defaultSlicerStyle="SlicerStyleLight1">
        <x14:slicerStyle name="Marketing">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[Marketing_Ad_Campaign_Dashboard.xlsx]Pivot_Analysis!PivotTable13</c:name>
    <c:fmtId val="4"/>
  </c:pivotSource>
  <c:chart>
    <c:title>
      <c:tx>
        <c:rich>
          <a:bodyPr rot="0" spcFirstLastPara="1" vertOverflow="ellipsis" vert="horz" wrap="square" anchor="ctr" anchorCtr="1"/>
          <a:lstStyle/>
          <a:p>
            <a:pPr>
              <a:defRPr sz="1400" b="0" i="0" u="none" strike="noStrike" kern="1200" spc="0" baseline="0">
                <a:solidFill>
                  <a:srgbClr val="0B2545"/>
                </a:solidFill>
                <a:latin typeface="+mn-lt"/>
                <a:ea typeface="+mn-ea"/>
                <a:cs typeface="+mn-cs"/>
              </a:defRPr>
            </a:pPr>
            <a:r>
              <a:rPr lang="en-IN" sz="1400" b="0" i="0" u="none" strike="noStrike" baseline="0">
                <a:solidFill>
                  <a:srgbClr val="0B2545"/>
                </a:solidFill>
                <a:effectLst/>
              </a:rPr>
              <a:t>Monthly Ad Spend Trend</a:t>
            </a:r>
            <a:endParaRPr lang="en-IN" b="0">
              <a:solidFill>
                <a:srgbClr val="0B254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B2545"/>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Pivot_Analysis!$K$2</c:f>
              <c:strCache>
                <c:ptCount val="1"/>
                <c:pt idx="0">
                  <c:v>Total</c:v>
                </c:pt>
              </c:strCache>
            </c:strRef>
          </c:tx>
          <c:spPr>
            <a:ln w="28575" cap="rnd">
              <a:solidFill>
                <a:schemeClr val="accent1"/>
              </a:solidFill>
              <a:round/>
            </a:ln>
            <a:effectLst/>
          </c:spPr>
          <c:marker>
            <c:symbol val="none"/>
          </c:marker>
          <c:cat>
            <c:strRef>
              <c:f>Pivot_Analysis!$J$3:$J$15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Pivot_Analysis!$K$3:$K$15</c:f>
              <c:numCache>
                <c:formatCode>_-[$$-409]* #,##0.00_ ;_-[$$-409]* \-#,##0.00\ ;_-[$$-409]* "-"??_ ;_-@_ </c:formatCode>
                <c:ptCount val="12"/>
                <c:pt idx="0">
                  <c:v>901735.06000000052</c:v>
                </c:pt>
                <c:pt idx="1">
                  <c:v>988588.35999999987</c:v>
                </c:pt>
                <c:pt idx="2">
                  <c:v>837915.28000000061</c:v>
                </c:pt>
                <c:pt idx="3">
                  <c:v>1032895.8999999997</c:v>
                </c:pt>
                <c:pt idx="4">
                  <c:v>904564.25999999943</c:v>
                </c:pt>
                <c:pt idx="5">
                  <c:v>966952.75999999989</c:v>
                </c:pt>
                <c:pt idx="6">
                  <c:v>797918.1399999999</c:v>
                </c:pt>
                <c:pt idx="7">
                  <c:v>819622.04999999958</c:v>
                </c:pt>
                <c:pt idx="8">
                  <c:v>1010523.0399999998</c:v>
                </c:pt>
                <c:pt idx="9">
                  <c:v>868099.26000000013</c:v>
                </c:pt>
                <c:pt idx="10">
                  <c:v>882564.99000000022</c:v>
                </c:pt>
                <c:pt idx="11">
                  <c:v>1097369.9899999995</c:v>
                </c:pt>
              </c:numCache>
            </c:numRef>
          </c:val>
          <c:smooth val="0"/>
          <c:extLst>
            <c:ext xmlns:c16="http://schemas.microsoft.com/office/drawing/2014/chart" uri="{C3380CC4-5D6E-409C-BE32-E72D297353CC}">
              <c16:uniqueId val="{00000000-ACBD-4F88-B7AB-9D2C5BEE92CC}"/>
            </c:ext>
          </c:extLst>
        </c:ser>
        <c:dLbls>
          <c:showLegendKey val="0"/>
          <c:showVal val="0"/>
          <c:showCatName val="0"/>
          <c:showSerName val="0"/>
          <c:showPercent val="0"/>
          <c:showBubbleSize val="0"/>
        </c:dLbls>
        <c:smooth val="0"/>
        <c:axId val="2084488720"/>
        <c:axId val="1984511504"/>
      </c:lineChart>
      <c:catAx>
        <c:axId val="208448872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B2545"/>
                    </a:solidFill>
                    <a:latin typeface="+mn-lt"/>
                    <a:ea typeface="+mn-ea"/>
                    <a:cs typeface="+mn-cs"/>
                  </a:defRPr>
                </a:pPr>
                <a:r>
                  <a:rPr lang="en-IN">
                    <a:solidFill>
                      <a:srgbClr val="0B2545"/>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B2545"/>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B2545"/>
                </a:solidFill>
                <a:latin typeface="+mn-lt"/>
                <a:ea typeface="+mn-ea"/>
                <a:cs typeface="+mn-cs"/>
              </a:defRPr>
            </a:pPr>
            <a:endParaRPr lang="en-US"/>
          </a:p>
        </c:txPr>
        <c:crossAx val="1984511504"/>
        <c:crosses val="autoZero"/>
        <c:auto val="1"/>
        <c:lblAlgn val="ctr"/>
        <c:lblOffset val="100"/>
        <c:noMultiLvlLbl val="0"/>
      </c:catAx>
      <c:valAx>
        <c:axId val="1984511504"/>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0B2545"/>
                    </a:solidFill>
                    <a:latin typeface="+mn-lt"/>
                    <a:ea typeface="+mn-ea"/>
                    <a:cs typeface="+mn-cs"/>
                  </a:defRPr>
                </a:pPr>
                <a:r>
                  <a:rPr lang="en-IN">
                    <a:solidFill>
                      <a:srgbClr val="0B2545"/>
                    </a:solidFill>
                  </a:rPr>
                  <a:t>Sum of </a:t>
                </a:r>
                <a:r>
                  <a:rPr lang="en-IN" sz="1000" b="0" i="0" u="none" strike="noStrike" baseline="0">
                    <a:solidFill>
                      <a:srgbClr val="0B2545"/>
                    </a:solidFill>
                    <a:effectLst/>
                  </a:rPr>
                  <a:t>Ad Spend ($)</a:t>
                </a:r>
                <a:endParaRPr lang="en-IN">
                  <a:solidFill>
                    <a:srgbClr val="0B2545"/>
                  </a:solidFill>
                </a:endParaRPr>
              </a:p>
            </c:rich>
          </c:tx>
          <c:layout>
            <c:manualLayout>
              <c:xMode val="edge"/>
              <c:yMode val="edge"/>
              <c:x val="1.6666666666666666E-2"/>
              <c:y val="0.208138160812090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0B2545"/>
                  </a:solidFill>
                  <a:latin typeface="+mn-lt"/>
                  <a:ea typeface="+mn-ea"/>
                  <a:cs typeface="+mn-cs"/>
                </a:defRPr>
              </a:pPr>
              <a:endParaRPr lang="en-IN"/>
            </a:p>
          </c:txPr>
        </c:title>
        <c:numFmt formatCode="[$$-409]#,##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B2545"/>
                </a:solidFill>
                <a:latin typeface="+mn-lt"/>
                <a:ea typeface="+mn-ea"/>
                <a:cs typeface="+mn-cs"/>
              </a:defRPr>
            </a:pPr>
            <a:endParaRPr lang="en-US"/>
          </a:p>
        </c:txPr>
        <c:crossAx val="208448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[Marketing_Ad_Campaign_Dashboard.xlsx]Pivot_Analysis!PivotTable2</c:name>
    <c:fmtId val="9"/>
  </c:pivotSource>
  <c:chart>
    <c:title>
      <c:tx>
        <c:rich>
          <a:bodyPr rot="0" spcFirstLastPara="1" vertOverflow="ellipsis" vert="horz" wrap="square" anchor="ctr" anchorCtr="1"/>
          <a:lstStyle/>
          <a:p>
            <a:pPr>
              <a:defRPr sz="1400" b="0" i="0" u="none" strike="noStrike" kern="1200" spc="0" baseline="0">
                <a:solidFill>
                  <a:srgbClr val="0B2545"/>
                </a:solidFill>
                <a:latin typeface="+mn-lt"/>
                <a:ea typeface="+mn-ea"/>
                <a:cs typeface="+mn-cs"/>
              </a:defRPr>
            </a:pPr>
            <a:r>
              <a:rPr lang="en-US" b="0">
                <a:solidFill>
                  <a:srgbClr val="0B2545"/>
                </a:solidFill>
              </a:rPr>
              <a:t>Average ROAS by</a:t>
            </a:r>
            <a:r>
              <a:rPr lang="en-US" b="0" baseline="0">
                <a:solidFill>
                  <a:srgbClr val="0B2545"/>
                </a:solidFill>
              </a:rPr>
              <a:t> Platform</a:t>
            </a:r>
            <a:endParaRPr lang="en-US" b="0">
              <a:solidFill>
                <a:srgbClr val="0B254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B254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E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254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c:f>
              <c:strCache>
                <c:ptCount val="1"/>
                <c:pt idx="0">
                  <c:v>Total</c:v>
                </c:pt>
              </c:strCache>
            </c:strRef>
          </c:tx>
          <c:spPr>
            <a:solidFill>
              <a:srgbClr val="134E6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254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Pivot_Analysis!$A$3:$A$6</c:f>
              <c:strCache>
                <c:ptCount val="3"/>
                <c:pt idx="0">
                  <c:v>TikTok Ads</c:v>
                </c:pt>
                <c:pt idx="1">
                  <c:v>Meta Ads</c:v>
                </c:pt>
                <c:pt idx="2">
                  <c:v>Google Ads</c:v>
                </c:pt>
              </c:strCache>
            </c:strRef>
          </c:cat>
          <c:val>
            <c:numRef>
              <c:f>Pivot_Analysis!$B$3:$B$6</c:f>
              <c:numCache>
                <c:formatCode>0.00"x"\ </c:formatCode>
                <c:ptCount val="3"/>
                <c:pt idx="0">
                  <c:v>9.5385635819020678</c:v>
                </c:pt>
                <c:pt idx="1">
                  <c:v>6.9156662894628438</c:v>
                </c:pt>
                <c:pt idx="2">
                  <c:v>4.1126933882432883</c:v>
                </c:pt>
              </c:numCache>
            </c:numRef>
          </c:val>
          <c:extLst>
            <c:ext xmlns:c16="http://schemas.microsoft.com/office/drawing/2014/chart" uri="{C3380CC4-5D6E-409C-BE32-E72D297353CC}">
              <c16:uniqueId val="{00000000-4CC3-4A9C-8EED-A2EA978DFDEE}"/>
            </c:ext>
          </c:extLst>
        </c:ser>
        <c:dLbls>
          <c:showLegendKey val="0"/>
          <c:showVal val="0"/>
          <c:showCatName val="0"/>
          <c:showSerName val="0"/>
          <c:showPercent val="0"/>
          <c:showBubbleSize val="0"/>
        </c:dLbls>
        <c:gapWidth val="182"/>
        <c:axId val="118945936"/>
        <c:axId val="1984470704"/>
      </c:barChart>
      <c:catAx>
        <c:axId val="118945936"/>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0B2545"/>
                    </a:solidFill>
                    <a:latin typeface="+mn-lt"/>
                    <a:ea typeface="+mn-ea"/>
                    <a:cs typeface="+mn-cs"/>
                  </a:defRPr>
                </a:pPr>
                <a:r>
                  <a:rPr lang="en-IN">
                    <a:solidFill>
                      <a:srgbClr val="0B2545"/>
                    </a:solidFill>
                  </a:rPr>
                  <a:t>Platform</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B2545"/>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B2545"/>
                </a:solidFill>
                <a:latin typeface="+mn-lt"/>
                <a:ea typeface="+mn-ea"/>
                <a:cs typeface="+mn-cs"/>
              </a:defRPr>
            </a:pPr>
            <a:endParaRPr lang="en-US"/>
          </a:p>
        </c:txPr>
        <c:crossAx val="1984470704"/>
        <c:crosses val="autoZero"/>
        <c:auto val="1"/>
        <c:lblAlgn val="ctr"/>
        <c:lblOffset val="100"/>
        <c:noMultiLvlLbl val="0"/>
      </c:catAx>
      <c:valAx>
        <c:axId val="1984470704"/>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B2545"/>
                    </a:solidFill>
                    <a:latin typeface="+mn-lt"/>
                    <a:ea typeface="+mn-ea"/>
                    <a:cs typeface="+mn-cs"/>
                  </a:defRPr>
                </a:pPr>
                <a:r>
                  <a:rPr lang="en-IN">
                    <a:solidFill>
                      <a:srgbClr val="0B2545"/>
                    </a:solidFill>
                  </a:rPr>
                  <a:t>ROAS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B2545"/>
                  </a:solidFill>
                  <a:latin typeface="+mn-lt"/>
                  <a:ea typeface="+mn-ea"/>
                  <a:cs typeface="+mn-cs"/>
                </a:defRPr>
              </a:pPr>
              <a:endParaRPr lang="en-US"/>
            </a:p>
          </c:txPr>
        </c:title>
        <c:numFmt formatCode="0.00&quot;x&quot;\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B2545"/>
                </a:solidFill>
                <a:latin typeface="+mn-lt"/>
                <a:ea typeface="+mn-ea"/>
                <a:cs typeface="+mn-cs"/>
              </a:defRPr>
            </a:pPr>
            <a:endParaRPr lang="en-US"/>
          </a:p>
        </c:txPr>
        <c:crossAx val="11894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[Marketing_Ad_Campaign_Dashboard.xlsx]Pivot_Analysis!PivotTable5</c:name>
    <c:fmtId val="13"/>
  </c:pivotSource>
  <c:chart>
    <c:title>
      <c:tx>
        <c:rich>
          <a:bodyPr rot="0" spcFirstLastPara="1" vertOverflow="ellipsis" vert="horz" wrap="square" anchor="ctr" anchorCtr="1"/>
          <a:lstStyle/>
          <a:p>
            <a:pPr>
              <a:defRPr sz="1400" b="0" i="0" u="none" strike="noStrike" kern="1200" spc="0" baseline="0">
                <a:solidFill>
                  <a:srgbClr val="0B2545"/>
                </a:solidFill>
                <a:latin typeface="+mn-lt"/>
                <a:ea typeface="+mn-ea"/>
                <a:cs typeface="+mn-cs"/>
              </a:defRPr>
            </a:pPr>
            <a:r>
              <a:rPr lang="en-US" b="0">
                <a:solidFill>
                  <a:srgbClr val="0B2545"/>
                </a:solidFill>
              </a:rPr>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B254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E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Pivot_Analysis!$B$23</c:f>
              <c:strCache>
                <c:ptCount val="1"/>
                <c:pt idx="0">
                  <c:v>Total</c:v>
                </c:pt>
              </c:strCache>
            </c:strRef>
          </c:tx>
          <c:spPr>
            <a:solidFill>
              <a:srgbClr val="134E6F"/>
            </a:solidFill>
            <a:ln>
              <a:noFill/>
            </a:ln>
            <a:effectLst/>
          </c:spPr>
          <c:invertIfNegative val="0"/>
          <c:cat>
            <c:strRef>
              <c:f>Pivot_Analysis!$A$24:$A$31</c:f>
              <c:strCache>
                <c:ptCount val="7"/>
                <c:pt idx="0">
                  <c:v>UAE</c:v>
                </c:pt>
                <c:pt idx="1">
                  <c:v>Australia</c:v>
                </c:pt>
                <c:pt idx="2">
                  <c:v>India</c:v>
                </c:pt>
                <c:pt idx="3">
                  <c:v>Canada</c:v>
                </c:pt>
                <c:pt idx="4">
                  <c:v>Germany</c:v>
                </c:pt>
                <c:pt idx="5">
                  <c:v>UK</c:v>
                </c:pt>
                <c:pt idx="6">
                  <c:v>USA</c:v>
                </c:pt>
              </c:strCache>
            </c:strRef>
          </c:cat>
          <c:val>
            <c:numRef>
              <c:f>Pivot_Analysis!$B$24:$B$31</c:f>
              <c:numCache>
                <c:formatCode>_-[$$-409]* #,##0.00_ ;_-[$$-409]* \-#,##0.00\ ;_-[$$-409]* "-"??_ ;_-@_ </c:formatCode>
                <c:ptCount val="7"/>
                <c:pt idx="0">
                  <c:v>7939594.4099999974</c:v>
                </c:pt>
                <c:pt idx="1">
                  <c:v>7921847.8399999971</c:v>
                </c:pt>
                <c:pt idx="2">
                  <c:v>7909606.2600000007</c:v>
                </c:pt>
                <c:pt idx="3">
                  <c:v>7867323.1200000001</c:v>
                </c:pt>
                <c:pt idx="4">
                  <c:v>7694838.6100000031</c:v>
                </c:pt>
                <c:pt idx="5">
                  <c:v>7659544.2900000019</c:v>
                </c:pt>
                <c:pt idx="6">
                  <c:v>7190576.2799999984</c:v>
                </c:pt>
              </c:numCache>
            </c:numRef>
          </c:val>
          <c:extLst>
            <c:ext xmlns:c16="http://schemas.microsoft.com/office/drawing/2014/chart" uri="{C3380CC4-5D6E-409C-BE32-E72D297353CC}">
              <c16:uniqueId val="{00000000-F0B3-4374-BC93-29F9C81DD0EE}"/>
            </c:ext>
          </c:extLst>
        </c:ser>
        <c:dLbls>
          <c:showLegendKey val="0"/>
          <c:showVal val="0"/>
          <c:showCatName val="0"/>
          <c:showSerName val="0"/>
          <c:showPercent val="0"/>
          <c:showBubbleSize val="0"/>
        </c:dLbls>
        <c:gapWidth val="219"/>
        <c:overlap val="-27"/>
        <c:axId val="103994608"/>
        <c:axId val="1984412144"/>
      </c:barChart>
      <c:catAx>
        <c:axId val="10399460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B2545"/>
                    </a:solidFill>
                    <a:latin typeface="+mn-lt"/>
                    <a:ea typeface="+mn-ea"/>
                    <a:cs typeface="+mn-cs"/>
                  </a:defRPr>
                </a:pPr>
                <a:r>
                  <a:rPr lang="en-IN">
                    <a:solidFill>
                      <a:srgbClr val="0B2545"/>
                    </a:solidFill>
                  </a:rPr>
                  <a:t>Country</a:t>
                </a:r>
              </a:p>
            </c:rich>
          </c:tx>
          <c:layout>
            <c:manualLayout>
              <c:xMode val="edge"/>
              <c:yMode val="edge"/>
              <c:x val="0.51922195484201983"/>
              <c:y val="0.8838060482950634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B2545"/>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B2545"/>
                </a:solidFill>
                <a:latin typeface="+mn-lt"/>
                <a:ea typeface="+mn-ea"/>
                <a:cs typeface="+mn-cs"/>
              </a:defRPr>
            </a:pPr>
            <a:endParaRPr lang="en-US"/>
          </a:p>
        </c:txPr>
        <c:crossAx val="1984412144"/>
        <c:crosses val="autoZero"/>
        <c:auto val="1"/>
        <c:lblAlgn val="ctr"/>
        <c:lblOffset val="100"/>
        <c:noMultiLvlLbl val="0"/>
      </c:catAx>
      <c:valAx>
        <c:axId val="1984412144"/>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rgbClr val="0B2545"/>
                    </a:solidFill>
                    <a:latin typeface="+mn-lt"/>
                    <a:ea typeface="+mn-ea"/>
                    <a:cs typeface="+mn-cs"/>
                  </a:defRPr>
                </a:pPr>
                <a:r>
                  <a:rPr lang="en-IN">
                    <a:solidFill>
                      <a:srgbClr val="0B2545"/>
                    </a:solidFill>
                  </a:rPr>
                  <a:t>Sum of Revenue</a:t>
                </a:r>
              </a:p>
            </c:rich>
          </c:tx>
          <c:layout>
            <c:manualLayout>
              <c:xMode val="edge"/>
              <c:yMode val="edge"/>
              <c:x val="1.3888888888888888E-2"/>
              <c:y val="0.26995771361913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0B2545"/>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B2545"/>
                </a:solidFill>
                <a:latin typeface="+mn-lt"/>
                <a:ea typeface="+mn-ea"/>
                <a:cs typeface="+mn-cs"/>
              </a:defRPr>
            </a:pPr>
            <a:endParaRPr lang="en-US"/>
          </a:p>
        </c:txPr>
        <c:crossAx val="10399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[Marketing_Ad_Campaign_Dashboard.xlsx]Pivot_Analysis!PivotTable8</c:name>
    <c:fmtId val="11"/>
  </c:pivotSource>
  <c:chart>
    <c:title>
      <c:tx>
        <c:rich>
          <a:bodyPr rot="0" spcFirstLastPara="1" vertOverflow="ellipsis" vert="horz" wrap="square" anchor="ctr" anchorCtr="1"/>
          <a:lstStyle/>
          <a:p>
            <a:pPr>
              <a:defRPr sz="1400" b="0" i="0" u="none" strike="noStrike" kern="1200" spc="0" baseline="0">
                <a:solidFill>
                  <a:srgbClr val="0B2545"/>
                </a:solidFill>
                <a:latin typeface="+mn-lt"/>
                <a:ea typeface="+mn-ea"/>
                <a:cs typeface="+mn-cs"/>
              </a:defRPr>
            </a:pPr>
            <a:r>
              <a:rPr lang="en-US" b="0">
                <a:solidFill>
                  <a:srgbClr val="0B2545"/>
                </a:solidFill>
              </a:rPr>
              <a:t>Total conversions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B254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134E6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254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34E6F"/>
          </a:solidFill>
          <a:ln w="19050">
            <a:solidFill>
              <a:schemeClr val="lt1"/>
            </a:solidFill>
          </a:ln>
          <a:effectLst/>
        </c:spPr>
      </c:pivotFmt>
      <c:pivotFmt>
        <c:idx val="9"/>
        <c:spPr>
          <a:solidFill>
            <a:srgbClr val="134E6F"/>
          </a:solidFill>
          <a:ln w="19050">
            <a:solidFill>
              <a:schemeClr val="lt1"/>
            </a:solidFill>
          </a:ln>
          <a:effectLst/>
        </c:spPr>
      </c:pivotFmt>
      <c:pivotFmt>
        <c:idx val="10"/>
        <c:spPr>
          <a:solidFill>
            <a:srgbClr val="134E6F"/>
          </a:solidFill>
          <a:ln w="19050">
            <a:solidFill>
              <a:schemeClr val="lt1"/>
            </a:solidFill>
          </a:ln>
          <a:effectLst/>
        </c:spPr>
      </c:pivotFmt>
      <c:pivotFmt>
        <c:idx val="11"/>
        <c:spPr>
          <a:solidFill>
            <a:srgbClr val="134E6F"/>
          </a:solidFill>
          <a:ln w="19050">
            <a:solidFill>
              <a:schemeClr val="lt1"/>
            </a:solidFill>
          </a:ln>
          <a:effectLst/>
        </c:spPr>
      </c:pivotFmt>
      <c:pivotFmt>
        <c:idx val="12"/>
        <c:spPr>
          <a:solidFill>
            <a:srgbClr val="134E6F"/>
          </a:solidFill>
          <a:ln w="19050">
            <a:solidFill>
              <a:schemeClr val="lt1"/>
            </a:solidFill>
          </a:ln>
          <a:effectLst/>
        </c:spPr>
      </c:pivotFmt>
    </c:pivotFmts>
    <c:plotArea>
      <c:layout/>
      <c:barChart>
        <c:barDir val="bar"/>
        <c:grouping val="clustered"/>
        <c:varyColors val="0"/>
        <c:ser>
          <c:idx val="0"/>
          <c:order val="0"/>
          <c:tx>
            <c:strRef>
              <c:f>Pivot_Analysis!$E$24</c:f>
              <c:strCache>
                <c:ptCount val="1"/>
                <c:pt idx="0">
                  <c:v>Total</c:v>
                </c:pt>
              </c:strCache>
            </c:strRef>
          </c:tx>
          <c:spPr>
            <a:solidFill>
              <a:srgbClr val="134E6F"/>
            </a:solidFill>
            <a:ln w="19050">
              <a:solidFill>
                <a:schemeClr val="lt1"/>
              </a:solidFill>
            </a:ln>
            <a:effectLst/>
          </c:spPr>
          <c:invertIfNegative val="0"/>
          <c:dPt>
            <c:idx val="0"/>
            <c:invertIfNegative val="0"/>
            <c:bubble3D val="0"/>
            <c:spPr>
              <a:solidFill>
                <a:srgbClr val="134E6F"/>
              </a:solidFill>
              <a:ln w="19050">
                <a:solidFill>
                  <a:schemeClr val="lt1"/>
                </a:solidFill>
              </a:ln>
              <a:effectLst/>
            </c:spPr>
            <c:extLst>
              <c:ext xmlns:c16="http://schemas.microsoft.com/office/drawing/2014/chart" uri="{C3380CC4-5D6E-409C-BE32-E72D297353CC}">
                <c16:uniqueId val="{00000001-657F-4CBC-B2C9-E1E7EBCEF75D}"/>
              </c:ext>
            </c:extLst>
          </c:dPt>
          <c:dPt>
            <c:idx val="1"/>
            <c:invertIfNegative val="0"/>
            <c:bubble3D val="0"/>
            <c:spPr>
              <a:solidFill>
                <a:srgbClr val="134E6F"/>
              </a:solidFill>
              <a:ln w="19050">
                <a:solidFill>
                  <a:schemeClr val="lt1"/>
                </a:solidFill>
              </a:ln>
              <a:effectLst/>
            </c:spPr>
            <c:extLst>
              <c:ext xmlns:c16="http://schemas.microsoft.com/office/drawing/2014/chart" uri="{C3380CC4-5D6E-409C-BE32-E72D297353CC}">
                <c16:uniqueId val="{00000003-657F-4CBC-B2C9-E1E7EBCEF75D}"/>
              </c:ext>
            </c:extLst>
          </c:dPt>
          <c:dPt>
            <c:idx val="2"/>
            <c:invertIfNegative val="0"/>
            <c:bubble3D val="0"/>
            <c:spPr>
              <a:solidFill>
                <a:srgbClr val="134E6F"/>
              </a:solidFill>
              <a:ln w="19050">
                <a:solidFill>
                  <a:schemeClr val="lt1"/>
                </a:solidFill>
              </a:ln>
              <a:effectLst/>
            </c:spPr>
            <c:extLst>
              <c:ext xmlns:c16="http://schemas.microsoft.com/office/drawing/2014/chart" uri="{C3380CC4-5D6E-409C-BE32-E72D297353CC}">
                <c16:uniqueId val="{00000005-657F-4CBC-B2C9-E1E7EBCEF75D}"/>
              </c:ext>
            </c:extLst>
          </c:dPt>
          <c:dPt>
            <c:idx val="3"/>
            <c:invertIfNegative val="0"/>
            <c:bubble3D val="0"/>
            <c:spPr>
              <a:solidFill>
                <a:srgbClr val="134E6F"/>
              </a:solidFill>
              <a:ln w="19050">
                <a:solidFill>
                  <a:schemeClr val="lt1"/>
                </a:solidFill>
              </a:ln>
              <a:effectLst/>
            </c:spPr>
            <c:extLst>
              <c:ext xmlns:c16="http://schemas.microsoft.com/office/drawing/2014/chart" uri="{C3380CC4-5D6E-409C-BE32-E72D297353CC}">
                <c16:uniqueId val="{00000007-657F-4CBC-B2C9-E1E7EBCEF75D}"/>
              </c:ext>
            </c:extLst>
          </c:dPt>
          <c:dPt>
            <c:idx val="4"/>
            <c:invertIfNegative val="0"/>
            <c:bubble3D val="0"/>
            <c:spPr>
              <a:solidFill>
                <a:srgbClr val="134E6F"/>
              </a:solidFill>
              <a:ln w="19050">
                <a:solidFill>
                  <a:schemeClr val="lt1"/>
                </a:solidFill>
              </a:ln>
              <a:effectLst/>
            </c:spPr>
            <c:extLst>
              <c:ext xmlns:c16="http://schemas.microsoft.com/office/drawing/2014/chart" uri="{C3380CC4-5D6E-409C-BE32-E72D297353CC}">
                <c16:uniqueId val="{00000009-657F-4CBC-B2C9-E1E7EBCEF7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254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Pivot_Analysis!$D$25:$D$30</c:f>
              <c:strCache>
                <c:ptCount val="5"/>
                <c:pt idx="0">
                  <c:v>SaaS</c:v>
                </c:pt>
                <c:pt idx="1">
                  <c:v>EdTech</c:v>
                </c:pt>
                <c:pt idx="2">
                  <c:v>Healthcare</c:v>
                </c:pt>
                <c:pt idx="3">
                  <c:v>Fintech</c:v>
                </c:pt>
                <c:pt idx="4">
                  <c:v>E-commerce</c:v>
                </c:pt>
              </c:strCache>
            </c:strRef>
          </c:cat>
          <c:val>
            <c:numRef>
              <c:f>Pivot_Analysis!$E$25:$E$30</c:f>
              <c:numCache>
                <c:formatCode>General</c:formatCode>
                <c:ptCount val="5"/>
                <c:pt idx="0">
                  <c:v>71261</c:v>
                </c:pt>
                <c:pt idx="1">
                  <c:v>67257</c:v>
                </c:pt>
                <c:pt idx="2">
                  <c:v>65687</c:v>
                </c:pt>
                <c:pt idx="3">
                  <c:v>65121</c:v>
                </c:pt>
                <c:pt idx="4">
                  <c:v>57486</c:v>
                </c:pt>
              </c:numCache>
            </c:numRef>
          </c:val>
          <c:extLst>
            <c:ext xmlns:c16="http://schemas.microsoft.com/office/drawing/2014/chart" uri="{C3380CC4-5D6E-409C-BE32-E72D297353CC}">
              <c16:uniqueId val="{0000000A-657F-4CBC-B2C9-E1E7EBCEF75D}"/>
            </c:ext>
          </c:extLst>
        </c:ser>
        <c:dLbls>
          <c:showLegendKey val="0"/>
          <c:showVal val="0"/>
          <c:showCatName val="0"/>
          <c:showSerName val="0"/>
          <c:showPercent val="0"/>
          <c:showBubbleSize val="0"/>
        </c:dLbls>
        <c:gapWidth val="100"/>
        <c:axId val="113047200"/>
        <c:axId val="1984599344"/>
      </c:barChart>
      <c:valAx>
        <c:axId val="1984599344"/>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B2545"/>
                    </a:solidFill>
                    <a:latin typeface="+mn-lt"/>
                    <a:ea typeface="+mn-ea"/>
                    <a:cs typeface="+mn-cs"/>
                  </a:defRPr>
                </a:pPr>
                <a:r>
                  <a:rPr lang="en-IN" baseline="0">
                    <a:solidFill>
                      <a:srgbClr val="0B2545"/>
                    </a:solidFill>
                  </a:rPr>
                  <a:t>Conversions</a:t>
                </a:r>
                <a:endParaRPr lang="en-IN">
                  <a:solidFill>
                    <a:srgbClr val="0B2545"/>
                  </a:solidFill>
                </a:endParaRPr>
              </a:p>
            </c:rich>
          </c:tx>
          <c:layout>
            <c:manualLayout>
              <c:xMode val="edge"/>
              <c:yMode val="edge"/>
              <c:x val="0.47285369807761868"/>
              <c:y val="0.8744713901398029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B2545"/>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B2545"/>
                </a:solidFill>
                <a:latin typeface="+mn-lt"/>
                <a:ea typeface="+mn-ea"/>
                <a:cs typeface="+mn-cs"/>
              </a:defRPr>
            </a:pPr>
            <a:endParaRPr lang="en-US"/>
          </a:p>
        </c:txPr>
        <c:crossAx val="113047200"/>
        <c:crosses val="autoZero"/>
        <c:crossBetween val="between"/>
      </c:valAx>
      <c:catAx>
        <c:axId val="113047200"/>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0B2545"/>
                    </a:solidFill>
                    <a:latin typeface="+mn-lt"/>
                    <a:ea typeface="+mn-ea"/>
                    <a:cs typeface="+mn-cs"/>
                  </a:defRPr>
                </a:pPr>
                <a:r>
                  <a:rPr lang="en-IN">
                    <a:solidFill>
                      <a:srgbClr val="0B2545"/>
                    </a:solidFill>
                  </a:rPr>
                  <a:t>Industry</a:t>
                </a:r>
              </a:p>
            </c:rich>
          </c:tx>
          <c:layout>
            <c:manualLayout>
              <c:xMode val="edge"/>
              <c:yMode val="edge"/>
              <c:x val="1.6299524511639935E-2"/>
              <c:y val="0.37137731759386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0B2545"/>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B2545"/>
                </a:solidFill>
                <a:latin typeface="+mn-lt"/>
                <a:ea typeface="+mn-ea"/>
                <a:cs typeface="+mn-cs"/>
              </a:defRPr>
            </a:pPr>
            <a:endParaRPr lang="en-US"/>
          </a:p>
        </c:txPr>
        <c:crossAx val="19845993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10</xdr:col>
      <xdr:colOff>552450</xdr:colOff>
      <xdr:row>22</xdr:row>
      <xdr:rowOff>147638</xdr:rowOff>
    </xdr:to>
    <xdr:graphicFrame macro="">
      <xdr:nvGraphicFramePr>
        <xdr:cNvPr id="2" name="Chart 1">
          <a:extLst>
            <a:ext uri="{FF2B5EF4-FFF2-40B4-BE49-F238E27FC236}">
              <a16:creationId xmlns:a16="http://schemas.microsoft.com/office/drawing/2014/main" id="{5F4B286B-7694-40B6-B13D-79174520A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300038</xdr:colOff>
      <xdr:row>9</xdr:row>
      <xdr:rowOff>14286</xdr:rowOff>
    </xdr:from>
    <xdr:to>
      <xdr:col>20</xdr:col>
      <xdr:colOff>19050</xdr:colOff>
      <xdr:row>22</xdr:row>
      <xdr:rowOff>80963</xdr:rowOff>
    </xdr:to>
    <xdr:graphicFrame macro="">
      <xdr:nvGraphicFramePr>
        <xdr:cNvPr id="3" name="Chart 2">
          <a:extLst>
            <a:ext uri="{FF2B5EF4-FFF2-40B4-BE49-F238E27FC236}">
              <a16:creationId xmlns:a16="http://schemas.microsoft.com/office/drawing/2014/main" id="{48143314-34E7-4252-B7FE-FF2C3395F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23814</xdr:colOff>
      <xdr:row>24</xdr:row>
      <xdr:rowOff>19049</xdr:rowOff>
    </xdr:from>
    <xdr:to>
      <xdr:col>10</xdr:col>
      <xdr:colOff>557213</xdr:colOff>
      <xdr:row>36</xdr:row>
      <xdr:rowOff>176212</xdr:rowOff>
    </xdr:to>
    <xdr:graphicFrame macro="">
      <xdr:nvGraphicFramePr>
        <xdr:cNvPr id="4" name="Chart 3">
          <a:extLst>
            <a:ext uri="{FF2B5EF4-FFF2-40B4-BE49-F238E27FC236}">
              <a16:creationId xmlns:a16="http://schemas.microsoft.com/office/drawing/2014/main" id="{148F621A-3493-47A4-8A50-5F5EEB573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80963</xdr:colOff>
      <xdr:row>0</xdr:row>
      <xdr:rowOff>95251</xdr:rowOff>
    </xdr:from>
    <xdr:to>
      <xdr:col>0</xdr:col>
      <xdr:colOff>1752600</xdr:colOff>
      <xdr:row>5</xdr:row>
      <xdr:rowOff>91336</xdr:rowOff>
    </xdr:to>
    <mc:AlternateContent xmlns:mc="http://schemas.openxmlformats.org/markup-compatibility/2006" xmlns:a14="http://schemas.microsoft.com/office/drawing/2010/main">
      <mc:Choice Requires="a14">
        <xdr:graphicFrame macro="">
          <xdr:nvGraphicFramePr>
            <xdr:cNvPr id="5" name="platform">
              <a:extLst>
                <a:ext uri="{FF2B5EF4-FFF2-40B4-BE49-F238E27FC236}">
                  <a16:creationId xmlns:a16="http://schemas.microsoft.com/office/drawing/2014/main" id="{F6889E61-A7AB-3489-9056-272176E4E7D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80963" y="95251"/>
              <a:ext cx="1671637" cy="1167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90487</xdr:colOff>
      <xdr:row>5</xdr:row>
      <xdr:rowOff>133893</xdr:rowOff>
    </xdr:from>
    <xdr:to>
      <xdr:col>0</xdr:col>
      <xdr:colOff>1743075</xdr:colOff>
      <xdr:row>13</xdr:row>
      <xdr:rowOff>144069</xdr:rowOff>
    </xdr:to>
    <mc:AlternateContent xmlns:mc="http://schemas.openxmlformats.org/markup-compatibility/2006" xmlns:a14="http://schemas.microsoft.com/office/drawing/2010/main">
      <mc:Choice Requires="a14">
        <xdr:graphicFrame macro="">
          <xdr:nvGraphicFramePr>
            <xdr:cNvPr id="6" name="campaign_type">
              <a:extLst>
                <a:ext uri="{FF2B5EF4-FFF2-40B4-BE49-F238E27FC236}">
                  <a16:creationId xmlns:a16="http://schemas.microsoft.com/office/drawing/2014/main" id="{0EC517DB-5313-A3BE-9A6C-FF79422DCD2D}"/>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90487" y="1336307"/>
              <a:ext cx="1652588" cy="1443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14</xdr:row>
      <xdr:rowOff>14863</xdr:rowOff>
    </xdr:from>
    <xdr:to>
      <xdr:col>0</xdr:col>
      <xdr:colOff>1747838</xdr:colOff>
      <xdr:row>23</xdr:row>
      <xdr:rowOff>144137</xdr:rowOff>
    </xdr:to>
    <mc:AlternateContent xmlns:mc="http://schemas.openxmlformats.org/markup-compatibility/2006" xmlns:a14="http://schemas.microsoft.com/office/drawing/2010/main">
      <mc:Choice Requires="a14">
        <xdr:graphicFrame macro="">
          <xdr:nvGraphicFramePr>
            <xdr:cNvPr id="7" name="industry">
              <a:extLst>
                <a:ext uri="{FF2B5EF4-FFF2-40B4-BE49-F238E27FC236}">
                  <a16:creationId xmlns:a16="http://schemas.microsoft.com/office/drawing/2014/main" id="{40BEC1BB-404B-5D08-C0EB-EE488D649F2E}"/>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04776" y="2829925"/>
              <a:ext cx="1643062" cy="1741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116779</xdr:colOff>
      <xdr:row>24</xdr:row>
      <xdr:rowOff>14483</xdr:rowOff>
    </xdr:from>
    <xdr:to>
      <xdr:col>0</xdr:col>
      <xdr:colOff>1726504</xdr:colOff>
      <xdr:row>36</xdr:row>
      <xdr:rowOff>119258</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A6113543-15F8-38C1-F281-287B75D76B0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779" y="4698695"/>
              <a:ext cx="1609725" cy="2296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326198</xdr:colOff>
      <xdr:row>23</xdr:row>
      <xdr:rowOff>137003</xdr:rowOff>
    </xdr:from>
    <xdr:to>
      <xdr:col>20</xdr:col>
      <xdr:colOff>110907</xdr:colOff>
      <xdr:row>37</xdr:row>
      <xdr:rowOff>65239</xdr:rowOff>
    </xdr:to>
    <xdr:graphicFrame macro="">
      <xdr:nvGraphicFramePr>
        <xdr:cNvPr id="9" name="Chart 8">
          <a:extLst>
            <a:ext uri="{FF2B5EF4-FFF2-40B4-BE49-F238E27FC236}">
              <a16:creationId xmlns:a16="http://schemas.microsoft.com/office/drawing/2014/main" id="{A4FC85B1-B23B-4D42-8085-9EE6CA457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neynagora" refreshedDate="46282.74607523148" createdVersion="8" refreshedVersion="8" minRefreshableVersion="3" recordCount="1800" xr:uid="{515B83F5-0ED9-43DB-823C-51CCE456C00A}">
  <cacheSource type="worksheet">
    <worksheetSource ref="A1:N1801" sheet="Cleaned_Data"/>
  </cacheSource>
  <cacheFields count="16">
    <cacheField name="date" numFmtId="14">
      <sharedItems containsSemiMixedTypes="0" containsNonDate="0" containsDate="1" containsString="0" minDate="2024-01-01T00:00:00" maxDate="2024-12-31T00:00:00" count="360">
        <d v="2024-01-21T00:00:00"/>
        <d v="2024-01-22T00:00:00"/>
        <d v="2024-06-15T00:00:00"/>
        <d v="2024-01-02T00:00:00"/>
        <d v="2024-02-22T00:00:00"/>
        <d v="2024-10-15T00:00:00"/>
        <d v="2024-08-14T00:00:00"/>
        <d v="2024-04-05T00:00:00"/>
        <d v="2024-04-17T00:00:00"/>
        <d v="2024-11-13T00:00:00"/>
        <d v="2024-04-22T00:00:00"/>
        <d v="2024-09-11T00:00:00"/>
        <d v="2024-05-26T00:00:00"/>
        <d v="2024-02-29T00:00:00"/>
        <d v="2024-08-13T00:00:00"/>
        <d v="2024-08-20T00:00:00"/>
        <d v="2024-12-25T00:00:00"/>
        <d v="2024-11-01T00:00:00"/>
        <d v="2024-07-04T00:00:00"/>
        <d v="2024-12-30T00:00:00"/>
        <d v="2024-12-14T00:00:00"/>
        <d v="2024-04-09T00:00:00"/>
        <d v="2024-06-08T00:00:00"/>
        <d v="2024-08-29T00:00:00"/>
        <d v="2024-09-05T00:00:00"/>
        <d v="2024-12-26T00:00:00"/>
        <d v="2024-05-23T00:00:00"/>
        <d v="2024-11-26T00:00:00"/>
        <d v="2024-11-16T00:00:00"/>
        <d v="2024-02-27T00:00:00"/>
        <d v="2024-11-12T00:00:00"/>
        <d v="2024-01-12T00:00:00"/>
        <d v="2024-05-24T00:00:00"/>
        <d v="2024-01-05T00:00:00"/>
        <d v="2024-01-06T00:00:00"/>
        <d v="2024-10-14T00:00:00"/>
        <d v="2024-03-06T00:00:00"/>
        <d v="2024-03-21T00:00:00"/>
        <d v="2024-01-08T00:00:00"/>
        <d v="2024-09-30T00:00:00"/>
        <d v="2024-03-07T00:00:00"/>
        <d v="2024-08-16T00:00:00"/>
        <d v="2024-08-10T00:00:00"/>
        <d v="2024-04-27T00:00:00"/>
        <d v="2024-05-17T00:00:00"/>
        <d v="2024-11-29T00:00:00"/>
        <d v="2024-12-04T00:00:00"/>
        <d v="2024-08-12T00:00:00"/>
        <d v="2024-06-05T00:00:00"/>
        <d v="2024-12-28T00:00:00"/>
        <d v="2024-02-20T00:00:00"/>
        <d v="2024-05-16T00:00:00"/>
        <d v="2024-06-30T00:00:00"/>
        <d v="2024-07-07T00:00:00"/>
        <d v="2024-06-23T00:00:00"/>
        <d v="2024-06-13T00:00:00"/>
        <d v="2024-01-11T00:00:00"/>
        <d v="2024-04-29T00:00:00"/>
        <d v="2024-04-07T00:00:00"/>
        <d v="2024-05-13T00:00:00"/>
        <d v="2024-10-08T00:00:00"/>
        <d v="2024-05-28T00:00:00"/>
        <d v="2024-03-26T00:00:00"/>
        <d v="2024-06-07T00:00:00"/>
        <d v="2024-09-28T00:00:00"/>
        <d v="2024-03-13T00:00:00"/>
        <d v="2024-02-28T00:00:00"/>
        <d v="2024-04-08T00:00:00"/>
        <d v="2024-09-23T00:00:00"/>
        <d v="2024-06-24T00:00:00"/>
        <d v="2024-08-24T00:00:00"/>
        <d v="2024-02-14T00:00:00"/>
        <d v="2024-07-14T00:00:00"/>
        <d v="2024-09-27T00:00:00"/>
        <d v="2024-09-18T00:00:00"/>
        <d v="2024-08-23T00:00:00"/>
        <d v="2024-04-04T00:00:00"/>
        <d v="2024-06-09T00:00:00"/>
        <d v="2024-04-15T00:00:00"/>
        <d v="2024-01-07T00:00:00"/>
        <d v="2024-02-24T00:00:00"/>
        <d v="2024-04-02T00:00:00"/>
        <d v="2024-09-06T00:00:00"/>
        <d v="2024-08-18T00:00:00"/>
        <d v="2024-09-22T00:00:00"/>
        <d v="2024-07-25T00:00:00"/>
        <d v="2024-12-01T00:00:00"/>
        <d v="2024-07-10T00:00:00"/>
        <d v="2024-04-11T00:00:00"/>
        <d v="2024-10-26T00:00:00"/>
        <d v="2024-11-19T00:00:00"/>
        <d v="2024-12-15T00:00:00"/>
        <d v="2024-05-20T00:00:00"/>
        <d v="2024-01-19T00:00:00"/>
        <d v="2024-12-13T00:00:00"/>
        <d v="2024-05-21T00:00:00"/>
        <d v="2024-12-07T00:00:00"/>
        <d v="2024-05-09T00:00:00"/>
        <d v="2024-01-25T00:00:00"/>
        <d v="2024-09-10T00:00:00"/>
        <d v="2024-06-04T00:00:00"/>
        <d v="2024-07-09T00:00:00"/>
        <d v="2024-11-09T00:00:00"/>
        <d v="2024-02-17T00:00:00"/>
        <d v="2024-03-27T00:00:00"/>
        <d v="2024-01-28T00:00:00"/>
        <d v="2024-02-18T00:00:00"/>
        <d v="2024-05-01T00:00:00"/>
        <d v="2024-01-10T00:00:00"/>
        <d v="2024-01-20T00:00:00"/>
        <d v="2024-02-07T00:00:00"/>
        <d v="2024-05-25T00:00:00"/>
        <d v="2024-12-24T00:00:00"/>
        <d v="2024-10-28T00:00:00"/>
        <d v="2024-10-23T00:00:00"/>
        <d v="2024-05-22T00:00:00"/>
        <d v="2024-11-25T00:00:00"/>
        <d v="2024-01-26T00:00:00"/>
        <d v="2024-09-15T00:00:00"/>
        <d v="2024-06-02T00:00:00"/>
        <d v="2024-10-12T00:00:00"/>
        <d v="2024-10-29T00:00:00"/>
        <d v="2024-03-31T00:00:00"/>
        <d v="2024-04-19T00:00:00"/>
        <d v="2024-03-01T00:00:00"/>
        <d v="2024-07-08T00:00:00"/>
        <d v="2024-08-27T00:00:00"/>
        <d v="2024-03-22T00:00:00"/>
        <d v="2024-07-19T00:00:00"/>
        <d v="2024-12-22T00:00:00"/>
        <d v="2024-12-19T00:00:00"/>
        <d v="2024-05-05T00:00:00"/>
        <d v="2024-12-06T00:00:00"/>
        <d v="2024-04-13T00:00:00"/>
        <d v="2024-11-22T00:00:00"/>
        <d v="2024-09-16T00:00:00"/>
        <d v="2024-09-25T00:00:00"/>
        <d v="2024-08-28T00:00:00"/>
        <d v="2024-06-10T00:00:00"/>
        <d v="2024-01-23T00:00:00"/>
        <d v="2024-12-20T00:00:00"/>
        <d v="2024-04-18T00:00:00"/>
        <d v="2024-11-08T00:00:00"/>
        <d v="2024-11-02T00:00:00"/>
        <d v="2024-01-04T00:00:00"/>
        <d v="2024-10-27T00:00:00"/>
        <d v="2024-10-25T00:00:00"/>
        <d v="2024-03-14T00:00:00"/>
        <d v="2024-01-17T00:00:00"/>
        <d v="2024-10-04T00:00:00"/>
        <d v="2024-05-11T00:00:00"/>
        <d v="2024-10-06T00:00:00"/>
        <d v="2024-06-17T00:00:00"/>
        <d v="2024-08-26T00:00:00"/>
        <d v="2024-09-07T00:00:00"/>
        <d v="2024-07-24T00:00:00"/>
        <d v="2024-09-04T00:00:00"/>
        <d v="2024-08-06T00:00:00"/>
        <d v="2024-05-27T00:00:00"/>
        <d v="2024-03-05T00:00:00"/>
        <d v="2024-06-12T00:00:00"/>
        <d v="2024-03-09T00:00:00"/>
        <d v="2024-12-23T00:00:00"/>
        <d v="2024-09-14T00:00:00"/>
        <d v="2024-11-05T00:00:00"/>
        <d v="2024-10-17T00:00:00"/>
        <d v="2024-06-25T00:00:00"/>
        <d v="2024-07-27T00:00:00"/>
        <d v="2024-11-15T00:00:00"/>
        <d v="2024-10-03T00:00:00"/>
        <d v="2024-06-21T00:00:00"/>
        <d v="2024-12-16T00:00:00"/>
        <d v="2024-12-21T00:00:00"/>
        <d v="2024-06-03T00:00:00"/>
        <d v="2024-08-01T00:00:00"/>
        <d v="2024-01-13T00:00:00"/>
        <d v="2024-02-19T00:00:00"/>
        <d v="2024-02-08T00:00:00"/>
        <d v="2024-09-21T00:00:00"/>
        <d v="2024-07-26T00:00:00"/>
        <d v="2024-03-17T00:00:00"/>
        <d v="2024-05-06T00:00:00"/>
        <d v="2024-08-19T00:00:00"/>
        <d v="2024-07-18T00:00:00"/>
        <d v="2024-08-31T00:00:00"/>
        <d v="2024-07-28T00:00:00"/>
        <d v="2024-10-20T00:00:00"/>
        <d v="2024-04-03T00:00:00"/>
        <d v="2024-11-30T00:00:00"/>
        <d v="2024-12-11T00:00:00"/>
        <d v="2024-08-17T00:00:00"/>
        <d v="2024-07-05T00:00:00"/>
        <d v="2024-06-28T00:00:00"/>
        <d v="2024-08-11T00:00:00"/>
        <d v="2024-03-10T00:00:00"/>
        <d v="2024-05-14T00:00:00"/>
        <d v="2024-04-16T00:00:00"/>
        <d v="2024-03-29T00:00:00"/>
        <d v="2024-07-12T00:00:00"/>
        <d v="2024-02-15T00:00:00"/>
        <d v="2024-10-02T00:00:00"/>
        <d v="2024-10-01T00:00:00"/>
        <d v="2024-05-19T00:00:00"/>
        <d v="2024-08-02T00:00:00"/>
        <d v="2024-11-27T00:00:00"/>
        <d v="2024-03-08T00:00:00"/>
        <d v="2024-04-28T00:00:00"/>
        <d v="2024-01-29T00:00:00"/>
        <d v="2024-07-06T00:00:00"/>
        <d v="2024-02-25T00:00:00"/>
        <d v="2024-01-14T00:00:00"/>
        <d v="2024-03-28T00:00:00"/>
        <d v="2024-09-02T00:00:00"/>
        <d v="2024-05-31T00:00:00"/>
        <d v="2024-01-16T00:00:00"/>
        <d v="2024-10-13T00:00:00"/>
        <d v="2024-11-03T00:00:00"/>
        <d v="2024-02-05T00:00:00"/>
        <d v="2024-09-01T00:00:00"/>
        <d v="2024-04-14T00:00:00"/>
        <d v="2024-08-03T00:00:00"/>
        <d v="2024-01-18T00:00:00"/>
        <d v="2024-06-27T00:00:00"/>
        <d v="2024-07-16T00:00:00"/>
        <d v="2024-04-06T00:00:00"/>
        <d v="2024-02-01T00:00:00"/>
        <d v="2024-09-29T00:00:00"/>
        <d v="2024-04-01T00:00:00"/>
        <d v="2024-09-24T00:00:00"/>
        <d v="2024-03-24T00:00:00"/>
        <d v="2024-03-30T00:00:00"/>
        <d v="2024-11-04T00:00:00"/>
        <d v="2024-01-27T00:00:00"/>
        <d v="2024-08-08T00:00:00"/>
        <d v="2024-06-20T00:00:00"/>
        <d v="2024-08-07T00:00:00"/>
        <d v="2024-05-12T00:00:00"/>
        <d v="2024-06-19T00:00:00"/>
        <d v="2024-02-26T00:00:00"/>
        <d v="2024-05-07T00:00:00"/>
        <d v="2024-01-03T00:00:00"/>
        <d v="2024-03-16T00:00:00"/>
        <d v="2024-07-17T00:00:00"/>
        <d v="2024-10-31T00:00:00"/>
        <d v="2024-04-26T00:00:00"/>
        <d v="2024-08-30T00:00:00"/>
        <d v="2024-08-04T00:00:00"/>
        <d v="2024-07-03T00:00:00"/>
        <d v="2024-03-23T00:00:00"/>
        <d v="2024-06-26T00:00:00"/>
        <d v="2024-08-09T00:00:00"/>
        <d v="2024-11-10T00:00:00"/>
        <d v="2024-01-15T00:00:00"/>
        <d v="2024-11-21T00:00:00"/>
        <d v="2024-04-21T00:00:00"/>
        <d v="2024-05-02T00:00:00"/>
        <d v="2024-09-20T00:00:00"/>
        <d v="2024-08-22T00:00:00"/>
        <d v="2024-11-28T00:00:00"/>
        <d v="2024-05-10T00:00:00"/>
        <d v="2024-07-21T00:00:00"/>
        <d v="2024-08-05T00:00:00"/>
        <d v="2024-12-08T00:00:00"/>
        <d v="2024-10-18T00:00:00"/>
        <d v="2024-03-02T00:00:00"/>
        <d v="2024-07-22T00:00:00"/>
        <d v="2024-11-14T00:00:00"/>
        <d v="2024-05-18T00:00:00"/>
        <d v="2024-11-23T00:00:00"/>
        <d v="2024-12-05T00:00:00"/>
        <d v="2024-10-09T00:00:00"/>
        <d v="2024-03-18T00:00:00"/>
        <d v="2024-02-13T00:00:00"/>
        <d v="2024-09-26T00:00:00"/>
        <d v="2024-09-13T00:00:00"/>
        <d v="2024-12-12T00:00:00"/>
        <d v="2024-08-21T00:00:00"/>
        <d v="2024-02-23T00:00:00"/>
        <d v="2024-04-25T00:00:00"/>
        <d v="2024-10-11T00:00:00"/>
        <d v="2024-02-10T00:00:00"/>
        <d v="2024-05-30T00:00:00"/>
        <d v="2024-04-24T00:00:00"/>
        <d v="2024-03-25T00:00:00"/>
        <d v="2024-05-15T00:00:00"/>
        <d v="2024-08-15T00:00:00"/>
        <d v="2024-02-09T00:00:00"/>
        <d v="2024-03-12T00:00:00"/>
        <d v="2024-09-03T00:00:00"/>
        <d v="2024-03-19T00:00:00"/>
        <d v="2024-11-06T00:00:00"/>
        <d v="2024-11-24T00:00:00"/>
        <d v="2024-10-19T00:00:00"/>
        <d v="2024-01-01T00:00:00"/>
        <d v="2024-09-12T00:00:00"/>
        <d v="2024-07-02T00:00:00"/>
        <d v="2024-03-03T00:00:00"/>
        <d v="2024-06-18T00:00:00"/>
        <d v="2024-07-31T00:00:00"/>
        <d v="2024-11-20T00:00:00"/>
        <d v="2024-09-17T00:00:00"/>
        <d v="2024-01-24T00:00:00"/>
        <d v="2024-04-30T00:00:00"/>
        <d v="2024-01-30T00:00:00"/>
        <d v="2024-02-03T00:00:00"/>
        <d v="2024-06-14T00:00:00"/>
        <d v="2024-02-11T00:00:00"/>
        <d v="2024-07-11T00:00:00"/>
        <d v="2024-03-15T00:00:00"/>
        <d v="2024-10-22T00:00:00"/>
        <d v="2024-02-04T00:00:00"/>
        <d v="2024-01-31T00:00:00"/>
        <d v="2024-01-09T00:00:00"/>
        <d v="2024-02-16T00:00:00"/>
        <d v="2024-02-06T00:00:00"/>
        <d v="2024-12-10T00:00:00"/>
        <d v="2024-06-16T00:00:00"/>
        <d v="2024-11-11T00:00:00"/>
        <d v="2024-03-04T00:00:00"/>
        <d v="2024-06-06T00:00:00"/>
        <d v="2024-12-29T00:00:00"/>
        <d v="2024-12-17T00:00:00"/>
        <d v="2024-04-20T00:00:00"/>
        <d v="2024-07-29T00:00:00"/>
        <d v="2024-12-03T00:00:00"/>
        <d v="2024-10-05T00:00:00"/>
        <d v="2024-10-30T00:00:00"/>
        <d v="2024-12-18T00:00:00"/>
        <d v="2024-02-21T00:00:00"/>
        <d v="2024-07-13T00:00:00"/>
        <d v="2024-05-08T00:00:00"/>
        <d v="2024-06-01T00:00:00"/>
        <d v="2024-06-29T00:00:00"/>
        <d v="2024-11-17T00:00:00"/>
        <d v="2024-03-11T00:00:00"/>
        <d v="2024-10-16T00:00:00"/>
        <d v="2024-02-12T00:00:00"/>
        <d v="2024-04-12T00:00:00"/>
        <d v="2024-06-11T00:00:00"/>
        <d v="2024-12-09T00:00:00"/>
        <d v="2024-07-20T00:00:00"/>
        <d v="2024-02-02T00:00:00"/>
        <d v="2024-09-08T00:00:00"/>
        <d v="2024-05-03T00:00:00"/>
        <d v="2024-09-19T00:00:00"/>
        <d v="2024-11-07T00:00:00"/>
        <d v="2024-04-10T00:00:00"/>
        <d v="2024-12-02T00:00:00"/>
        <d v="2024-10-24T00:00:00"/>
        <d v="2024-05-29T00:00:00"/>
        <d v="2024-09-09T00:00:00"/>
        <d v="2024-03-20T00:00:00"/>
        <d v="2024-06-22T00:00:00"/>
        <d v="2024-07-23T00:00:00"/>
        <d v="2024-07-30T00:00:00"/>
        <d v="2024-10-21T00:00:00"/>
        <d v="2024-05-04T00:00:00"/>
        <d v="2024-10-10T00:00:00"/>
        <d v="2024-10-07T00:00:00"/>
        <d v="2024-12-27T00:00:00"/>
      </sharedItems>
      <fieldGroup par="15"/>
    </cacheField>
    <cacheField name="platform" numFmtId="0">
      <sharedItems count="3">
        <s v="Google Ads"/>
        <s v="TikTok Ads"/>
        <s v="Meta Ads"/>
      </sharedItems>
    </cacheField>
    <cacheField name="campaign_type" numFmtId="0">
      <sharedItems count="4">
        <s v="Search"/>
        <s v="Video"/>
        <s v="Shopping"/>
        <s v="Display"/>
      </sharedItems>
    </cacheField>
    <cacheField name="industry" numFmtId="0">
      <sharedItems count="5">
        <s v="Fintech"/>
        <s v="EdTech"/>
        <s v="Healthcare"/>
        <s v="SaaS"/>
        <s v="E-commerce"/>
      </sharedItems>
    </cacheField>
    <cacheField name="country" numFmtId="0">
      <sharedItems count="7">
        <s v="UAE"/>
        <s v="UK"/>
        <s v="USA"/>
        <s v="Germany"/>
        <s v="Canada"/>
        <s v="India"/>
        <s v="Australia"/>
      </sharedItems>
    </cacheField>
    <cacheField name="impressions" numFmtId="0">
      <sharedItems containsSemiMixedTypes="0" containsString="0" containsNumber="1" containsInteger="1" minValue="5059" maxValue="199650"/>
    </cacheField>
    <cacheField name="clicks" numFmtId="0">
      <sharedItems containsSemiMixedTypes="0" containsString="0" containsNumber="1" containsInteger="1" minValue="91" maxValue="16660"/>
    </cacheField>
    <cacheField name="ad_spend" numFmtId="0">
      <sharedItems containsSemiMixedTypes="0" containsString="0" containsNumber="1" minValue="58" maxValue="38453.32"/>
    </cacheField>
    <cacheField name="conversions" numFmtId="0">
      <sharedItems containsSemiMixedTypes="0" containsString="0" containsNumber="1" containsInteger="1" minValue="2" maxValue="1151"/>
    </cacheField>
    <cacheField name="revenue" numFmtId="0">
      <sharedItems containsSemiMixedTypes="0" containsString="0" containsNumber="1" minValue="142.69" maxValue="295028.26"/>
    </cacheField>
    <cacheField name="CTR" numFmtId="10">
      <sharedItems containsSemiMixedTypes="0" containsString="0" containsNumber="1" minValue="8.8964698406327862E-3" maxValue="9.5588964969733056E-2"/>
    </cacheField>
    <cacheField name="CPC" numFmtId="164">
      <sharedItems containsSemiMixedTypes="0" containsString="0" containsNumber="1" minValue="0.28000000000000003" maxValue="3.95"/>
    </cacheField>
    <cacheField name="CPA" numFmtId="164">
      <sharedItems containsSemiMixedTypes="0" containsString="0" containsNumber="1" minValue="4.7988888888888894" maxValue="335.86444444444447"/>
    </cacheField>
    <cacheField name="ROAS" numFmtId="165">
      <sharedItems containsSemiMixedTypes="0" containsString="0" containsNumber="1" minValue="0.13238691899533978" maxValue="49.004156501310206"/>
    </cacheField>
    <cacheField name="Days (date)" numFmtId="0" databaseField="0">
      <fieldGroup base="0">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0">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426307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x v="0"/>
    <x v="0"/>
    <n v="59886"/>
    <n v="2113"/>
    <n v="2662.38"/>
    <n v="159"/>
    <n v="4803.43"/>
    <n v="3.5283705707510937E-2"/>
    <n v="1.26"/>
    <n v="16.744528301886792"/>
    <n v="1.8041864797662241"/>
  </r>
  <r>
    <x v="1"/>
    <x v="1"/>
    <x v="0"/>
    <x v="1"/>
    <x v="1"/>
    <n v="135608"/>
    <n v="5220"/>
    <n v="6159.6"/>
    <n v="411"/>
    <n v="64126.68"/>
    <n v="3.8493304229838946E-2"/>
    <n v="1.1800000000000002"/>
    <n v="14.986861313868614"/>
    <n v="10.410851353984024"/>
  </r>
  <r>
    <x v="2"/>
    <x v="1"/>
    <x v="1"/>
    <x v="2"/>
    <x v="2"/>
    <n v="92313"/>
    <n v="5991"/>
    <n v="5092.3500000000004"/>
    <n v="267"/>
    <n v="10489.07"/>
    <n v="6.4898768320821559E-2"/>
    <n v="0.85000000000000009"/>
    <n v="19.072471910112363"/>
    <n v="2.0597700472277043"/>
  </r>
  <r>
    <x v="3"/>
    <x v="1"/>
    <x v="2"/>
    <x v="3"/>
    <x v="3"/>
    <n v="83953"/>
    <n v="5935"/>
    <n v="7834.2"/>
    <n v="296"/>
    <n v="50505.07"/>
    <n v="7.0694317058354078E-2"/>
    <n v="1.32"/>
    <n v="26.466891891891891"/>
    <n v="6.4467424880651505"/>
  </r>
  <r>
    <x v="4"/>
    <x v="1"/>
    <x v="0"/>
    <x v="2"/>
    <x v="1"/>
    <n v="91807"/>
    <n v="4489"/>
    <n v="8663.77"/>
    <n v="107"/>
    <n v="3369.53"/>
    <n v="4.8896053677824132E-2"/>
    <n v="1.9300000000000002"/>
    <n v="80.969813084112147"/>
    <n v="0.38892191274699123"/>
  </r>
  <r>
    <x v="5"/>
    <x v="1"/>
    <x v="0"/>
    <x v="0"/>
    <x v="4"/>
    <n v="17666"/>
    <n v="724"/>
    <n v="267.88"/>
    <n v="23"/>
    <n v="5220.8500000000004"/>
    <n v="4.0982678591644971E-2"/>
    <n v="0.37"/>
    <n v="11.64695652173913"/>
    <n v="19.489510228460507"/>
  </r>
  <r>
    <x v="6"/>
    <x v="2"/>
    <x v="1"/>
    <x v="0"/>
    <x v="2"/>
    <n v="118252"/>
    <n v="3748"/>
    <n v="1574.16"/>
    <n v="152"/>
    <n v="12838.56"/>
    <n v="3.1695024185637452E-2"/>
    <n v="0.42000000000000004"/>
    <n v="10.356315789473685"/>
    <n v="8.1558164354322304"/>
  </r>
  <r>
    <x v="7"/>
    <x v="1"/>
    <x v="0"/>
    <x v="1"/>
    <x v="0"/>
    <n v="92939"/>
    <n v="5176"/>
    <n v="3416.16"/>
    <n v="388"/>
    <n v="96298.69"/>
    <n v="5.5692443430637298E-2"/>
    <n v="0.65999999999999992"/>
    <n v="8.8045360824742271"/>
    <n v="28.189162685588499"/>
  </r>
  <r>
    <x v="8"/>
    <x v="2"/>
    <x v="3"/>
    <x v="1"/>
    <x v="3"/>
    <n v="30939"/>
    <n v="937"/>
    <n v="552.83000000000004"/>
    <n v="63"/>
    <n v="16531.03"/>
    <n v="3.0285400303823654E-2"/>
    <n v="0.59000000000000008"/>
    <n v="8.7750793650793657"/>
    <n v="29.902555939438884"/>
  </r>
  <r>
    <x v="9"/>
    <x v="0"/>
    <x v="2"/>
    <x v="0"/>
    <x v="2"/>
    <n v="8748"/>
    <n v="362"/>
    <n v="438.02"/>
    <n v="10"/>
    <n v="966.57"/>
    <n v="4.1380887059899403E-2"/>
    <n v="1.21"/>
    <n v="43.802"/>
    <n v="2.2066800602712209"/>
  </r>
  <r>
    <x v="10"/>
    <x v="2"/>
    <x v="1"/>
    <x v="4"/>
    <x v="0"/>
    <n v="98264"/>
    <n v="3144"/>
    <n v="4904.6400000000003"/>
    <n v="129"/>
    <n v="23127.27"/>
    <n v="3.1995440853211758E-2"/>
    <n v="1.56"/>
    <n v="38.02046511627907"/>
    <n v="4.7153858387159913"/>
  </r>
  <r>
    <x v="11"/>
    <x v="2"/>
    <x v="1"/>
    <x v="0"/>
    <x v="4"/>
    <n v="173229"/>
    <n v="5092"/>
    <n v="8758.24"/>
    <n v="65"/>
    <n v="12320.17"/>
    <n v="2.9394616374856405E-2"/>
    <n v="1.72"/>
    <n v="134.74215384615385"/>
    <n v="1.4066947240541479"/>
  </r>
  <r>
    <x v="12"/>
    <x v="2"/>
    <x v="1"/>
    <x v="3"/>
    <x v="4"/>
    <n v="147483"/>
    <n v="2138"/>
    <n v="1218.6600000000001"/>
    <n v="159"/>
    <n v="42434.18"/>
    <n v="1.4496586047205441E-2"/>
    <n v="0.57000000000000006"/>
    <n v="7.6645283018867927"/>
    <n v="34.820360067615248"/>
  </r>
  <r>
    <x v="13"/>
    <x v="0"/>
    <x v="2"/>
    <x v="3"/>
    <x v="2"/>
    <n v="116472"/>
    <n v="4006"/>
    <n v="10736.08"/>
    <n v="291"/>
    <n v="78428.38"/>
    <n v="3.4394532591524141E-2"/>
    <n v="2.68"/>
    <n v="36.893745704467356"/>
    <n v="7.3051225400704913"/>
  </r>
  <r>
    <x v="10"/>
    <x v="1"/>
    <x v="2"/>
    <x v="1"/>
    <x v="4"/>
    <n v="37711"/>
    <n v="2111"/>
    <n v="1435.48"/>
    <n v="92"/>
    <n v="13898.86"/>
    <n v="5.5978361751213172E-2"/>
    <n v="0.68"/>
    <n v="15.60304347826087"/>
    <n v="9.6823780198957845"/>
  </r>
  <r>
    <x v="5"/>
    <x v="1"/>
    <x v="2"/>
    <x v="4"/>
    <x v="3"/>
    <n v="96412"/>
    <n v="7047"/>
    <n v="7822.17"/>
    <n v="194"/>
    <n v="36717.43"/>
    <n v="7.3092561091980257E-2"/>
    <n v="1.1100000000000001"/>
    <n v="40.320463917525771"/>
    <n v="4.6940209686058987"/>
  </r>
  <r>
    <x v="14"/>
    <x v="1"/>
    <x v="1"/>
    <x v="0"/>
    <x v="4"/>
    <n v="184476"/>
    <n v="8854"/>
    <n v="3098.9"/>
    <n v="198"/>
    <n v="56216.92"/>
    <n v="4.7995403196079707E-2"/>
    <n v="0.35000000000000003"/>
    <n v="15.651010101010101"/>
    <n v="18.140927425860788"/>
  </r>
  <r>
    <x v="15"/>
    <x v="1"/>
    <x v="0"/>
    <x v="0"/>
    <x v="3"/>
    <n v="38828"/>
    <n v="3607"/>
    <n v="3498.79"/>
    <n v="116"/>
    <n v="8788.51"/>
    <n v="9.2896878541258887E-2"/>
    <n v="0.97"/>
    <n v="30.161982758620688"/>
    <n v="2.5118712469167912"/>
  </r>
  <r>
    <x v="16"/>
    <x v="2"/>
    <x v="1"/>
    <x v="3"/>
    <x v="4"/>
    <n v="187957"/>
    <n v="4586"/>
    <n v="9630.6"/>
    <n v="271"/>
    <n v="34433.97"/>
    <n v="2.4399197688833085E-2"/>
    <n v="2.1"/>
    <n v="35.537269372693729"/>
    <n v="3.5754750482835962"/>
  </r>
  <r>
    <x v="17"/>
    <x v="0"/>
    <x v="1"/>
    <x v="3"/>
    <x v="4"/>
    <n v="34592"/>
    <n v="1615"/>
    <n v="1857.25"/>
    <n v="116"/>
    <n v="4344.96"/>
    <n v="4.6687095282146159E-2"/>
    <n v="1.1499999999999999"/>
    <n v="16.010775862068964"/>
    <n v="2.3394588773724592"/>
  </r>
  <r>
    <x v="18"/>
    <x v="2"/>
    <x v="2"/>
    <x v="0"/>
    <x v="2"/>
    <n v="185798"/>
    <n v="5889"/>
    <n v="5300.1"/>
    <n v="400"/>
    <n v="41326.629999999997"/>
    <n v="3.1695712548036041E-2"/>
    <n v="0.9"/>
    <n v="13.250250000000001"/>
    <n v="7.7973302390520924"/>
  </r>
  <r>
    <x v="19"/>
    <x v="1"/>
    <x v="1"/>
    <x v="1"/>
    <x v="5"/>
    <n v="194407"/>
    <n v="13122"/>
    <n v="11153.7"/>
    <n v="379"/>
    <n v="56289.95"/>
    <n v="6.7497569531961302E-2"/>
    <n v="0.85000000000000009"/>
    <n v="29.429287598944594"/>
    <n v="5.0467513022584427"/>
  </r>
  <r>
    <x v="9"/>
    <x v="0"/>
    <x v="0"/>
    <x v="3"/>
    <x v="0"/>
    <n v="188062"/>
    <n v="8143"/>
    <n v="14657.4"/>
    <n v="614"/>
    <n v="124232.5"/>
    <n v="4.3299550148355327E-2"/>
    <n v="1.8"/>
    <n v="23.871986970684038"/>
    <n v="8.4757528620355593"/>
  </r>
  <r>
    <x v="20"/>
    <x v="2"/>
    <x v="2"/>
    <x v="2"/>
    <x v="5"/>
    <n v="195710"/>
    <n v="4481"/>
    <n v="2374.9299999999998"/>
    <n v="352"/>
    <n v="27223.39"/>
    <n v="2.2896121812886413E-2"/>
    <n v="0.52999999999999992"/>
    <n v="6.7469602272727265"/>
    <n v="11.462817851473517"/>
  </r>
  <r>
    <x v="21"/>
    <x v="0"/>
    <x v="3"/>
    <x v="2"/>
    <x v="6"/>
    <n v="198824"/>
    <n v="9046"/>
    <n v="32656.06"/>
    <n v="407"/>
    <n v="71482.19"/>
    <n v="4.5497525449643909E-2"/>
    <n v="3.6100000000000003"/>
    <n v="80.236019656019664"/>
    <n v="2.1889410418770665"/>
  </r>
  <r>
    <x v="22"/>
    <x v="2"/>
    <x v="2"/>
    <x v="3"/>
    <x v="2"/>
    <n v="196962"/>
    <n v="5081"/>
    <n v="10466.86"/>
    <n v="282"/>
    <n v="24196.95"/>
    <n v="2.579685421553396E-2"/>
    <n v="2.06"/>
    <n v="37.116524822695041"/>
    <n v="2.3117678081105506"/>
  </r>
  <r>
    <x v="23"/>
    <x v="0"/>
    <x v="2"/>
    <x v="3"/>
    <x v="0"/>
    <n v="105386"/>
    <n v="3783"/>
    <n v="6885.06"/>
    <n v="130"/>
    <n v="36776.35"/>
    <n v="3.589660865769647E-2"/>
    <n v="1.82"/>
    <n v="52.962000000000003"/>
    <n v="5.3414712435330989"/>
  </r>
  <r>
    <x v="24"/>
    <x v="0"/>
    <x v="0"/>
    <x v="2"/>
    <x v="0"/>
    <n v="49425"/>
    <n v="1996"/>
    <n v="2534.92"/>
    <n v="98"/>
    <n v="9253.27"/>
    <n v="4.0384420839656043E-2"/>
    <n v="1.27"/>
    <n v="25.866530612244897"/>
    <n v="3.6503203256907515"/>
  </r>
  <r>
    <x v="25"/>
    <x v="2"/>
    <x v="1"/>
    <x v="4"/>
    <x v="4"/>
    <n v="191141"/>
    <n v="4453"/>
    <n v="5477.19"/>
    <n v="72"/>
    <n v="8367.4599999999991"/>
    <n v="2.3296937862624972E-2"/>
    <n v="1.23"/>
    <n v="76.072083333333325"/>
    <n v="1.5276921194992321"/>
  </r>
  <r>
    <x v="26"/>
    <x v="1"/>
    <x v="2"/>
    <x v="1"/>
    <x v="4"/>
    <n v="91900"/>
    <n v="4696"/>
    <n v="2488.88"/>
    <n v="367"/>
    <n v="109696.83"/>
    <n v="5.1099020674646355E-2"/>
    <n v="0.53"/>
    <n v="6.7816893732970032"/>
    <n v="44.074776606345019"/>
  </r>
  <r>
    <x v="27"/>
    <x v="0"/>
    <x v="1"/>
    <x v="2"/>
    <x v="4"/>
    <n v="11801"/>
    <n v="795"/>
    <n v="2361.15"/>
    <n v="57"/>
    <n v="3966.25"/>
    <n v="6.7367172273536141E-2"/>
    <n v="2.97"/>
    <n v="41.423684210526318"/>
    <n v="1.6797958621857991"/>
  </r>
  <r>
    <x v="28"/>
    <x v="2"/>
    <x v="3"/>
    <x v="0"/>
    <x v="0"/>
    <n v="193926"/>
    <n v="5837"/>
    <n v="5837"/>
    <n v="193"/>
    <n v="28429.29"/>
    <n v="3.0099109969782288E-2"/>
    <n v="1"/>
    <n v="30.243523316062177"/>
    <n v="4.870531094740449"/>
  </r>
  <r>
    <x v="29"/>
    <x v="0"/>
    <x v="3"/>
    <x v="1"/>
    <x v="5"/>
    <n v="35355"/>
    <n v="961"/>
    <n v="2133.42"/>
    <n v="68"/>
    <n v="6145.22"/>
    <n v="2.7181445340121624E-2"/>
    <n v="2.2200000000000002"/>
    <n v="31.373823529411766"/>
    <n v="2.8804548565214541"/>
  </r>
  <r>
    <x v="30"/>
    <x v="1"/>
    <x v="2"/>
    <x v="2"/>
    <x v="0"/>
    <n v="133148"/>
    <n v="9120"/>
    <n v="4560"/>
    <n v="279"/>
    <n v="83385.98"/>
    <n v="6.8495208339592037E-2"/>
    <n v="0.5"/>
    <n v="16.344086021505376"/>
    <n v="18.286399122807016"/>
  </r>
  <r>
    <x v="31"/>
    <x v="2"/>
    <x v="1"/>
    <x v="4"/>
    <x v="4"/>
    <n v="104657"/>
    <n v="4029"/>
    <n v="2860.59"/>
    <n v="204"/>
    <n v="10401.620000000001"/>
    <n v="3.8497186045844997E-2"/>
    <n v="0.71000000000000008"/>
    <n v="14.022500000000001"/>
    <n v="3.6361799488916624"/>
  </r>
  <r>
    <x v="32"/>
    <x v="1"/>
    <x v="2"/>
    <x v="0"/>
    <x v="5"/>
    <n v="174160"/>
    <n v="9683"/>
    <n v="17816.72"/>
    <n v="512"/>
    <n v="73177.919999999998"/>
    <n v="5.5598300413412953E-2"/>
    <n v="1.84"/>
    <n v="34.798281250000002"/>
    <n v="4.1072610446816249"/>
  </r>
  <r>
    <x v="33"/>
    <x v="1"/>
    <x v="3"/>
    <x v="0"/>
    <x v="0"/>
    <n v="6015"/>
    <n v="410"/>
    <n v="791.3"/>
    <n v="28"/>
    <n v="4383.32"/>
    <n v="6.816292601828762E-2"/>
    <n v="1.93"/>
    <n v="28.260714285714283"/>
    <n v="5.5393908757740427"/>
  </r>
  <r>
    <x v="34"/>
    <x v="2"/>
    <x v="0"/>
    <x v="2"/>
    <x v="6"/>
    <n v="17763"/>
    <n v="726"/>
    <n v="1408.44"/>
    <n v="30"/>
    <n v="1946.19"/>
    <n v="4.0871474413105895E-2"/>
    <n v="1.9400000000000002"/>
    <n v="46.948"/>
    <n v="1.381805401721053"/>
  </r>
  <r>
    <x v="35"/>
    <x v="1"/>
    <x v="0"/>
    <x v="1"/>
    <x v="5"/>
    <n v="97193"/>
    <n v="6230"/>
    <n v="9968"/>
    <n v="306"/>
    <n v="81609.119999999995"/>
    <n v="6.4099266408074659E-2"/>
    <n v="1.6"/>
    <n v="32.575163398692808"/>
    <n v="8.1871107544141246"/>
  </r>
  <r>
    <x v="36"/>
    <x v="2"/>
    <x v="2"/>
    <x v="2"/>
    <x v="0"/>
    <n v="58682"/>
    <n v="1748"/>
    <n v="2604.52"/>
    <n v="84"/>
    <n v="12746.65"/>
    <n v="2.9787669131931427E-2"/>
    <n v="1.49"/>
    <n v="31.006190476190476"/>
    <n v="4.8940495753536162"/>
  </r>
  <r>
    <x v="37"/>
    <x v="1"/>
    <x v="3"/>
    <x v="3"/>
    <x v="4"/>
    <n v="108196"/>
    <n v="5334"/>
    <n v="5280.66"/>
    <n v="289"/>
    <n v="27408.560000000001"/>
    <n v="4.9299419571888055E-2"/>
    <n v="0.99"/>
    <n v="18.272179930795847"/>
    <n v="5.1903663557206867"/>
  </r>
  <r>
    <x v="38"/>
    <x v="0"/>
    <x v="0"/>
    <x v="0"/>
    <x v="5"/>
    <n v="63243"/>
    <n v="1707"/>
    <n v="3823.68"/>
    <n v="37"/>
    <n v="3893.12"/>
    <n v="2.6991129453062E-2"/>
    <n v="2.2399999999999998"/>
    <n v="103.3427027027027"/>
    <n v="1.0181605155243116"/>
  </r>
  <r>
    <x v="15"/>
    <x v="0"/>
    <x v="0"/>
    <x v="4"/>
    <x v="0"/>
    <n v="152979"/>
    <n v="4650"/>
    <n v="3673.5"/>
    <n v="330"/>
    <n v="91949.73"/>
    <n v="3.039632890788932E-2"/>
    <n v="0.79"/>
    <n v="11.131818181818181"/>
    <n v="25.030551245406286"/>
  </r>
  <r>
    <x v="38"/>
    <x v="0"/>
    <x v="3"/>
    <x v="1"/>
    <x v="2"/>
    <n v="132600"/>
    <n v="6802"/>
    <n v="10407.06"/>
    <n v="97"/>
    <n v="6779.29"/>
    <n v="5.1297134238310706E-2"/>
    <n v="1.53"/>
    <n v="107.28927835051546"/>
    <n v="0.65141259875507596"/>
  </r>
  <r>
    <x v="39"/>
    <x v="0"/>
    <x v="1"/>
    <x v="0"/>
    <x v="6"/>
    <n v="110977"/>
    <n v="4150"/>
    <n v="4689.5"/>
    <n v="197"/>
    <n v="18314.78"/>
    <n v="3.7395135929066382E-2"/>
    <n v="1.1299999999999999"/>
    <n v="23.804568527918782"/>
    <n v="3.9054867256637165"/>
  </r>
  <r>
    <x v="40"/>
    <x v="0"/>
    <x v="0"/>
    <x v="1"/>
    <x v="1"/>
    <n v="87152"/>
    <n v="3599"/>
    <n v="9465.3700000000008"/>
    <n v="127"/>
    <n v="25958.5"/>
    <n v="4.1295667339820083E-2"/>
    <n v="2.6300000000000003"/>
    <n v="74.530472440944891"/>
    <n v="2.7424707116573361"/>
  </r>
  <r>
    <x v="41"/>
    <x v="2"/>
    <x v="2"/>
    <x v="0"/>
    <x v="0"/>
    <n v="164096"/>
    <n v="1919"/>
    <n v="1266.54"/>
    <n v="139"/>
    <n v="7181.17"/>
    <n v="1.1694374024960999E-2"/>
    <n v="0.66"/>
    <n v="9.1117985611510797"/>
    <n v="5.6699117280149069"/>
  </r>
  <r>
    <x v="42"/>
    <x v="2"/>
    <x v="2"/>
    <x v="2"/>
    <x v="3"/>
    <n v="21389"/>
    <n v="941"/>
    <n v="752.8"/>
    <n v="46"/>
    <n v="8479.43"/>
    <n v="4.3994576651549863E-2"/>
    <n v="0.79999999999999993"/>
    <n v="16.365217391304348"/>
    <n v="11.263854941551543"/>
  </r>
  <r>
    <x v="43"/>
    <x v="0"/>
    <x v="2"/>
    <x v="2"/>
    <x v="5"/>
    <n v="69323"/>
    <n v="2169"/>
    <n v="4750.1099999999997"/>
    <n v="94"/>
    <n v="16337.12"/>
    <n v="3.1288317008784962E-2"/>
    <n v="2.19"/>
    <n v="50.533085106382977"/>
    <n v="3.4393140369380926"/>
  </r>
  <r>
    <x v="44"/>
    <x v="0"/>
    <x v="3"/>
    <x v="3"/>
    <x v="0"/>
    <n v="138291"/>
    <n v="3318"/>
    <n v="2753.94"/>
    <n v="217"/>
    <n v="12761.51"/>
    <n v="2.3992884569494759E-2"/>
    <n v="0.83000000000000007"/>
    <n v="12.690967741935484"/>
    <n v="4.6339099617275616"/>
  </r>
  <r>
    <x v="45"/>
    <x v="1"/>
    <x v="2"/>
    <x v="1"/>
    <x v="1"/>
    <n v="72444"/>
    <n v="2339"/>
    <n v="3251.21"/>
    <n v="153"/>
    <n v="12919.22"/>
    <n v="3.2287007895753964E-2"/>
    <n v="1.3900000000000001"/>
    <n v="21.249738562091505"/>
    <n v="3.9736651892679955"/>
  </r>
  <r>
    <x v="46"/>
    <x v="0"/>
    <x v="0"/>
    <x v="2"/>
    <x v="0"/>
    <n v="160002"/>
    <n v="7520"/>
    <n v="22259.200000000001"/>
    <n v="403"/>
    <n v="70823.58"/>
    <n v="4.6999412507343657E-2"/>
    <n v="2.96"/>
    <n v="55.233746898263028"/>
    <n v="3.1817666403105234"/>
  </r>
  <r>
    <x v="47"/>
    <x v="2"/>
    <x v="0"/>
    <x v="4"/>
    <x v="2"/>
    <n v="16246"/>
    <n v="448"/>
    <n v="891.52"/>
    <n v="8"/>
    <n v="1955.09"/>
    <n v="2.7576018712298412E-2"/>
    <n v="1.99"/>
    <n v="111.44"/>
    <n v="2.1929850143575016"/>
  </r>
  <r>
    <x v="48"/>
    <x v="2"/>
    <x v="2"/>
    <x v="0"/>
    <x v="3"/>
    <n v="15789"/>
    <n v="423"/>
    <n v="765.63"/>
    <n v="7"/>
    <n v="1223.95"/>
    <n v="2.6790803724111724E-2"/>
    <n v="1.81"/>
    <n v="109.37571428571428"/>
    <n v="1.5986181314734271"/>
  </r>
  <r>
    <x v="48"/>
    <x v="0"/>
    <x v="0"/>
    <x v="1"/>
    <x v="6"/>
    <n v="25103"/>
    <n v="710"/>
    <n v="1661.4"/>
    <n v="24"/>
    <n v="1896.75"/>
    <n v="2.8283472094968728E-2"/>
    <n v="2.3400000000000003"/>
    <n v="69.225000000000009"/>
    <n v="1.1416576381365113"/>
  </r>
  <r>
    <x v="49"/>
    <x v="1"/>
    <x v="3"/>
    <x v="3"/>
    <x v="5"/>
    <n v="138515"/>
    <n v="4377"/>
    <n v="2232.27"/>
    <n v="285"/>
    <n v="10321.59"/>
    <n v="3.1599465761830849E-2"/>
    <n v="0.51"/>
    <n v="7.8325263157894733"/>
    <n v="4.6238089478423312"/>
  </r>
  <r>
    <x v="50"/>
    <x v="2"/>
    <x v="0"/>
    <x v="1"/>
    <x v="6"/>
    <n v="180399"/>
    <n v="6025"/>
    <n v="4217.5"/>
    <n v="191"/>
    <n v="17456.79"/>
    <n v="3.3398189568678321E-2"/>
    <n v="0.7"/>
    <n v="22.081151832460733"/>
    <n v="4.1391321873147602"/>
  </r>
  <r>
    <x v="51"/>
    <x v="2"/>
    <x v="1"/>
    <x v="4"/>
    <x v="0"/>
    <n v="62545"/>
    <n v="606"/>
    <n v="1187.76"/>
    <n v="37"/>
    <n v="5627.66"/>
    <n v="9.6890239027899918E-3"/>
    <n v="1.96"/>
    <n v="32.101621621621618"/>
    <n v="4.7380447228396312"/>
  </r>
  <r>
    <x v="52"/>
    <x v="0"/>
    <x v="2"/>
    <x v="0"/>
    <x v="4"/>
    <n v="72526"/>
    <n v="2146"/>
    <n v="3347.76"/>
    <n v="168"/>
    <n v="25859.74"/>
    <n v="2.9589388633041943E-2"/>
    <n v="1.56"/>
    <n v="19.927142857142858"/>
    <n v="7.7244904055248886"/>
  </r>
  <r>
    <x v="53"/>
    <x v="2"/>
    <x v="3"/>
    <x v="1"/>
    <x v="6"/>
    <n v="67823"/>
    <n v="2075"/>
    <n v="3797.25"/>
    <n v="26"/>
    <n v="4093.91"/>
    <n v="3.059434115270631E-2"/>
    <n v="1.83"/>
    <n v="146.04807692307693"/>
    <n v="1.0781249588518007"/>
  </r>
  <r>
    <x v="54"/>
    <x v="2"/>
    <x v="3"/>
    <x v="4"/>
    <x v="5"/>
    <n v="164937"/>
    <n v="4453"/>
    <n v="4809.24"/>
    <n v="129"/>
    <n v="35127.5"/>
    <n v="2.6998187186622773E-2"/>
    <n v="1.0799999999999998"/>
    <n v="37.280930232558141"/>
    <n v="7.3041686420307581"/>
  </r>
  <r>
    <x v="20"/>
    <x v="2"/>
    <x v="0"/>
    <x v="1"/>
    <x v="1"/>
    <n v="114575"/>
    <n v="2039"/>
    <n v="1080.67"/>
    <n v="113"/>
    <n v="10656.96"/>
    <n v="1.7796203360244383E-2"/>
    <n v="0.53"/>
    <n v="9.5634513274336292"/>
    <n v="9.8614378117279085"/>
  </r>
  <r>
    <x v="55"/>
    <x v="0"/>
    <x v="2"/>
    <x v="0"/>
    <x v="3"/>
    <n v="132157"/>
    <n v="2999"/>
    <n v="2789.07"/>
    <n v="152"/>
    <n v="21855.26"/>
    <n v="2.2692706402233708E-2"/>
    <n v="0.93"/>
    <n v="18.349144736842106"/>
    <n v="7.8360385361428708"/>
  </r>
  <r>
    <x v="56"/>
    <x v="1"/>
    <x v="1"/>
    <x v="2"/>
    <x v="3"/>
    <n v="108145"/>
    <n v="3882"/>
    <n v="3649.08"/>
    <n v="98"/>
    <n v="28726.52"/>
    <n v="3.5896250404549447E-2"/>
    <n v="0.94"/>
    <n v="37.235510204081635"/>
    <n v="7.8722636938625632"/>
  </r>
  <r>
    <x v="57"/>
    <x v="1"/>
    <x v="0"/>
    <x v="3"/>
    <x v="5"/>
    <n v="72642"/>
    <n v="3014"/>
    <n v="3496.24"/>
    <n v="59"/>
    <n v="15070.44"/>
    <n v="4.1491148371465544E-2"/>
    <n v="1.1599999999999999"/>
    <n v="59.258305084745757"/>
    <n v="4.3104706770702244"/>
  </r>
  <r>
    <x v="58"/>
    <x v="1"/>
    <x v="3"/>
    <x v="2"/>
    <x v="0"/>
    <n v="131678"/>
    <n v="8374"/>
    <n v="7620.34"/>
    <n v="505"/>
    <n v="29682.01"/>
    <n v="6.359452604079649E-2"/>
    <n v="0.91"/>
    <n v="15.089782178217822"/>
    <n v="3.8951031056357062"/>
  </r>
  <r>
    <x v="59"/>
    <x v="0"/>
    <x v="1"/>
    <x v="4"/>
    <x v="6"/>
    <n v="34402"/>
    <n v="1314"/>
    <n v="4323.0600000000004"/>
    <n v="17"/>
    <n v="1273.24"/>
    <n v="3.8195453752688797E-2"/>
    <n v="3.2900000000000005"/>
    <n v="254.29764705882354"/>
    <n v="0.29452286112152037"/>
  </r>
  <r>
    <x v="60"/>
    <x v="2"/>
    <x v="1"/>
    <x v="2"/>
    <x v="3"/>
    <n v="58276"/>
    <n v="1183"/>
    <n v="1762.67"/>
    <n v="89"/>
    <n v="20273.71"/>
    <n v="2.0299951952776445E-2"/>
    <n v="1.49"/>
    <n v="19.805280898876404"/>
    <n v="11.501704800104386"/>
  </r>
  <r>
    <x v="6"/>
    <x v="0"/>
    <x v="2"/>
    <x v="1"/>
    <x v="4"/>
    <n v="168059"/>
    <n v="3462"/>
    <n v="10662.96"/>
    <n v="154"/>
    <n v="33243.769999999997"/>
    <n v="2.059990836551449E-2"/>
    <n v="3.0799999999999996"/>
    <n v="69.239999999999995"/>
    <n v="3.1176868336747021"/>
  </r>
  <r>
    <x v="41"/>
    <x v="2"/>
    <x v="1"/>
    <x v="0"/>
    <x v="4"/>
    <n v="91123"/>
    <n v="1567"/>
    <n v="3651.11"/>
    <n v="64"/>
    <n v="5119.1000000000004"/>
    <n v="1.7196536549499028E-2"/>
    <n v="2.33"/>
    <n v="57.048593750000002"/>
    <n v="1.402066768736083"/>
  </r>
  <r>
    <x v="61"/>
    <x v="2"/>
    <x v="2"/>
    <x v="0"/>
    <x v="6"/>
    <n v="16344"/>
    <n v="452"/>
    <n v="406.8"/>
    <n v="5"/>
    <n v="1102.53"/>
    <n v="2.7655408712677434E-2"/>
    <n v="0.9"/>
    <n v="81.36"/>
    <n v="2.7102507374631268"/>
  </r>
  <r>
    <x v="62"/>
    <x v="1"/>
    <x v="1"/>
    <x v="3"/>
    <x v="0"/>
    <n v="99457"/>
    <n v="5808"/>
    <n v="9292.7999999999993"/>
    <n v="80"/>
    <n v="12231.1"/>
    <n v="5.839709623254271E-2"/>
    <n v="1.5999999999999999"/>
    <n v="116.16"/>
    <n v="1.3161910296143251"/>
  </r>
  <r>
    <x v="63"/>
    <x v="2"/>
    <x v="1"/>
    <x v="4"/>
    <x v="5"/>
    <n v="57375"/>
    <n v="843"/>
    <n v="1357.23"/>
    <n v="40"/>
    <n v="9739.81"/>
    <n v="1.469281045751634E-2"/>
    <n v="1.61"/>
    <n v="33.930750000000003"/>
    <n v="7.1762413150313504"/>
  </r>
  <r>
    <x v="8"/>
    <x v="0"/>
    <x v="3"/>
    <x v="4"/>
    <x v="0"/>
    <n v="115017"/>
    <n v="2771"/>
    <n v="7093.76"/>
    <n v="95"/>
    <n v="22528.38"/>
    <n v="2.4092090734413173E-2"/>
    <n v="2.56"/>
    <n v="74.671157894736851"/>
    <n v="3.175802395344641"/>
  </r>
  <r>
    <x v="64"/>
    <x v="2"/>
    <x v="0"/>
    <x v="1"/>
    <x v="2"/>
    <n v="90431"/>
    <n v="1853"/>
    <n v="3150.1"/>
    <n v="57"/>
    <n v="14834.93"/>
    <n v="2.0490760911634286E-2"/>
    <n v="1.7"/>
    <n v="55.264912280701751"/>
    <n v="4.7093520840608241"/>
  </r>
  <r>
    <x v="65"/>
    <x v="2"/>
    <x v="0"/>
    <x v="4"/>
    <x v="2"/>
    <n v="140566"/>
    <n v="5046"/>
    <n v="3128.52"/>
    <n v="384"/>
    <n v="59980.19"/>
    <n v="3.5897727757779267E-2"/>
    <n v="0.62"/>
    <n v="8.1471874999999994"/>
    <n v="19.172065385549718"/>
  </r>
  <r>
    <x v="66"/>
    <x v="2"/>
    <x v="0"/>
    <x v="1"/>
    <x v="3"/>
    <n v="133583"/>
    <n v="3954"/>
    <n v="2570.1"/>
    <n v="255"/>
    <n v="31756.12"/>
    <n v="2.9599574796194128E-2"/>
    <n v="0.65"/>
    <n v="10.078823529411764"/>
    <n v="12.355986148398895"/>
  </r>
  <r>
    <x v="67"/>
    <x v="0"/>
    <x v="1"/>
    <x v="4"/>
    <x v="2"/>
    <n v="198555"/>
    <n v="13104"/>
    <n v="32235.84"/>
    <n v="336"/>
    <n v="58794.32"/>
    <n v="6.5996827075621364E-2"/>
    <n v="2.46"/>
    <n v="95.94"/>
    <n v="1.8238805007097689"/>
  </r>
  <r>
    <x v="68"/>
    <x v="2"/>
    <x v="3"/>
    <x v="2"/>
    <x v="1"/>
    <n v="88560"/>
    <n v="1319"/>
    <n v="685.88"/>
    <n v="81"/>
    <n v="8584.02"/>
    <n v="1.4893857271906053E-2"/>
    <n v="0.52"/>
    <n v="8.4676543209876538"/>
    <n v="12.515337959993003"/>
  </r>
  <r>
    <x v="69"/>
    <x v="0"/>
    <x v="3"/>
    <x v="0"/>
    <x v="0"/>
    <n v="117217"/>
    <n v="5602"/>
    <n v="19550.98"/>
    <n v="411"/>
    <n v="75729.259999999995"/>
    <n v="4.7791702568740033E-2"/>
    <n v="3.4899999999999998"/>
    <n v="47.56929440389294"/>
    <n v="3.8734252707536911"/>
  </r>
  <r>
    <x v="70"/>
    <x v="2"/>
    <x v="2"/>
    <x v="0"/>
    <x v="0"/>
    <n v="104616"/>
    <n v="4048"/>
    <n v="7164.96"/>
    <n v="233"/>
    <n v="45906.84"/>
    <n v="3.8693890035940967E-2"/>
    <n v="1.77"/>
    <n v="30.750901287553649"/>
    <n v="6.4071313726803769"/>
  </r>
  <r>
    <x v="71"/>
    <x v="1"/>
    <x v="1"/>
    <x v="2"/>
    <x v="4"/>
    <n v="79553"/>
    <n v="2712"/>
    <n v="840.72"/>
    <n v="170"/>
    <n v="16973.79"/>
    <n v="3.4090480560129727E-2"/>
    <n v="0.31"/>
    <n v="4.9454117647058826"/>
    <n v="20.189587496431631"/>
  </r>
  <r>
    <x v="15"/>
    <x v="0"/>
    <x v="0"/>
    <x v="0"/>
    <x v="2"/>
    <n v="170904"/>
    <n v="4751"/>
    <n v="5321.12"/>
    <n v="326"/>
    <n v="44297.15"/>
    <n v="2.7799232317558396E-2"/>
    <n v="1.1199999999999999"/>
    <n v="16.322453987730061"/>
    <n v="8.3247793697567438"/>
  </r>
  <r>
    <x v="72"/>
    <x v="0"/>
    <x v="0"/>
    <x v="2"/>
    <x v="5"/>
    <n v="88807"/>
    <n v="4999"/>
    <n v="11847.63"/>
    <n v="348"/>
    <n v="103474.34"/>
    <n v="5.629060772236423E-2"/>
    <n v="2.3699999999999997"/>
    <n v="34.044913793103447"/>
    <n v="8.733758566059203"/>
  </r>
  <r>
    <x v="6"/>
    <x v="2"/>
    <x v="2"/>
    <x v="1"/>
    <x v="4"/>
    <n v="157499"/>
    <n v="1574"/>
    <n v="2770.24"/>
    <n v="45"/>
    <n v="13465.06"/>
    <n v="9.993714245804735E-3"/>
    <n v="1.7599999999999998"/>
    <n v="61.560888888888883"/>
    <n v="4.8606113549728542"/>
  </r>
  <r>
    <x v="73"/>
    <x v="2"/>
    <x v="0"/>
    <x v="4"/>
    <x v="6"/>
    <n v="46846"/>
    <n v="983"/>
    <n v="707.76"/>
    <n v="11"/>
    <n v="2501.87"/>
    <n v="2.0983648550569951E-2"/>
    <n v="0.72"/>
    <n v="64.341818181818184"/>
    <n v="3.5349129648468405"/>
  </r>
  <r>
    <x v="74"/>
    <x v="1"/>
    <x v="0"/>
    <x v="0"/>
    <x v="3"/>
    <n v="104986"/>
    <n v="6131"/>
    <n v="2207.16"/>
    <n v="219"/>
    <n v="57679.5"/>
    <n v="5.8398262625492921E-2"/>
    <n v="0.36"/>
    <n v="10.07835616438356"/>
    <n v="26.132903822106236"/>
  </r>
  <r>
    <x v="32"/>
    <x v="2"/>
    <x v="2"/>
    <x v="1"/>
    <x v="5"/>
    <n v="172516"/>
    <n v="6314"/>
    <n v="4546.08"/>
    <n v="335"/>
    <n v="82096.800000000003"/>
    <n v="3.6599503814138977E-2"/>
    <n v="0.72"/>
    <n v="13.570388059701493"/>
    <n v="18.058811107591595"/>
  </r>
  <r>
    <x v="75"/>
    <x v="2"/>
    <x v="3"/>
    <x v="4"/>
    <x v="5"/>
    <n v="187099"/>
    <n v="2469"/>
    <n v="2049.27"/>
    <n v="103"/>
    <n v="3413.17"/>
    <n v="1.3196222320803424E-2"/>
    <n v="0.83"/>
    <n v="19.895825242718445"/>
    <n v="1.6655540753536626"/>
  </r>
  <r>
    <x v="76"/>
    <x v="0"/>
    <x v="2"/>
    <x v="3"/>
    <x v="5"/>
    <n v="111661"/>
    <n v="3930"/>
    <n v="3301.2"/>
    <n v="310"/>
    <n v="21226.880000000001"/>
    <n v="3.5195815907075878E-2"/>
    <n v="0.84"/>
    <n v="10.649032258064516"/>
    <n v="6.4300496789046413"/>
  </r>
  <r>
    <x v="77"/>
    <x v="2"/>
    <x v="3"/>
    <x v="1"/>
    <x v="3"/>
    <n v="79441"/>
    <n v="3082"/>
    <n v="1633.46"/>
    <n v="100"/>
    <n v="29391.59"/>
    <n v="3.8796087662542014E-2"/>
    <n v="0.53"/>
    <n v="16.334600000000002"/>
    <n v="17.993455609564972"/>
  </r>
  <r>
    <x v="78"/>
    <x v="0"/>
    <x v="3"/>
    <x v="3"/>
    <x v="6"/>
    <n v="14078"/>
    <n v="763"/>
    <n v="1724.38"/>
    <n v="57"/>
    <n v="16289.72"/>
    <n v="5.4198039494246342E-2"/>
    <n v="2.2600000000000002"/>
    <n v="30.252280701754387"/>
    <n v="9.446711281736043"/>
  </r>
  <r>
    <x v="79"/>
    <x v="2"/>
    <x v="2"/>
    <x v="0"/>
    <x v="6"/>
    <n v="182235"/>
    <n v="5047"/>
    <n v="3734.78"/>
    <n v="260"/>
    <n v="53450.65"/>
    <n v="2.769500919142865E-2"/>
    <n v="0.74"/>
    <n v="14.364538461538462"/>
    <n v="14.311592650704995"/>
  </r>
  <r>
    <x v="80"/>
    <x v="2"/>
    <x v="1"/>
    <x v="3"/>
    <x v="4"/>
    <n v="128629"/>
    <n v="2109"/>
    <n v="2720.61"/>
    <n v="168"/>
    <n v="49256.62"/>
    <n v="1.6395991572662465E-2"/>
    <n v="1.29"/>
    <n v="16.194107142857142"/>
    <n v="18.104991160070721"/>
  </r>
  <r>
    <x v="81"/>
    <x v="2"/>
    <x v="3"/>
    <x v="0"/>
    <x v="4"/>
    <n v="21309"/>
    <n v="432"/>
    <n v="717.12"/>
    <n v="15"/>
    <n v="4449.9799999999996"/>
    <n v="2.0273124032099112E-2"/>
    <n v="1.66"/>
    <n v="47.808"/>
    <n v="6.2053491744756801"/>
  </r>
  <r>
    <x v="82"/>
    <x v="0"/>
    <x v="0"/>
    <x v="0"/>
    <x v="2"/>
    <n v="167932"/>
    <n v="6717"/>
    <n v="16523.82"/>
    <n v="247"/>
    <n v="38475.06"/>
    <n v="3.9998332658456995E-2"/>
    <n v="2.46"/>
    <n v="66.898056680161943"/>
    <n v="2.3284603681231095"/>
  </r>
  <r>
    <x v="38"/>
    <x v="1"/>
    <x v="0"/>
    <x v="0"/>
    <x v="1"/>
    <n v="162795"/>
    <n v="8107"/>
    <n v="7782.72"/>
    <n v="575"/>
    <n v="86383.64"/>
    <n v="4.9798826745293158E-2"/>
    <n v="0.96000000000000008"/>
    <n v="13.535165217391304"/>
    <n v="11.099415114510094"/>
  </r>
  <r>
    <x v="83"/>
    <x v="2"/>
    <x v="0"/>
    <x v="1"/>
    <x v="1"/>
    <n v="50893"/>
    <n v="1124"/>
    <n v="1584.84"/>
    <n v="29"/>
    <n v="2707.5"/>
    <n v="2.2085552040555675E-2"/>
    <n v="1.41"/>
    <n v="54.649655172413787"/>
    <n v="1.7083743469372303"/>
  </r>
  <r>
    <x v="84"/>
    <x v="1"/>
    <x v="3"/>
    <x v="3"/>
    <x v="0"/>
    <n v="81619"/>
    <n v="3623"/>
    <n v="1702.81"/>
    <n v="222"/>
    <n v="46448.44"/>
    <n v="4.4389174089366448E-2"/>
    <n v="0.47"/>
    <n v="7.6703153153153147"/>
    <n v="27.277523622717744"/>
  </r>
  <r>
    <x v="85"/>
    <x v="2"/>
    <x v="0"/>
    <x v="1"/>
    <x v="3"/>
    <n v="154381"/>
    <n v="1698"/>
    <n v="3141.3"/>
    <n v="70"/>
    <n v="19750.240000000002"/>
    <n v="1.09987628011219E-2"/>
    <n v="1.85"/>
    <n v="44.875714285714288"/>
    <n v="6.2872823353388725"/>
  </r>
  <r>
    <x v="31"/>
    <x v="0"/>
    <x v="0"/>
    <x v="0"/>
    <x v="5"/>
    <n v="124273"/>
    <n v="3603"/>
    <n v="5584.65"/>
    <n v="167"/>
    <n v="20460.25"/>
    <n v="2.8992621084225859E-2"/>
    <n v="1.5499999999999998"/>
    <n v="33.441017964071854"/>
    <n v="3.6636584208500089"/>
  </r>
  <r>
    <x v="86"/>
    <x v="2"/>
    <x v="1"/>
    <x v="2"/>
    <x v="3"/>
    <n v="6969"/>
    <n v="176"/>
    <n v="190.08"/>
    <n v="10"/>
    <n v="2562.91"/>
    <n v="2.5254699382981777E-2"/>
    <n v="1.08"/>
    <n v="19.008000000000003"/>
    <n v="13.48332281144781"/>
  </r>
  <r>
    <x v="32"/>
    <x v="1"/>
    <x v="3"/>
    <x v="3"/>
    <x v="1"/>
    <n v="29089"/>
    <n v="1076"/>
    <n v="699.4"/>
    <n v="40"/>
    <n v="8233.32"/>
    <n v="3.6989927463989825E-2"/>
    <n v="0.65"/>
    <n v="17.484999999999999"/>
    <n v="11.771975979410923"/>
  </r>
  <r>
    <x v="87"/>
    <x v="0"/>
    <x v="2"/>
    <x v="3"/>
    <x v="1"/>
    <n v="10704"/>
    <n v="489"/>
    <n v="836.19"/>
    <n v="36"/>
    <n v="5339.04"/>
    <n v="4.5683856502242152E-2"/>
    <n v="1.7100000000000002"/>
    <n v="23.227500000000003"/>
    <n v="6.3849603558999748"/>
  </r>
  <r>
    <x v="46"/>
    <x v="1"/>
    <x v="0"/>
    <x v="4"/>
    <x v="6"/>
    <n v="22772"/>
    <n v="1045"/>
    <n v="992.75"/>
    <n v="38"/>
    <n v="5743.6"/>
    <n v="4.5889689091867206E-2"/>
    <n v="0.95"/>
    <n v="26.125"/>
    <n v="5.7855452027197183"/>
  </r>
  <r>
    <x v="88"/>
    <x v="0"/>
    <x v="0"/>
    <x v="0"/>
    <x v="3"/>
    <n v="68449"/>
    <n v="3285"/>
    <n v="7818.3"/>
    <n v="243"/>
    <n v="60681.21"/>
    <n v="4.7991935601688851E-2"/>
    <n v="2.38"/>
    <n v="32.174074074074078"/>
    <n v="7.7614327922949995"/>
  </r>
  <r>
    <x v="89"/>
    <x v="0"/>
    <x v="0"/>
    <x v="3"/>
    <x v="0"/>
    <n v="51819"/>
    <n v="2497"/>
    <n v="7191.36"/>
    <n v="138"/>
    <n v="37600.620000000003"/>
    <n v="4.8186958451533222E-2"/>
    <n v="2.88"/>
    <n v="52.111304347826085"/>
    <n v="5.2285826324923246"/>
  </r>
  <r>
    <x v="90"/>
    <x v="0"/>
    <x v="1"/>
    <x v="0"/>
    <x v="6"/>
    <n v="173722"/>
    <n v="3821"/>
    <n v="5884.34"/>
    <n v="201"/>
    <n v="44895.5"/>
    <n v="2.1994911410184087E-2"/>
    <n v="1.54"/>
    <n v="29.275323383084579"/>
    <n v="7.62965770162839"/>
  </r>
  <r>
    <x v="91"/>
    <x v="0"/>
    <x v="2"/>
    <x v="3"/>
    <x v="2"/>
    <n v="119014"/>
    <n v="5938"/>
    <n v="17101.439999999999"/>
    <n v="95"/>
    <n v="23773.95"/>
    <n v="4.9893289865057894E-2"/>
    <n v="2.88"/>
    <n v="180.01515789473683"/>
    <n v="1.3901724065341867"/>
  </r>
  <r>
    <x v="92"/>
    <x v="0"/>
    <x v="0"/>
    <x v="3"/>
    <x v="6"/>
    <n v="159741"/>
    <n v="6868"/>
    <n v="9409.16"/>
    <n v="336"/>
    <n v="33272.11"/>
    <n v="4.2994597504710748E-2"/>
    <n v="1.3699999999999999"/>
    <n v="28.003452380952382"/>
    <n v="3.5361403143319916"/>
  </r>
  <r>
    <x v="13"/>
    <x v="0"/>
    <x v="2"/>
    <x v="0"/>
    <x v="3"/>
    <n v="167982"/>
    <n v="7693"/>
    <n v="20309.52"/>
    <n v="193"/>
    <n v="10777.69"/>
    <n v="4.5796573442392637E-2"/>
    <n v="2.64"/>
    <n v="105.23067357512953"/>
    <n v="0.53067182286927517"/>
  </r>
  <r>
    <x v="22"/>
    <x v="0"/>
    <x v="1"/>
    <x v="0"/>
    <x v="3"/>
    <n v="96658"/>
    <n v="2822"/>
    <n v="9510.14"/>
    <n v="112"/>
    <n v="25060.16"/>
    <n v="2.9195720995675474E-2"/>
    <n v="3.3699999999999997"/>
    <n v="84.911964285714276"/>
    <n v="2.6350989575337485"/>
  </r>
  <r>
    <x v="93"/>
    <x v="2"/>
    <x v="1"/>
    <x v="1"/>
    <x v="5"/>
    <n v="43467"/>
    <n v="991"/>
    <n v="1882.9"/>
    <n v="25"/>
    <n v="3146.23"/>
    <n v="2.279890491637334E-2"/>
    <n v="1.9000000000000001"/>
    <n v="75.316000000000003"/>
    <n v="1.6709490679271337"/>
  </r>
  <r>
    <x v="33"/>
    <x v="0"/>
    <x v="0"/>
    <x v="1"/>
    <x v="1"/>
    <n v="41378"/>
    <n v="2023"/>
    <n v="2488.29"/>
    <n v="73"/>
    <n v="9343.6299999999992"/>
    <n v="4.8890714872637631E-2"/>
    <n v="1.23"/>
    <n v="34.086164383561645"/>
    <n v="3.7550406102182619"/>
  </r>
  <r>
    <x v="89"/>
    <x v="1"/>
    <x v="1"/>
    <x v="1"/>
    <x v="5"/>
    <n v="100673"/>
    <n v="5718"/>
    <n v="6003.9"/>
    <n v="196"/>
    <n v="41067.129999999997"/>
    <n v="5.6797751134862379E-2"/>
    <n v="1.05"/>
    <n v="30.632142857142856"/>
    <n v="6.8400756175152821"/>
  </r>
  <r>
    <x v="94"/>
    <x v="1"/>
    <x v="2"/>
    <x v="2"/>
    <x v="6"/>
    <n v="191994"/>
    <n v="14898"/>
    <n v="16089.84"/>
    <n v="936"/>
    <n v="60355.75"/>
    <n v="7.759617488046501E-2"/>
    <n v="1.08"/>
    <n v="17.190000000000001"/>
    <n v="3.7511715467649149"/>
  </r>
  <r>
    <x v="95"/>
    <x v="1"/>
    <x v="3"/>
    <x v="1"/>
    <x v="1"/>
    <n v="152235"/>
    <n v="6104"/>
    <n v="4455.92"/>
    <n v="252"/>
    <n v="48424.44"/>
    <n v="4.0095904358393275E-2"/>
    <n v="0.73"/>
    <n v="17.682222222222222"/>
    <n v="10.867439271800212"/>
  </r>
  <r>
    <x v="96"/>
    <x v="2"/>
    <x v="1"/>
    <x v="0"/>
    <x v="6"/>
    <n v="66929"/>
    <n v="1539"/>
    <n v="1862.19"/>
    <n v="38"/>
    <n v="9540.2199999999993"/>
    <n v="2.2994516577268448E-2"/>
    <n v="1.21"/>
    <n v="49.005000000000003"/>
    <n v="5.1231184787803601"/>
  </r>
  <r>
    <x v="97"/>
    <x v="0"/>
    <x v="1"/>
    <x v="3"/>
    <x v="4"/>
    <n v="188202"/>
    <n v="7189"/>
    <n v="8267.35"/>
    <n v="376"/>
    <n v="88923.49"/>
    <n v="3.8198318827642637E-2"/>
    <n v="1.1500000000000001"/>
    <n v="21.987632978723404"/>
    <n v="10.755984686749684"/>
  </r>
  <r>
    <x v="98"/>
    <x v="0"/>
    <x v="1"/>
    <x v="0"/>
    <x v="2"/>
    <n v="184316"/>
    <n v="4091"/>
    <n v="4254.6400000000003"/>
    <n v="309"/>
    <n v="82363.460000000006"/>
    <n v="2.2195577160962696E-2"/>
    <n v="1.04"/>
    <n v="13.76906148867314"/>
    <n v="19.358502717033637"/>
  </r>
  <r>
    <x v="99"/>
    <x v="0"/>
    <x v="1"/>
    <x v="2"/>
    <x v="4"/>
    <n v="65545"/>
    <n v="3355"/>
    <n v="5938.35"/>
    <n v="196"/>
    <n v="57936.29"/>
    <n v="5.118620794873751E-2"/>
    <n v="1.77"/>
    <n v="30.297704081632656"/>
    <n v="9.75629425682218"/>
  </r>
  <r>
    <x v="100"/>
    <x v="0"/>
    <x v="1"/>
    <x v="2"/>
    <x v="2"/>
    <n v="33141"/>
    <n v="798"/>
    <n v="2625.42"/>
    <n v="42"/>
    <n v="7236.65"/>
    <n v="2.4078935457590295E-2"/>
    <n v="3.29"/>
    <n v="62.510000000000005"/>
    <n v="2.7563780271347058"/>
  </r>
  <r>
    <x v="101"/>
    <x v="2"/>
    <x v="1"/>
    <x v="2"/>
    <x v="3"/>
    <n v="76229"/>
    <n v="1562"/>
    <n v="1577.62"/>
    <n v="30"/>
    <n v="4290.5"/>
    <n v="2.0490889294100669E-2"/>
    <n v="1.01"/>
    <n v="52.587333333333326"/>
    <n v="2.7196029462101143"/>
  </r>
  <r>
    <x v="102"/>
    <x v="1"/>
    <x v="0"/>
    <x v="3"/>
    <x v="6"/>
    <n v="141614"/>
    <n v="10677"/>
    <n v="3736.95"/>
    <n v="305"/>
    <n v="62355.519999999997"/>
    <n v="7.539508805626563E-2"/>
    <n v="0.35"/>
    <n v="12.252295081967212"/>
    <n v="16.686206665863875"/>
  </r>
  <r>
    <x v="72"/>
    <x v="2"/>
    <x v="2"/>
    <x v="2"/>
    <x v="1"/>
    <n v="161193"/>
    <n v="4916"/>
    <n v="6734.92"/>
    <n v="377"/>
    <n v="91408.9"/>
    <n v="3.0497602253199581E-2"/>
    <n v="1.37"/>
    <n v="17.864509283819629"/>
    <n v="13.572380963693703"/>
  </r>
  <r>
    <x v="103"/>
    <x v="0"/>
    <x v="0"/>
    <x v="3"/>
    <x v="3"/>
    <n v="142244"/>
    <n v="4935"/>
    <n v="14706.3"/>
    <n v="127"/>
    <n v="34307.21"/>
    <n v="3.4693906245606143E-2"/>
    <n v="2.98"/>
    <n v="115.79763779527559"/>
    <n v="2.3328240277976104"/>
  </r>
  <r>
    <x v="104"/>
    <x v="2"/>
    <x v="0"/>
    <x v="0"/>
    <x v="0"/>
    <n v="178063"/>
    <n v="1851"/>
    <n v="832.95"/>
    <n v="64"/>
    <n v="7044.13"/>
    <n v="1.0395197205483453E-2"/>
    <n v="0.45"/>
    <n v="13.014843750000001"/>
    <n v="8.4568461492286442"/>
  </r>
  <r>
    <x v="105"/>
    <x v="0"/>
    <x v="1"/>
    <x v="0"/>
    <x v="6"/>
    <n v="193978"/>
    <n v="5780"/>
    <n v="9999.4"/>
    <n v="177"/>
    <n v="42071.17"/>
    <n v="2.9797193496169667E-2"/>
    <n v="1.73"/>
    <n v="56.493785310734459"/>
    <n v="4.20736944216653"/>
  </r>
  <r>
    <x v="106"/>
    <x v="2"/>
    <x v="3"/>
    <x v="3"/>
    <x v="4"/>
    <n v="187051"/>
    <n v="6284"/>
    <n v="12630.84"/>
    <n v="493"/>
    <n v="94906.46"/>
    <n v="3.3595115770565245E-2"/>
    <n v="2.0100000000000002"/>
    <n v="25.620365111561867"/>
    <n v="7.5138676445905421"/>
  </r>
  <r>
    <x v="56"/>
    <x v="2"/>
    <x v="1"/>
    <x v="1"/>
    <x v="1"/>
    <n v="152977"/>
    <n v="5491"/>
    <n v="7412.85"/>
    <n v="147"/>
    <n v="9232.39"/>
    <n v="3.5894284761761569E-2"/>
    <n v="1.35"/>
    <n v="50.427551020408167"/>
    <n v="1.2454575500650895"/>
  </r>
  <r>
    <x v="107"/>
    <x v="0"/>
    <x v="3"/>
    <x v="4"/>
    <x v="0"/>
    <n v="129447"/>
    <n v="4310"/>
    <n v="11637"/>
    <n v="211"/>
    <n v="16618.47"/>
    <n v="3.3295480003399075E-2"/>
    <n v="2.7"/>
    <n v="55.15165876777251"/>
    <n v="1.4280716679556589"/>
  </r>
  <r>
    <x v="1"/>
    <x v="0"/>
    <x v="2"/>
    <x v="0"/>
    <x v="2"/>
    <n v="28387"/>
    <n v="672"/>
    <n v="2231.04"/>
    <n v="41"/>
    <n v="7232.57"/>
    <n v="2.3672807975481734E-2"/>
    <n v="3.32"/>
    <n v="54.41560975609756"/>
    <n v="3.2417930651176134"/>
  </r>
  <r>
    <x v="43"/>
    <x v="2"/>
    <x v="2"/>
    <x v="0"/>
    <x v="6"/>
    <n v="88986"/>
    <n v="1308"/>
    <n v="981"/>
    <n v="80"/>
    <n v="21439.34"/>
    <n v="1.4698941406513384E-2"/>
    <n v="0.75"/>
    <n v="12.262499999999999"/>
    <n v="21.854576962283385"/>
  </r>
  <r>
    <x v="108"/>
    <x v="0"/>
    <x v="1"/>
    <x v="3"/>
    <x v="1"/>
    <n v="170268"/>
    <n v="7917"/>
    <n v="24859.38"/>
    <n v="98"/>
    <n v="22672.12"/>
    <n v="4.6497286630488403E-2"/>
    <n v="3.14"/>
    <n v="253.66714285714286"/>
    <n v="0.9120147002861696"/>
  </r>
  <r>
    <x v="109"/>
    <x v="0"/>
    <x v="3"/>
    <x v="2"/>
    <x v="2"/>
    <n v="122322"/>
    <n v="6152"/>
    <n v="7566.96"/>
    <n v="155"/>
    <n v="10417.89"/>
    <n v="5.029348768005755E-2"/>
    <n v="1.23"/>
    <n v="48.819096774193547"/>
    <n v="1.3767602841828157"/>
  </r>
  <r>
    <x v="110"/>
    <x v="2"/>
    <x v="3"/>
    <x v="2"/>
    <x v="1"/>
    <n v="69429"/>
    <n v="2430"/>
    <n v="3863.7"/>
    <n v="119"/>
    <n v="21584.01"/>
    <n v="3.4999783951950914E-2"/>
    <n v="1.5899999999999999"/>
    <n v="32.468067226890753"/>
    <n v="5.5863576364624583"/>
  </r>
  <r>
    <x v="63"/>
    <x v="2"/>
    <x v="3"/>
    <x v="3"/>
    <x v="4"/>
    <n v="196675"/>
    <n v="4031"/>
    <n v="7941.07"/>
    <n v="186"/>
    <n v="27686.79"/>
    <n v="2.049574170585992E-2"/>
    <n v="1.97"/>
    <n v="42.693924731182797"/>
    <n v="3.4865314120137465"/>
  </r>
  <r>
    <x v="111"/>
    <x v="0"/>
    <x v="1"/>
    <x v="4"/>
    <x v="6"/>
    <n v="104134"/>
    <n v="3603"/>
    <n v="12466.38"/>
    <n v="234"/>
    <n v="14496.48"/>
    <n v="3.4599650450381242E-2"/>
    <n v="3.46"/>
    <n v="53.275128205128205"/>
    <n v="1.162845990576254"/>
  </r>
  <r>
    <x v="112"/>
    <x v="2"/>
    <x v="3"/>
    <x v="1"/>
    <x v="4"/>
    <n v="150544"/>
    <n v="2890"/>
    <n v="4913"/>
    <n v="170"/>
    <n v="47769.42"/>
    <n v="1.9197045382080988E-2"/>
    <n v="1.7"/>
    <n v="28.9"/>
    <n v="9.7230653368613886"/>
  </r>
  <r>
    <x v="113"/>
    <x v="1"/>
    <x v="1"/>
    <x v="3"/>
    <x v="4"/>
    <n v="75553"/>
    <n v="3331"/>
    <n v="1465.64"/>
    <n v="203"/>
    <n v="33301.040000000001"/>
    <n v="4.4088255926303388E-2"/>
    <n v="0.44000000000000006"/>
    <n v="7.2199014778325132"/>
    <n v="22.721159357004449"/>
  </r>
  <r>
    <x v="114"/>
    <x v="2"/>
    <x v="0"/>
    <x v="1"/>
    <x v="5"/>
    <n v="149565"/>
    <n v="2437"/>
    <n v="901.69"/>
    <n v="30"/>
    <n v="3133.33"/>
    <n v="1.6293919031859058E-2"/>
    <n v="0.37"/>
    <n v="30.056333333333335"/>
    <n v="3.4749525890272706"/>
  </r>
  <r>
    <x v="78"/>
    <x v="0"/>
    <x v="3"/>
    <x v="3"/>
    <x v="5"/>
    <n v="12896"/>
    <n v="535"/>
    <n v="524.29999999999995"/>
    <n v="20"/>
    <n v="2475.65"/>
    <n v="4.1485732009925558E-2"/>
    <n v="0.97999999999999987"/>
    <n v="26.214999999999996"/>
    <n v="4.7218195689490754"/>
  </r>
  <r>
    <x v="115"/>
    <x v="1"/>
    <x v="3"/>
    <x v="0"/>
    <x v="3"/>
    <n v="70428"/>
    <n v="3310"/>
    <n v="3872.7"/>
    <n v="164"/>
    <n v="25462.93"/>
    <n v="4.6998352927812799E-2"/>
    <n v="1.17"/>
    <n v="23.614024390243902"/>
    <n v="6.5749812792108866"/>
  </r>
  <r>
    <x v="77"/>
    <x v="1"/>
    <x v="2"/>
    <x v="1"/>
    <x v="2"/>
    <n v="12345"/>
    <n v="456"/>
    <n v="282.72000000000003"/>
    <n v="21"/>
    <n v="5118.9399999999996"/>
    <n v="3.6938031591737544E-2"/>
    <n v="0.62000000000000011"/>
    <n v="13.462857142857144"/>
    <n v="18.106041312959817"/>
  </r>
  <r>
    <x v="116"/>
    <x v="2"/>
    <x v="3"/>
    <x v="3"/>
    <x v="2"/>
    <n v="18140"/>
    <n v="455"/>
    <n v="523.25"/>
    <n v="29"/>
    <n v="1746.46"/>
    <n v="2.5082690187431093E-2"/>
    <n v="1.1499999999999999"/>
    <n v="18.043103448275861"/>
    <n v="3.3377161968466318"/>
  </r>
  <r>
    <x v="106"/>
    <x v="0"/>
    <x v="1"/>
    <x v="0"/>
    <x v="6"/>
    <n v="42823"/>
    <n v="1588"/>
    <n v="4716.3599999999997"/>
    <n v="33"/>
    <n v="3266.45"/>
    <n v="3.7082876024566239E-2"/>
    <n v="2.9699999999999998"/>
    <n v="142.91999999999999"/>
    <n v="0.69257859874988337"/>
  </r>
  <r>
    <x v="117"/>
    <x v="1"/>
    <x v="2"/>
    <x v="3"/>
    <x v="3"/>
    <n v="34118"/>
    <n v="1470"/>
    <n v="1249.5"/>
    <n v="55"/>
    <n v="3037.11"/>
    <n v="4.3085761181780875E-2"/>
    <n v="0.85"/>
    <n v="22.718181818181819"/>
    <n v="2.4306602641056423"/>
  </r>
  <r>
    <x v="38"/>
    <x v="2"/>
    <x v="1"/>
    <x v="1"/>
    <x v="1"/>
    <n v="127775"/>
    <n v="3871"/>
    <n v="2941.96"/>
    <n v="159"/>
    <n v="28717.22"/>
    <n v="3.0295441205243592E-2"/>
    <n v="0.76"/>
    <n v="18.502893081761005"/>
    <n v="9.7612544018273528"/>
  </r>
  <r>
    <x v="118"/>
    <x v="0"/>
    <x v="2"/>
    <x v="0"/>
    <x v="0"/>
    <n v="136354"/>
    <n v="3736"/>
    <n v="4333.76"/>
    <n v="152"/>
    <n v="29811.83"/>
    <n v="2.7399269548381421E-2"/>
    <n v="1.1600000000000001"/>
    <n v="28.511578947368424"/>
    <n v="6.8789757623864727"/>
  </r>
  <r>
    <x v="113"/>
    <x v="0"/>
    <x v="2"/>
    <x v="4"/>
    <x v="3"/>
    <n v="115454"/>
    <n v="7227"/>
    <n v="17778.419999999998"/>
    <n v="154"/>
    <n v="5144.22"/>
    <n v="6.259635872295459E-2"/>
    <n v="2.46"/>
    <n v="115.4442857142857"/>
    <n v="0.28935192216181194"/>
  </r>
  <r>
    <x v="119"/>
    <x v="2"/>
    <x v="0"/>
    <x v="1"/>
    <x v="2"/>
    <n v="37994"/>
    <n v="1379"/>
    <n v="1461.74"/>
    <n v="58"/>
    <n v="7343.12"/>
    <n v="3.6295204505974628E-2"/>
    <n v="1.06"/>
    <n v="25.20241379310345"/>
    <n v="5.023547279269911"/>
  </r>
  <r>
    <x v="120"/>
    <x v="2"/>
    <x v="1"/>
    <x v="1"/>
    <x v="3"/>
    <n v="74615"/>
    <n v="2327"/>
    <n v="2559.6999999999998"/>
    <n v="129"/>
    <n v="25496.94"/>
    <n v="3.1186758694632447E-2"/>
    <n v="1.0999999999999999"/>
    <n v="19.842635658914727"/>
    <n v="9.960909481579872"/>
  </r>
  <r>
    <x v="91"/>
    <x v="0"/>
    <x v="0"/>
    <x v="1"/>
    <x v="4"/>
    <n v="176790"/>
    <n v="4490"/>
    <n v="6690.1"/>
    <n v="250"/>
    <n v="74442.63"/>
    <n v="2.5397364104304543E-2"/>
    <n v="1.49"/>
    <n v="26.760400000000001"/>
    <n v="11.127282103406527"/>
  </r>
  <r>
    <x v="121"/>
    <x v="0"/>
    <x v="2"/>
    <x v="0"/>
    <x v="3"/>
    <n v="60077"/>
    <n v="1994"/>
    <n v="6201.34"/>
    <n v="28"/>
    <n v="7635.29"/>
    <n v="3.3190738552191353E-2"/>
    <n v="3.11"/>
    <n v="221.47642857142858"/>
    <n v="1.2312322820551687"/>
  </r>
  <r>
    <x v="122"/>
    <x v="2"/>
    <x v="3"/>
    <x v="0"/>
    <x v="4"/>
    <n v="151295"/>
    <n v="2163"/>
    <n v="3417.54"/>
    <n v="85"/>
    <n v="3173.67"/>
    <n v="1.4296572920453419E-2"/>
    <n v="1.58"/>
    <n v="40.206352941176469"/>
    <n v="0.92864165452342917"/>
  </r>
  <r>
    <x v="123"/>
    <x v="1"/>
    <x v="3"/>
    <x v="4"/>
    <x v="4"/>
    <n v="20282"/>
    <n v="1740"/>
    <n v="2175"/>
    <n v="94"/>
    <n v="14237"/>
    <n v="8.5790355980672514E-2"/>
    <n v="1.25"/>
    <n v="23.138297872340427"/>
    <n v="6.5457471264367815"/>
  </r>
  <r>
    <x v="120"/>
    <x v="0"/>
    <x v="0"/>
    <x v="2"/>
    <x v="3"/>
    <n v="185488"/>
    <n v="3950"/>
    <n v="5490.5"/>
    <n v="289"/>
    <n v="75172.149999999994"/>
    <n v="2.1295178124730439E-2"/>
    <n v="1.39"/>
    <n v="18.998269896193772"/>
    <n v="13.691312266642381"/>
  </r>
  <r>
    <x v="11"/>
    <x v="2"/>
    <x v="3"/>
    <x v="4"/>
    <x v="6"/>
    <n v="28567"/>
    <n v="999"/>
    <n v="1688.31"/>
    <n v="68"/>
    <n v="13037.25"/>
    <n v="3.4970420415164349E-2"/>
    <n v="1.69"/>
    <n v="24.828088235294118"/>
    <n v="7.7220711836096454"/>
  </r>
  <r>
    <x v="90"/>
    <x v="0"/>
    <x v="0"/>
    <x v="4"/>
    <x v="0"/>
    <n v="96170"/>
    <n v="5145"/>
    <n v="10907.4"/>
    <n v="268"/>
    <n v="72622.990000000005"/>
    <n v="5.3499012165956122E-2"/>
    <n v="2.12"/>
    <n v="40.699253731343283"/>
    <n v="6.6581394282780506"/>
  </r>
  <r>
    <x v="110"/>
    <x v="2"/>
    <x v="2"/>
    <x v="2"/>
    <x v="4"/>
    <n v="101019"/>
    <n v="2515"/>
    <n v="4250.3500000000004"/>
    <n v="72"/>
    <n v="11353.12"/>
    <n v="2.4896306635385421E-2"/>
    <n v="1.6900000000000002"/>
    <n v="59.032638888888897"/>
    <n v="2.6711023798040161"/>
  </r>
  <r>
    <x v="124"/>
    <x v="1"/>
    <x v="2"/>
    <x v="4"/>
    <x v="1"/>
    <n v="91795"/>
    <n v="3800"/>
    <n v="4636"/>
    <n v="157"/>
    <n v="24815.09"/>
    <n v="4.1396590228225935E-2"/>
    <n v="1.22"/>
    <n v="29.528662420382165"/>
    <n v="5.3526941328731663"/>
  </r>
  <r>
    <x v="125"/>
    <x v="2"/>
    <x v="0"/>
    <x v="4"/>
    <x v="5"/>
    <n v="22543"/>
    <n v="333"/>
    <n v="496.17"/>
    <n v="12"/>
    <n v="642.17999999999995"/>
    <n v="1.4771769507164086E-2"/>
    <n v="1.49"/>
    <n v="41.347500000000004"/>
    <n v="1.2942741399117237"/>
  </r>
  <r>
    <x v="66"/>
    <x v="2"/>
    <x v="2"/>
    <x v="2"/>
    <x v="4"/>
    <n v="119598"/>
    <n v="1064"/>
    <n v="2128"/>
    <n v="64"/>
    <n v="17165.43"/>
    <n v="8.8964698406327862E-3"/>
    <n v="2"/>
    <n v="33.25"/>
    <n v="8.0664614661654142"/>
  </r>
  <r>
    <x v="126"/>
    <x v="2"/>
    <x v="0"/>
    <x v="1"/>
    <x v="0"/>
    <n v="158504"/>
    <n v="4897"/>
    <n v="2105.71"/>
    <n v="255"/>
    <n v="54921.72"/>
    <n v="3.0895119366072782E-2"/>
    <n v="0.43"/>
    <n v="8.2576862745098047"/>
    <n v="26.082281035850141"/>
  </r>
  <r>
    <x v="127"/>
    <x v="0"/>
    <x v="3"/>
    <x v="4"/>
    <x v="6"/>
    <n v="39542"/>
    <n v="1209"/>
    <n v="2236.65"/>
    <n v="42"/>
    <n v="7992.11"/>
    <n v="3.0575084720044509E-2"/>
    <n v="1.85"/>
    <n v="53.253571428571433"/>
    <n v="3.5732501732501731"/>
  </r>
  <r>
    <x v="128"/>
    <x v="0"/>
    <x v="3"/>
    <x v="0"/>
    <x v="5"/>
    <n v="110848"/>
    <n v="3181"/>
    <n v="7793.45"/>
    <n v="186"/>
    <n v="32321.78"/>
    <n v="2.8696954387990761E-2"/>
    <n v="2.4499999999999997"/>
    <n v="41.900268817204299"/>
    <n v="4.1473006178265077"/>
  </r>
  <r>
    <x v="129"/>
    <x v="2"/>
    <x v="1"/>
    <x v="2"/>
    <x v="6"/>
    <n v="79964"/>
    <n v="1487"/>
    <n v="1591.09"/>
    <n v="22"/>
    <n v="3882.65"/>
    <n v="1.8595868140663298E-2"/>
    <n v="1.0699999999999998"/>
    <n v="72.322272727272718"/>
    <n v="2.4402453663840515"/>
  </r>
  <r>
    <x v="130"/>
    <x v="1"/>
    <x v="3"/>
    <x v="1"/>
    <x v="3"/>
    <n v="105127"/>
    <n v="7747"/>
    <n v="6817.36"/>
    <n v="460"/>
    <n v="99299.9"/>
    <n v="7.3691820369648137E-2"/>
    <n v="0.88"/>
    <n v="14.820347826086955"/>
    <n v="14.565740990647406"/>
  </r>
  <r>
    <x v="79"/>
    <x v="0"/>
    <x v="2"/>
    <x v="1"/>
    <x v="0"/>
    <n v="73803"/>
    <n v="1505"/>
    <n v="3190.6"/>
    <n v="98"/>
    <n v="18709.86"/>
    <n v="2.039212498136932E-2"/>
    <n v="2.12"/>
    <n v="32.557142857142857"/>
    <n v="5.8640569171942589"/>
  </r>
  <r>
    <x v="69"/>
    <x v="0"/>
    <x v="2"/>
    <x v="2"/>
    <x v="1"/>
    <n v="96575"/>
    <n v="4925"/>
    <n v="11820"/>
    <n v="181"/>
    <n v="7335.74"/>
    <n v="5.0996634739839501E-2"/>
    <n v="2.4"/>
    <n v="65.303867403314911"/>
    <n v="0.62062098138747879"/>
  </r>
  <r>
    <x v="50"/>
    <x v="0"/>
    <x v="2"/>
    <x v="0"/>
    <x v="1"/>
    <n v="162489"/>
    <n v="4500"/>
    <n v="13635"/>
    <n v="184"/>
    <n v="54944.54"/>
    <n v="2.7694182375422337E-2"/>
    <n v="3.03"/>
    <n v="74.103260869565219"/>
    <n v="4.0296692335900257"/>
  </r>
  <r>
    <x v="131"/>
    <x v="2"/>
    <x v="0"/>
    <x v="2"/>
    <x v="4"/>
    <n v="76155"/>
    <n v="3548"/>
    <n v="4435"/>
    <n v="243"/>
    <n v="30659.34"/>
    <n v="4.6589193093033943E-2"/>
    <n v="1.25"/>
    <n v="18.251028806584362"/>
    <n v="6.9130417136414879"/>
  </r>
  <r>
    <x v="132"/>
    <x v="1"/>
    <x v="0"/>
    <x v="0"/>
    <x v="1"/>
    <n v="180021"/>
    <n v="13105"/>
    <n v="21099.05"/>
    <n v="880"/>
    <n v="75656.62"/>
    <n v="7.2797062564922979E-2"/>
    <n v="1.6099999999999999"/>
    <n v="23.976193181818182"/>
    <n v="3.5857832461651116"/>
  </r>
  <r>
    <x v="133"/>
    <x v="1"/>
    <x v="1"/>
    <x v="1"/>
    <x v="1"/>
    <n v="79965"/>
    <n v="3070"/>
    <n v="3131.4"/>
    <n v="237"/>
    <n v="65306"/>
    <n v="3.8391796410929782E-2"/>
    <n v="1.02"/>
    <n v="13.212658227848102"/>
    <n v="20.855208532924571"/>
  </r>
  <r>
    <x v="61"/>
    <x v="2"/>
    <x v="0"/>
    <x v="1"/>
    <x v="5"/>
    <n v="49789"/>
    <n v="622"/>
    <n v="1293.76"/>
    <n v="48"/>
    <n v="7704.96"/>
    <n v="1.2492719275341943E-2"/>
    <n v="2.08"/>
    <n v="26.953333333333333"/>
    <n v="5.9554786049962898"/>
  </r>
  <r>
    <x v="88"/>
    <x v="1"/>
    <x v="1"/>
    <x v="3"/>
    <x v="3"/>
    <n v="195026"/>
    <n v="9653"/>
    <n v="17664.990000000002"/>
    <n v="371"/>
    <n v="94022.57"/>
    <n v="4.9495964640612018E-2"/>
    <n v="1.83"/>
    <n v="47.6145283018868"/>
    <n v="5.3225374030780657"/>
  </r>
  <r>
    <x v="103"/>
    <x v="1"/>
    <x v="2"/>
    <x v="2"/>
    <x v="4"/>
    <n v="130438"/>
    <n v="7721"/>
    <n v="12353.6"/>
    <n v="353"/>
    <n v="70310.53"/>
    <n v="5.9192873242460017E-2"/>
    <n v="1.6"/>
    <n v="34.996033994334276"/>
    <n v="5.6915012627897941"/>
  </r>
  <r>
    <x v="20"/>
    <x v="1"/>
    <x v="2"/>
    <x v="3"/>
    <x v="5"/>
    <n v="141917"/>
    <n v="4796"/>
    <n v="3165.36"/>
    <n v="369"/>
    <n v="11953.05"/>
    <n v="3.3794400952669515E-2"/>
    <n v="0.66"/>
    <n v="8.5782113821138211"/>
    <n v="3.7762055500796112"/>
  </r>
  <r>
    <x v="134"/>
    <x v="1"/>
    <x v="2"/>
    <x v="3"/>
    <x v="2"/>
    <n v="146958"/>
    <n v="7494"/>
    <n v="12589.92"/>
    <n v="538"/>
    <n v="117826.98"/>
    <n v="5.0994161597191036E-2"/>
    <n v="1.68"/>
    <n v="23.401338289962826"/>
    <n v="9.3588346867970564"/>
  </r>
  <r>
    <x v="135"/>
    <x v="0"/>
    <x v="1"/>
    <x v="4"/>
    <x v="1"/>
    <n v="13605"/>
    <n v="300"/>
    <n v="624"/>
    <n v="21"/>
    <n v="4495.51"/>
    <n v="2.2050716648291068E-2"/>
    <n v="2.08"/>
    <n v="29.714285714285715"/>
    <n v="7.2043429487179491"/>
  </r>
  <r>
    <x v="26"/>
    <x v="0"/>
    <x v="3"/>
    <x v="3"/>
    <x v="3"/>
    <n v="116041"/>
    <n v="6428"/>
    <n v="11249"/>
    <n v="74"/>
    <n v="13873.48"/>
    <n v="5.5394214113976957E-2"/>
    <n v="1.75"/>
    <n v="152.01351351351352"/>
    <n v="1.2333078495866299"/>
  </r>
  <r>
    <x v="136"/>
    <x v="1"/>
    <x v="0"/>
    <x v="4"/>
    <x v="5"/>
    <n v="170396"/>
    <n v="10138"/>
    <n v="10949.04"/>
    <n v="494"/>
    <n v="99795.18"/>
    <n v="5.9496701800511746E-2"/>
    <n v="1.08"/>
    <n v="22.164048582995953"/>
    <n v="9.1145141491856805"/>
  </r>
  <r>
    <x v="4"/>
    <x v="2"/>
    <x v="3"/>
    <x v="1"/>
    <x v="5"/>
    <n v="19743"/>
    <n v="619"/>
    <n v="773.75"/>
    <n v="41"/>
    <n v="9219.4599999999991"/>
    <n v="3.1352884566681859E-2"/>
    <n v="1.25"/>
    <n v="18.871951219512194"/>
    <n v="11.915295638126009"/>
  </r>
  <r>
    <x v="137"/>
    <x v="0"/>
    <x v="0"/>
    <x v="4"/>
    <x v="6"/>
    <n v="94081"/>
    <n v="5588"/>
    <n v="15031.72"/>
    <n v="88"/>
    <n v="24757.88"/>
    <n v="5.9395627172330226E-2"/>
    <n v="2.69"/>
    <n v="170.815"/>
    <n v="1.6470423876974825"/>
  </r>
  <r>
    <x v="138"/>
    <x v="1"/>
    <x v="1"/>
    <x v="0"/>
    <x v="2"/>
    <n v="141643"/>
    <n v="8526"/>
    <n v="3921.96"/>
    <n v="379"/>
    <n v="51038.1"/>
    <n v="6.019358528130582E-2"/>
    <n v="0.46"/>
    <n v="10.348179419525065"/>
    <n v="13.013416761007251"/>
  </r>
  <r>
    <x v="139"/>
    <x v="2"/>
    <x v="2"/>
    <x v="3"/>
    <x v="6"/>
    <n v="90716"/>
    <n v="3002"/>
    <n v="4412.9399999999996"/>
    <n v="194"/>
    <n v="39560.54"/>
    <n v="3.309228801975396E-2"/>
    <n v="1.47"/>
    <n v="22.747113402061853"/>
    <n v="8.9646675458991076"/>
  </r>
  <r>
    <x v="140"/>
    <x v="0"/>
    <x v="0"/>
    <x v="1"/>
    <x v="2"/>
    <n v="72055"/>
    <n v="1678"/>
    <n v="5319.26"/>
    <n v="41"/>
    <n v="8506.9"/>
    <n v="2.3287766289639859E-2"/>
    <n v="3.17"/>
    <n v="129.73804878048782"/>
    <n v="1.599263807371702"/>
  </r>
  <r>
    <x v="141"/>
    <x v="2"/>
    <x v="2"/>
    <x v="4"/>
    <x v="3"/>
    <n v="112692"/>
    <n v="2096"/>
    <n v="4757.92"/>
    <n v="89"/>
    <n v="16587.580000000002"/>
    <n v="1.8599368189401201E-2"/>
    <n v="2.27"/>
    <n v="53.459775280898874"/>
    <n v="3.4863091434912739"/>
  </r>
  <r>
    <x v="142"/>
    <x v="0"/>
    <x v="1"/>
    <x v="0"/>
    <x v="0"/>
    <n v="31672"/>
    <n v="877"/>
    <n v="631.44000000000005"/>
    <n v="16"/>
    <n v="2266.94"/>
    <n v="2.7690073250820915E-2"/>
    <n v="0.72000000000000008"/>
    <n v="39.465000000000003"/>
    <n v="3.5901114911947292"/>
  </r>
  <r>
    <x v="52"/>
    <x v="2"/>
    <x v="1"/>
    <x v="4"/>
    <x v="3"/>
    <n v="59131"/>
    <n v="1425"/>
    <n v="1482"/>
    <n v="66"/>
    <n v="19372.57"/>
    <n v="2.4099034347465798E-2"/>
    <n v="1.04"/>
    <n v="22.454545454545453"/>
    <n v="13.071909581646423"/>
  </r>
  <r>
    <x v="54"/>
    <x v="0"/>
    <x v="0"/>
    <x v="3"/>
    <x v="4"/>
    <n v="119397"/>
    <n v="3868"/>
    <n v="6962.4"/>
    <n v="193"/>
    <n v="35393.300000000003"/>
    <n v="3.2396123855708267E-2"/>
    <n v="1.7999999999999998"/>
    <n v="36.074611398963725"/>
    <n v="5.0834913248305185"/>
  </r>
  <r>
    <x v="143"/>
    <x v="2"/>
    <x v="0"/>
    <x v="1"/>
    <x v="6"/>
    <n v="157008"/>
    <n v="5024"/>
    <n v="3617.28"/>
    <n v="379"/>
    <n v="73104.850000000006"/>
    <n v="3.1998369509833896E-2"/>
    <n v="0.72000000000000008"/>
    <n v="9.5442744063324536"/>
    <n v="20.209895280431706"/>
  </r>
  <r>
    <x v="144"/>
    <x v="2"/>
    <x v="2"/>
    <x v="1"/>
    <x v="1"/>
    <n v="117217"/>
    <n v="2133"/>
    <n v="2751.57"/>
    <n v="129"/>
    <n v="25455.360000000001"/>
    <n v="1.8197019203699122E-2"/>
    <n v="1.29"/>
    <n v="21.330000000000002"/>
    <n v="9.2512129438829458"/>
  </r>
  <r>
    <x v="145"/>
    <x v="1"/>
    <x v="0"/>
    <x v="3"/>
    <x v="4"/>
    <n v="111956"/>
    <n v="5911"/>
    <n v="9280.27"/>
    <n v="253"/>
    <n v="68395.539999999994"/>
    <n v="5.2797527600128624E-2"/>
    <n v="1.57"/>
    <n v="36.68090909090909"/>
    <n v="7.3699946230012694"/>
  </r>
  <r>
    <x v="33"/>
    <x v="2"/>
    <x v="3"/>
    <x v="3"/>
    <x v="2"/>
    <n v="10939"/>
    <n v="113"/>
    <n v="133.34"/>
    <n v="6"/>
    <n v="1684.43"/>
    <n v="1.0330011884084469E-2"/>
    <n v="1.18"/>
    <n v="22.223333333333333"/>
    <n v="12.632593370331483"/>
  </r>
  <r>
    <x v="42"/>
    <x v="1"/>
    <x v="3"/>
    <x v="3"/>
    <x v="5"/>
    <n v="72293"/>
    <n v="4532"/>
    <n v="8202.92"/>
    <n v="169"/>
    <n v="35145.360000000001"/>
    <n v="6.2689333683759146E-2"/>
    <n v="1.81"/>
    <n v="48.537988165680474"/>
    <n v="4.2844938143978002"/>
  </r>
  <r>
    <x v="103"/>
    <x v="0"/>
    <x v="2"/>
    <x v="0"/>
    <x v="3"/>
    <n v="78402"/>
    <n v="4531"/>
    <n v="12460.25"/>
    <n v="105"/>
    <n v="25620.07"/>
    <n v="5.7791893063952451E-2"/>
    <n v="2.75"/>
    <n v="118.66904761904762"/>
    <n v="2.0561441383599846"/>
  </r>
  <r>
    <x v="146"/>
    <x v="1"/>
    <x v="3"/>
    <x v="4"/>
    <x v="4"/>
    <n v="160892"/>
    <n v="9122"/>
    <n v="5838.08"/>
    <n v="590"/>
    <n v="170654.73"/>
    <n v="5.6696417472590306E-2"/>
    <n v="0.64"/>
    <n v="9.8950508474576271"/>
    <n v="29.231310636373603"/>
  </r>
  <r>
    <x v="147"/>
    <x v="1"/>
    <x v="0"/>
    <x v="1"/>
    <x v="2"/>
    <n v="154092"/>
    <n v="8860"/>
    <n v="10366.200000000001"/>
    <n v="246"/>
    <n v="23706.53"/>
    <n v="5.7498118007424139E-2"/>
    <n v="1.1700000000000002"/>
    <n v="42.139024390243904"/>
    <n v="2.286906484536281"/>
  </r>
  <r>
    <x v="108"/>
    <x v="2"/>
    <x v="2"/>
    <x v="2"/>
    <x v="0"/>
    <n v="73323"/>
    <n v="1928"/>
    <n v="3296.88"/>
    <n v="121"/>
    <n v="33634.99"/>
    <n v="2.6294614241097608E-2"/>
    <n v="1.71"/>
    <n v="27.246942148760333"/>
    <n v="10.202066802552716"/>
  </r>
  <r>
    <x v="148"/>
    <x v="1"/>
    <x v="1"/>
    <x v="3"/>
    <x v="5"/>
    <n v="58521"/>
    <n v="3318"/>
    <n v="6138.3"/>
    <n v="39"/>
    <n v="10013.26"/>
    <n v="5.6697595734864409E-2"/>
    <n v="1.85"/>
    <n v="157.3923076923077"/>
    <n v="1.6312757603896844"/>
  </r>
  <r>
    <x v="149"/>
    <x v="1"/>
    <x v="0"/>
    <x v="3"/>
    <x v="2"/>
    <n v="48361"/>
    <n v="2713"/>
    <n v="2360.31"/>
    <n v="54"/>
    <n v="7890.9"/>
    <n v="5.6098922685635121E-2"/>
    <n v="0.87"/>
    <n v="43.709444444444443"/>
    <n v="3.3431625506819018"/>
  </r>
  <r>
    <x v="150"/>
    <x v="1"/>
    <x v="3"/>
    <x v="2"/>
    <x v="0"/>
    <n v="179870"/>
    <n v="7500"/>
    <n v="10800"/>
    <n v="112"/>
    <n v="5446.79"/>
    <n v="4.1696781008506142E-2"/>
    <n v="1.44"/>
    <n v="96.428571428571431"/>
    <n v="0.50433240740740737"/>
  </r>
  <r>
    <x v="151"/>
    <x v="1"/>
    <x v="0"/>
    <x v="4"/>
    <x v="4"/>
    <n v="114850"/>
    <n v="8234"/>
    <n v="13421.42"/>
    <n v="245"/>
    <n v="35478.839999999997"/>
    <n v="7.1693513278188944E-2"/>
    <n v="1.6300000000000001"/>
    <n v="54.781306122448981"/>
    <n v="2.6434490538258988"/>
  </r>
  <r>
    <x v="152"/>
    <x v="0"/>
    <x v="3"/>
    <x v="2"/>
    <x v="5"/>
    <n v="54976"/>
    <n v="2611"/>
    <n v="3446.52"/>
    <n v="187"/>
    <n v="8230.48"/>
    <n v="4.7493451688009315E-2"/>
    <n v="1.32"/>
    <n v="18.430588235294117"/>
    <n v="2.388055197706672"/>
  </r>
  <r>
    <x v="153"/>
    <x v="0"/>
    <x v="2"/>
    <x v="0"/>
    <x v="6"/>
    <n v="162636"/>
    <n v="9237"/>
    <n v="13024.17"/>
    <n v="738"/>
    <n v="102989.98"/>
    <n v="5.6795543422120565E-2"/>
    <n v="1.41"/>
    <n v="17.647926829268293"/>
    <n v="7.907604093005542"/>
  </r>
  <r>
    <x v="61"/>
    <x v="0"/>
    <x v="3"/>
    <x v="2"/>
    <x v="5"/>
    <n v="23375"/>
    <n v="1175"/>
    <n v="1668.5"/>
    <n v="15"/>
    <n v="1524.57"/>
    <n v="5.0267379679144387E-2"/>
    <n v="1.42"/>
    <n v="111.23333333333333"/>
    <n v="0.91373688942163611"/>
  </r>
  <r>
    <x v="129"/>
    <x v="2"/>
    <x v="2"/>
    <x v="4"/>
    <x v="4"/>
    <n v="167917"/>
    <n v="6246"/>
    <n v="3747.6"/>
    <n v="413"/>
    <n v="25997.62"/>
    <n v="3.719694849240994E-2"/>
    <n v="0.6"/>
    <n v="9.0740920096852307"/>
    <n v="6.9371384352652363"/>
  </r>
  <r>
    <x v="154"/>
    <x v="0"/>
    <x v="0"/>
    <x v="4"/>
    <x v="2"/>
    <n v="71216"/>
    <n v="2357"/>
    <n v="7471.69"/>
    <n v="179"/>
    <n v="29354.19"/>
    <n v="3.3096495169624804E-2"/>
    <n v="3.17"/>
    <n v="41.741284916201117"/>
    <n v="3.9287216145209451"/>
  </r>
  <r>
    <x v="46"/>
    <x v="0"/>
    <x v="1"/>
    <x v="1"/>
    <x v="3"/>
    <n v="29618"/>
    <n v="1883"/>
    <n v="4086.11"/>
    <n v="90"/>
    <n v="26198.959999999999"/>
    <n v="6.357620365993652E-2"/>
    <n v="2.17"/>
    <n v="45.401222222222223"/>
    <n v="6.4117118726612841"/>
  </r>
  <r>
    <x v="86"/>
    <x v="0"/>
    <x v="0"/>
    <x v="2"/>
    <x v="4"/>
    <n v="136461"/>
    <n v="3984"/>
    <n v="5936.16"/>
    <n v="214"/>
    <n v="24710.240000000002"/>
    <n v="2.9195154659573064E-2"/>
    <n v="1.49"/>
    <n v="27.739065420560745"/>
    <n v="4.1626640791353333"/>
  </r>
  <r>
    <x v="155"/>
    <x v="1"/>
    <x v="0"/>
    <x v="2"/>
    <x v="6"/>
    <n v="132426"/>
    <n v="7309"/>
    <n v="2338.88"/>
    <n v="171"/>
    <n v="24136.13"/>
    <n v="5.5193088970443872E-2"/>
    <n v="0.32"/>
    <n v="13.67766081871345"/>
    <n v="10.319524729785197"/>
  </r>
  <r>
    <x v="45"/>
    <x v="1"/>
    <x v="0"/>
    <x v="4"/>
    <x v="3"/>
    <n v="159692"/>
    <n v="6882"/>
    <n v="2546.34"/>
    <n v="523"/>
    <n v="106309.31"/>
    <n v="4.3095458758109363E-2"/>
    <n v="0.37"/>
    <n v="4.8687189292543023"/>
    <n v="41.749848802595096"/>
  </r>
  <r>
    <x v="156"/>
    <x v="2"/>
    <x v="1"/>
    <x v="0"/>
    <x v="5"/>
    <n v="27931"/>
    <n v="608"/>
    <n v="924.16"/>
    <n v="10"/>
    <n v="1389.72"/>
    <n v="2.1767928108553221E-2"/>
    <n v="1.52"/>
    <n v="92.415999999999997"/>
    <n v="1.5037655817174516"/>
  </r>
  <r>
    <x v="157"/>
    <x v="2"/>
    <x v="3"/>
    <x v="1"/>
    <x v="2"/>
    <n v="131155"/>
    <n v="4052"/>
    <n v="5024.4799999999996"/>
    <n v="209"/>
    <n v="15982.2"/>
    <n v="3.0894742861499753E-2"/>
    <n v="1.24"/>
    <n v="24.040574162679423"/>
    <n v="3.1808664777250586"/>
  </r>
  <r>
    <x v="158"/>
    <x v="1"/>
    <x v="2"/>
    <x v="0"/>
    <x v="2"/>
    <n v="66842"/>
    <n v="2339"/>
    <n v="3274.6"/>
    <n v="123"/>
    <n v="14081.65"/>
    <n v="3.499296849286377E-2"/>
    <n v="1.4"/>
    <n v="26.622764227642275"/>
    <n v="4.3002656813045865"/>
  </r>
  <r>
    <x v="159"/>
    <x v="0"/>
    <x v="2"/>
    <x v="3"/>
    <x v="0"/>
    <n v="7642"/>
    <n v="202"/>
    <n v="682.76"/>
    <n v="11"/>
    <n v="1542.21"/>
    <n v="2.6432870976184245E-2"/>
    <n v="3.38"/>
    <n v="62.06909090909091"/>
    <n v="2.2587878610346244"/>
  </r>
  <r>
    <x v="160"/>
    <x v="0"/>
    <x v="2"/>
    <x v="4"/>
    <x v="2"/>
    <n v="70618"/>
    <n v="3601"/>
    <n v="8030.23"/>
    <n v="145"/>
    <n v="7976.29"/>
    <n v="5.0992664759692996E-2"/>
    <n v="2.23"/>
    <n v="55.380896551724135"/>
    <n v="0.99328288230847694"/>
  </r>
  <r>
    <x v="73"/>
    <x v="2"/>
    <x v="1"/>
    <x v="4"/>
    <x v="3"/>
    <n v="74212"/>
    <n v="1528"/>
    <n v="2230.88"/>
    <n v="85"/>
    <n v="21331.58"/>
    <n v="2.0589662049264271E-2"/>
    <n v="1.46"/>
    <n v="26.245647058823529"/>
    <n v="9.5619576131392101"/>
  </r>
  <r>
    <x v="161"/>
    <x v="0"/>
    <x v="2"/>
    <x v="4"/>
    <x v="2"/>
    <n v="10039"/>
    <n v="501"/>
    <n v="1147.29"/>
    <n v="36"/>
    <n v="4805.5200000000004"/>
    <n v="4.990536906066341E-2"/>
    <n v="2.29"/>
    <n v="31.869166666666665"/>
    <n v="4.188583531626703"/>
  </r>
  <r>
    <x v="162"/>
    <x v="2"/>
    <x v="1"/>
    <x v="2"/>
    <x v="5"/>
    <n v="102088"/>
    <n v="4481"/>
    <n v="3271.13"/>
    <n v="316"/>
    <n v="87569.74"/>
    <n v="4.3893503643915054E-2"/>
    <n v="0.73"/>
    <n v="10.351677215189873"/>
    <n v="26.770486039992296"/>
  </r>
  <r>
    <x v="163"/>
    <x v="1"/>
    <x v="3"/>
    <x v="0"/>
    <x v="0"/>
    <n v="25025"/>
    <n v="1256"/>
    <n v="540.08000000000004"/>
    <n v="38"/>
    <n v="5694.61"/>
    <n v="5.018981018981019E-2"/>
    <n v="0.43000000000000005"/>
    <n v="14.21263157894737"/>
    <n v="10.544011998222484"/>
  </r>
  <r>
    <x v="164"/>
    <x v="0"/>
    <x v="2"/>
    <x v="2"/>
    <x v="4"/>
    <n v="36707"/>
    <n v="943"/>
    <n v="1235.33"/>
    <n v="21"/>
    <n v="4396.12"/>
    <n v="2.5689922902988532E-2"/>
    <n v="1.3099999999999998"/>
    <n v="58.825238095238092"/>
    <n v="3.5586604389110605"/>
  </r>
  <r>
    <x v="165"/>
    <x v="1"/>
    <x v="0"/>
    <x v="1"/>
    <x v="4"/>
    <n v="17356"/>
    <n v="925"/>
    <n v="425.5"/>
    <n v="62"/>
    <n v="5476.85"/>
    <n v="5.3295690251209955E-2"/>
    <n v="0.46"/>
    <n v="6.862903225806452"/>
    <n v="12.871562867215042"/>
  </r>
  <r>
    <x v="166"/>
    <x v="1"/>
    <x v="0"/>
    <x v="1"/>
    <x v="5"/>
    <n v="86257"/>
    <n v="4597"/>
    <n v="3815.51"/>
    <n v="301"/>
    <n v="80903.28"/>
    <n v="5.3294225396199726E-2"/>
    <n v="0.83000000000000007"/>
    <n v="12.676112956810632"/>
    <n v="21.203791891516467"/>
  </r>
  <r>
    <x v="142"/>
    <x v="0"/>
    <x v="2"/>
    <x v="0"/>
    <x v="5"/>
    <n v="32518"/>
    <n v="1258"/>
    <n v="3031.78"/>
    <n v="12"/>
    <n v="2688.72"/>
    <n v="3.8686266068023861E-2"/>
    <n v="2.41"/>
    <n v="252.64833333333334"/>
    <n v="0.88684535157564193"/>
  </r>
  <r>
    <x v="167"/>
    <x v="2"/>
    <x v="3"/>
    <x v="4"/>
    <x v="5"/>
    <n v="75269"/>
    <n v="2604"/>
    <n v="2161.3200000000002"/>
    <n v="70"/>
    <n v="3191.14"/>
    <n v="3.4595915981346904E-2"/>
    <n v="0.83000000000000007"/>
    <n v="30.876000000000001"/>
    <n v="1.4764773379231209"/>
  </r>
  <r>
    <x v="51"/>
    <x v="0"/>
    <x v="1"/>
    <x v="1"/>
    <x v="4"/>
    <n v="20534"/>
    <n v="993"/>
    <n v="2849.91"/>
    <n v="49"/>
    <n v="1762.93"/>
    <n v="4.8358819518846789E-2"/>
    <n v="2.8699999999999997"/>
    <n v="58.161428571428566"/>
    <n v="0.61859146429185485"/>
  </r>
  <r>
    <x v="168"/>
    <x v="1"/>
    <x v="2"/>
    <x v="4"/>
    <x v="0"/>
    <n v="98500"/>
    <n v="5614"/>
    <n v="3424.54"/>
    <n v="220"/>
    <n v="7676.57"/>
    <n v="5.6994923857868023E-2"/>
    <n v="0.61"/>
    <n v="15.566090909090908"/>
    <n v="2.2416353729259986"/>
  </r>
  <r>
    <x v="85"/>
    <x v="1"/>
    <x v="0"/>
    <x v="0"/>
    <x v="0"/>
    <n v="41468"/>
    <n v="3354"/>
    <n v="3722.94"/>
    <n v="81"/>
    <n v="5215.9399999999996"/>
    <n v="8.0881643677052181E-2"/>
    <n v="1.1100000000000001"/>
    <n v="45.962222222222223"/>
    <n v="1.4010271452131915"/>
  </r>
  <r>
    <x v="12"/>
    <x v="0"/>
    <x v="1"/>
    <x v="2"/>
    <x v="4"/>
    <n v="123696"/>
    <n v="6531"/>
    <n v="16849.98"/>
    <n v="466"/>
    <n v="62974.93"/>
    <n v="5.2798797050834304E-2"/>
    <n v="2.58"/>
    <n v="36.158755364806865"/>
    <n v="3.7373890058029744"/>
  </r>
  <r>
    <x v="142"/>
    <x v="2"/>
    <x v="2"/>
    <x v="1"/>
    <x v="3"/>
    <n v="81848"/>
    <n v="1694"/>
    <n v="2185.2600000000002"/>
    <n v="58"/>
    <n v="7573.87"/>
    <n v="2.0696901573648716E-2"/>
    <n v="1.29"/>
    <n v="37.676896551724141"/>
    <n v="3.4658896424224115"/>
  </r>
  <r>
    <x v="13"/>
    <x v="0"/>
    <x v="3"/>
    <x v="1"/>
    <x v="4"/>
    <n v="92923"/>
    <n v="1932"/>
    <n v="6124.44"/>
    <n v="32"/>
    <n v="1855.78"/>
    <n v="2.0791407939907237E-2"/>
    <n v="3.17"/>
    <n v="191.38874999999999"/>
    <n v="0.30301219376792005"/>
  </r>
  <r>
    <x v="102"/>
    <x v="0"/>
    <x v="2"/>
    <x v="4"/>
    <x v="1"/>
    <n v="170732"/>
    <n v="7700"/>
    <n v="6237"/>
    <n v="434"/>
    <n v="53677.08"/>
    <n v="4.5099922685846824E-2"/>
    <n v="0.81"/>
    <n v="14.370967741935484"/>
    <n v="8.6062337662337658"/>
  </r>
  <r>
    <x v="169"/>
    <x v="0"/>
    <x v="3"/>
    <x v="4"/>
    <x v="6"/>
    <n v="86471"/>
    <n v="4859"/>
    <n v="7628.63"/>
    <n v="248"/>
    <n v="19852.560000000001"/>
    <n v="5.6192249424662603E-2"/>
    <n v="1.57"/>
    <n v="30.760604838709678"/>
    <n v="2.6023755248321128"/>
  </r>
  <r>
    <x v="89"/>
    <x v="2"/>
    <x v="3"/>
    <x v="1"/>
    <x v="1"/>
    <n v="115986"/>
    <n v="1357"/>
    <n v="2008.36"/>
    <n v="79"/>
    <n v="8002.44"/>
    <n v="1.169968789336644E-2"/>
    <n v="1.48"/>
    <n v="25.422278481012658"/>
    <n v="3.9845645203051245"/>
  </r>
  <r>
    <x v="170"/>
    <x v="1"/>
    <x v="3"/>
    <x v="2"/>
    <x v="2"/>
    <n v="42019"/>
    <n v="2979"/>
    <n v="4498.29"/>
    <n v="234"/>
    <n v="56724.23"/>
    <n v="7.0896499202741617E-2"/>
    <n v="1.51"/>
    <n v="19.223461538461539"/>
    <n v="12.610176311442794"/>
  </r>
  <r>
    <x v="105"/>
    <x v="1"/>
    <x v="2"/>
    <x v="1"/>
    <x v="2"/>
    <n v="34063"/>
    <n v="1243"/>
    <n v="472.34"/>
    <n v="40"/>
    <n v="10897.53"/>
    <n v="3.6491207468514225E-2"/>
    <n v="0.38"/>
    <n v="11.808499999999999"/>
    <n v="23.07136808231359"/>
  </r>
  <r>
    <x v="133"/>
    <x v="1"/>
    <x v="2"/>
    <x v="2"/>
    <x v="6"/>
    <n v="107476"/>
    <n v="4707"/>
    <n v="8001.9"/>
    <n v="293"/>
    <n v="72605.27"/>
    <n v="4.3795824184003872E-2"/>
    <n v="1.7"/>
    <n v="27.310238907849829"/>
    <n v="9.0735037928491984"/>
  </r>
  <r>
    <x v="171"/>
    <x v="1"/>
    <x v="0"/>
    <x v="0"/>
    <x v="4"/>
    <n v="33302"/>
    <n v="3007"/>
    <n v="841.96"/>
    <n v="95"/>
    <n v="3253.81"/>
    <n v="9.0294877184553479E-2"/>
    <n v="0.28000000000000003"/>
    <n v="8.8627368421052637"/>
    <n v="3.8645660126371797"/>
  </r>
  <r>
    <x v="172"/>
    <x v="0"/>
    <x v="2"/>
    <x v="3"/>
    <x v="2"/>
    <n v="70206"/>
    <n v="3945"/>
    <n v="14202"/>
    <n v="248"/>
    <n v="37055.99"/>
    <n v="5.6191778480471757E-2"/>
    <n v="3.6"/>
    <n v="57.266129032258064"/>
    <n v="2.6092092663005211"/>
  </r>
  <r>
    <x v="103"/>
    <x v="2"/>
    <x v="1"/>
    <x v="4"/>
    <x v="3"/>
    <n v="16094"/>
    <n v="616"/>
    <n v="1410.64"/>
    <n v="40"/>
    <n v="8923.08"/>
    <n v="3.8275133590157821E-2"/>
    <n v="2.29"/>
    <n v="35.266000000000005"/>
    <n v="6.3255543583054497"/>
  </r>
  <r>
    <x v="173"/>
    <x v="2"/>
    <x v="1"/>
    <x v="0"/>
    <x v="0"/>
    <n v="182718"/>
    <n v="2558"/>
    <n v="3478.88"/>
    <n v="124"/>
    <n v="28756.15"/>
    <n v="1.3999715408443613E-2"/>
    <n v="1.36"/>
    <n v="28.055483870967741"/>
    <n v="8.265921790921217"/>
  </r>
  <r>
    <x v="174"/>
    <x v="1"/>
    <x v="0"/>
    <x v="1"/>
    <x v="5"/>
    <n v="66169"/>
    <n v="2057"/>
    <n v="3064.93"/>
    <n v="136"/>
    <n v="39364.99"/>
    <n v="3.1087064939775425E-2"/>
    <n v="1.49"/>
    <n v="22.536249999999999"/>
    <n v="12.843683216256162"/>
  </r>
  <r>
    <x v="175"/>
    <x v="2"/>
    <x v="2"/>
    <x v="3"/>
    <x v="5"/>
    <n v="24404"/>
    <n v="710"/>
    <n v="433.1"/>
    <n v="10"/>
    <n v="923.15"/>
    <n v="2.909359121455499E-2"/>
    <n v="0.61"/>
    <n v="43.31"/>
    <n v="2.1314938813207109"/>
  </r>
  <r>
    <x v="26"/>
    <x v="1"/>
    <x v="2"/>
    <x v="1"/>
    <x v="6"/>
    <n v="30517"/>
    <n v="2575"/>
    <n v="2060"/>
    <n v="205"/>
    <n v="7811.94"/>
    <n v="8.4379198479535997E-2"/>
    <n v="0.8"/>
    <n v="10.048780487804878"/>
    <n v="3.7922038834951453"/>
  </r>
  <r>
    <x v="76"/>
    <x v="1"/>
    <x v="1"/>
    <x v="4"/>
    <x v="6"/>
    <n v="145148"/>
    <n v="5762"/>
    <n v="8585.3799999999992"/>
    <n v="213"/>
    <n v="10475.219999999999"/>
    <n v="3.9697412296414693E-2"/>
    <n v="1.4899999999999998"/>
    <n v="40.30694835680751"/>
    <n v="1.2201230463881623"/>
  </r>
  <r>
    <x v="176"/>
    <x v="0"/>
    <x v="3"/>
    <x v="0"/>
    <x v="3"/>
    <n v="37101"/>
    <n v="2166"/>
    <n v="6389.7"/>
    <n v="45"/>
    <n v="3868.37"/>
    <n v="5.8381175709549607E-2"/>
    <n v="2.9499999999999997"/>
    <n v="141.99333333333334"/>
    <n v="0.60540713961531845"/>
  </r>
  <r>
    <x v="177"/>
    <x v="2"/>
    <x v="0"/>
    <x v="1"/>
    <x v="1"/>
    <n v="151480"/>
    <n v="2514"/>
    <n v="5178.84"/>
    <n v="72"/>
    <n v="4076.45"/>
    <n v="1.6596250330076577E-2"/>
    <n v="2.06"/>
    <n v="71.928333333333342"/>
    <n v="0.78713572923666297"/>
  </r>
  <r>
    <x v="7"/>
    <x v="1"/>
    <x v="1"/>
    <x v="1"/>
    <x v="5"/>
    <n v="159813"/>
    <n v="7575"/>
    <n v="6817.5"/>
    <n v="319"/>
    <n v="35965.699999999997"/>
    <n v="4.7399147753937415E-2"/>
    <n v="0.9"/>
    <n v="21.371473354231973"/>
    <n v="5.2754968830216349"/>
  </r>
  <r>
    <x v="178"/>
    <x v="1"/>
    <x v="3"/>
    <x v="2"/>
    <x v="1"/>
    <n v="135956"/>
    <n v="11529"/>
    <n v="5764.5"/>
    <n v="732"/>
    <n v="207824.45"/>
    <n v="8.4799493953926275E-2"/>
    <n v="0.5"/>
    <n v="7.875"/>
    <n v="36.052467690172612"/>
  </r>
  <r>
    <x v="179"/>
    <x v="0"/>
    <x v="0"/>
    <x v="3"/>
    <x v="0"/>
    <n v="70982"/>
    <n v="2548"/>
    <n v="7338.24"/>
    <n v="117"/>
    <n v="32045.18"/>
    <n v="3.5896424445634102E-2"/>
    <n v="2.88"/>
    <n v="62.72"/>
    <n v="4.3668754360718651"/>
  </r>
  <r>
    <x v="180"/>
    <x v="1"/>
    <x v="0"/>
    <x v="2"/>
    <x v="5"/>
    <n v="132992"/>
    <n v="7926"/>
    <n v="5072.6400000000003"/>
    <n v="553"/>
    <n v="41271.279999999999"/>
    <n v="5.95975697786333E-2"/>
    <n v="0.64"/>
    <n v="9.1729475587703444"/>
    <n v="8.1360553873328278"/>
  </r>
  <r>
    <x v="14"/>
    <x v="1"/>
    <x v="1"/>
    <x v="2"/>
    <x v="5"/>
    <n v="13597"/>
    <n v="747"/>
    <n v="1426.77"/>
    <n v="25"/>
    <n v="5673.88"/>
    <n v="5.4938589394719427E-2"/>
    <n v="1.91"/>
    <n v="57.070799999999998"/>
    <n v="3.9767306573589298"/>
  </r>
  <r>
    <x v="181"/>
    <x v="2"/>
    <x v="0"/>
    <x v="1"/>
    <x v="2"/>
    <n v="199472"/>
    <n v="5286"/>
    <n v="6977.52"/>
    <n v="192"/>
    <n v="17789.77"/>
    <n v="2.6499959894120479E-2"/>
    <n v="1.32"/>
    <n v="36.341250000000002"/>
    <n v="2.5495835196459486"/>
  </r>
  <r>
    <x v="29"/>
    <x v="0"/>
    <x v="0"/>
    <x v="2"/>
    <x v="2"/>
    <n v="108751"/>
    <n v="5459"/>
    <n v="7806.37"/>
    <n v="345"/>
    <n v="24740.95"/>
    <n v="5.0197239565613193E-2"/>
    <n v="1.43"/>
    <n v="22.627159420289853"/>
    <n v="3.1693283818215128"/>
  </r>
  <r>
    <x v="112"/>
    <x v="2"/>
    <x v="3"/>
    <x v="4"/>
    <x v="5"/>
    <n v="175591"/>
    <n v="5864"/>
    <n v="2580.16"/>
    <n v="333"/>
    <n v="52097.57"/>
    <n v="3.339578907802792E-2"/>
    <n v="0.44"/>
    <n v="7.7482282282282275"/>
    <n v="20.191604396626566"/>
  </r>
  <r>
    <x v="142"/>
    <x v="1"/>
    <x v="0"/>
    <x v="1"/>
    <x v="5"/>
    <n v="36027"/>
    <n v="2770"/>
    <n v="2991.6"/>
    <n v="205"/>
    <n v="16618.849999999999"/>
    <n v="7.6886779359924495E-2"/>
    <n v="1.08"/>
    <n v="14.593170731707316"/>
    <n v="5.555171145875117"/>
  </r>
  <r>
    <x v="182"/>
    <x v="1"/>
    <x v="2"/>
    <x v="4"/>
    <x v="4"/>
    <n v="57265"/>
    <n v="2302"/>
    <n v="2992.6"/>
    <n v="85"/>
    <n v="4068.49"/>
    <n v="4.0199074478302628E-2"/>
    <n v="1.3"/>
    <n v="35.207058823529408"/>
    <n v="1.3595168081267126"/>
  </r>
  <r>
    <x v="183"/>
    <x v="0"/>
    <x v="2"/>
    <x v="0"/>
    <x v="5"/>
    <n v="161904"/>
    <n v="4727"/>
    <n v="7752.28"/>
    <n v="263"/>
    <n v="21545.93"/>
    <n v="2.9196313865006422E-2"/>
    <n v="1.64"/>
    <n v="29.476349809885932"/>
    <n v="2.7793023471804426"/>
  </r>
  <r>
    <x v="184"/>
    <x v="0"/>
    <x v="3"/>
    <x v="2"/>
    <x v="4"/>
    <n v="49757"/>
    <n v="1243"/>
    <n v="3903.02"/>
    <n v="39"/>
    <n v="4749.8999999999996"/>
    <n v="2.498140965090339E-2"/>
    <n v="3.14"/>
    <n v="100.07743589743589"/>
    <n v="1.2169806969987342"/>
  </r>
  <r>
    <x v="185"/>
    <x v="0"/>
    <x v="1"/>
    <x v="1"/>
    <x v="2"/>
    <n v="168623"/>
    <n v="6896"/>
    <n v="9792.32"/>
    <n v="200"/>
    <n v="24436.959999999999"/>
    <n v="4.0895963184144513E-2"/>
    <n v="1.42"/>
    <n v="48.961599999999997"/>
    <n v="2.4955230221234599"/>
  </r>
  <r>
    <x v="82"/>
    <x v="2"/>
    <x v="1"/>
    <x v="3"/>
    <x v="4"/>
    <n v="98079"/>
    <n v="3226"/>
    <n v="7032.68"/>
    <n v="44"/>
    <n v="1401.71"/>
    <n v="3.2891852486261072E-2"/>
    <n v="2.1800000000000002"/>
    <n v="159.83363636363637"/>
    <n v="0.19931377511844703"/>
  </r>
  <r>
    <x v="54"/>
    <x v="0"/>
    <x v="0"/>
    <x v="1"/>
    <x v="1"/>
    <n v="11305"/>
    <n v="562"/>
    <n v="966.64"/>
    <n v="42"/>
    <n v="8107.06"/>
    <n v="4.9712516585581602E-2"/>
    <n v="1.72"/>
    <n v="23.015238095238097"/>
    <n v="8.3868451543490856"/>
  </r>
  <r>
    <x v="186"/>
    <x v="1"/>
    <x v="2"/>
    <x v="2"/>
    <x v="5"/>
    <n v="109188"/>
    <n v="6354"/>
    <n v="8006.04"/>
    <n v="216"/>
    <n v="49228.57"/>
    <n v="5.8193208044840093E-2"/>
    <n v="1.26"/>
    <n v="37.064999999999998"/>
    <n v="6.1489288087493943"/>
  </r>
  <r>
    <x v="6"/>
    <x v="2"/>
    <x v="3"/>
    <x v="2"/>
    <x v="3"/>
    <n v="73309"/>
    <n v="2323"/>
    <n v="1393.8"/>
    <n v="39"/>
    <n v="1966.71"/>
    <n v="3.1687787311244185E-2"/>
    <n v="0.6"/>
    <n v="35.738461538461536"/>
    <n v="1.4110417563495481"/>
  </r>
  <r>
    <x v="20"/>
    <x v="0"/>
    <x v="1"/>
    <x v="2"/>
    <x v="5"/>
    <n v="81996"/>
    <n v="1508"/>
    <n v="3513.64"/>
    <n v="75"/>
    <n v="8251.24"/>
    <n v="1.8391141031269816E-2"/>
    <n v="2.33"/>
    <n v="46.848533333333329"/>
    <n v="2.3483453057228401"/>
  </r>
  <r>
    <x v="187"/>
    <x v="1"/>
    <x v="3"/>
    <x v="1"/>
    <x v="1"/>
    <n v="122192"/>
    <n v="4398"/>
    <n v="4354.0200000000004"/>
    <n v="348"/>
    <n v="64414.080000000002"/>
    <n v="3.5992536336257694E-2"/>
    <n v="0.9900000000000001"/>
    <n v="12.511551724137933"/>
    <n v="14.794162635908883"/>
  </r>
  <r>
    <x v="188"/>
    <x v="0"/>
    <x v="3"/>
    <x v="3"/>
    <x v="0"/>
    <n v="79960"/>
    <n v="1591"/>
    <n v="1638.73"/>
    <n v="55"/>
    <n v="15206.45"/>
    <n v="1.9897448724362179E-2"/>
    <n v="1.03"/>
    <n v="29.795090909090909"/>
    <n v="9.2794114954873592"/>
  </r>
  <r>
    <x v="164"/>
    <x v="2"/>
    <x v="3"/>
    <x v="2"/>
    <x v="6"/>
    <n v="188804"/>
    <n v="5267"/>
    <n v="11060.7"/>
    <n v="64"/>
    <n v="10138.299999999999"/>
    <n v="2.7896654731891273E-2"/>
    <n v="2.1"/>
    <n v="172.82343750000001"/>
    <n v="0.9166056397877167"/>
  </r>
  <r>
    <x v="111"/>
    <x v="2"/>
    <x v="3"/>
    <x v="0"/>
    <x v="1"/>
    <n v="80139"/>
    <n v="2436"/>
    <n v="3848.88"/>
    <n v="37"/>
    <n v="4653.12"/>
    <n v="3.0397184891251452E-2"/>
    <n v="1.58"/>
    <n v="104.02378378378378"/>
    <n v="1.2089542931969819"/>
  </r>
  <r>
    <x v="16"/>
    <x v="2"/>
    <x v="2"/>
    <x v="3"/>
    <x v="3"/>
    <n v="51999"/>
    <n v="930"/>
    <n v="1116"/>
    <n v="13"/>
    <n v="1777.36"/>
    <n v="1.7884959326140887E-2"/>
    <n v="1.2"/>
    <n v="85.84615384615384"/>
    <n v="1.5926164874551971"/>
  </r>
  <r>
    <x v="189"/>
    <x v="0"/>
    <x v="1"/>
    <x v="1"/>
    <x v="5"/>
    <n v="119527"/>
    <n v="6597"/>
    <n v="20450.7"/>
    <n v="497"/>
    <n v="137884.47"/>
    <n v="5.5192550637094551E-2"/>
    <n v="3.1"/>
    <n v="41.148289738430584"/>
    <n v="6.7422860831169595"/>
  </r>
  <r>
    <x v="190"/>
    <x v="2"/>
    <x v="0"/>
    <x v="0"/>
    <x v="5"/>
    <n v="194073"/>
    <n v="6346"/>
    <n v="11422.8"/>
    <n v="168"/>
    <n v="9921.3799999999992"/>
    <n v="3.2699035929778998E-2"/>
    <n v="1.7999999999999998"/>
    <n v="67.992857142857133"/>
    <n v="0.868559372483104"/>
  </r>
  <r>
    <x v="73"/>
    <x v="1"/>
    <x v="3"/>
    <x v="3"/>
    <x v="1"/>
    <n v="55599"/>
    <n v="3697"/>
    <n v="6063.08"/>
    <n v="217"/>
    <n v="25513.42"/>
    <n v="6.6494001690677887E-2"/>
    <n v="1.64"/>
    <n v="27.940460829493087"/>
    <n v="4.2079965957895986"/>
  </r>
  <r>
    <x v="165"/>
    <x v="0"/>
    <x v="1"/>
    <x v="2"/>
    <x v="5"/>
    <n v="176541"/>
    <n v="4378"/>
    <n v="12564.86"/>
    <n v="175"/>
    <n v="19637.27"/>
    <n v="2.479877195665596E-2"/>
    <n v="2.87"/>
    <n v="71.799199999999999"/>
    <n v="1.5628721688900633"/>
  </r>
  <r>
    <x v="54"/>
    <x v="0"/>
    <x v="3"/>
    <x v="0"/>
    <x v="0"/>
    <n v="118710"/>
    <n v="4036"/>
    <n v="10009.280000000001"/>
    <n v="235"/>
    <n v="28657.57"/>
    <n v="3.3998820655378653E-2"/>
    <n v="2.48"/>
    <n v="42.592680851063832"/>
    <n v="2.8631000431599474"/>
  </r>
  <r>
    <x v="103"/>
    <x v="1"/>
    <x v="0"/>
    <x v="0"/>
    <x v="3"/>
    <n v="113297"/>
    <n v="9675"/>
    <n v="17511.75"/>
    <n v="380"/>
    <n v="16593.87"/>
    <n v="8.5395023698774025E-2"/>
    <n v="1.81"/>
    <n v="46.083552631578947"/>
    <n v="0.94758490727654288"/>
  </r>
  <r>
    <x v="191"/>
    <x v="0"/>
    <x v="0"/>
    <x v="0"/>
    <x v="1"/>
    <n v="6881"/>
    <n v="357"/>
    <n v="817.53"/>
    <n v="5"/>
    <n v="872.75"/>
    <n v="5.188199389623601E-2"/>
    <n v="2.29"/>
    <n v="163.506"/>
    <n v="1.0675449218988906"/>
  </r>
  <r>
    <x v="92"/>
    <x v="2"/>
    <x v="2"/>
    <x v="1"/>
    <x v="3"/>
    <n v="121477"/>
    <n v="1834"/>
    <n v="898.66"/>
    <n v="98"/>
    <n v="10542.66"/>
    <n v="1.5097508170270916E-2"/>
    <n v="0.49"/>
    <n v="9.17"/>
    <n v="11.731533616718226"/>
  </r>
  <r>
    <x v="192"/>
    <x v="0"/>
    <x v="3"/>
    <x v="3"/>
    <x v="6"/>
    <n v="188419"/>
    <n v="10231"/>
    <n v="21996.65"/>
    <n v="754"/>
    <n v="134062.71"/>
    <n v="5.429919487949729E-2"/>
    <n v="2.1500000000000004"/>
    <n v="29.173275862068966"/>
    <n v="6.0946876001572958"/>
  </r>
  <r>
    <x v="193"/>
    <x v="2"/>
    <x v="1"/>
    <x v="1"/>
    <x v="1"/>
    <n v="46743"/>
    <n v="1523"/>
    <n v="1218.4000000000001"/>
    <n v="51"/>
    <n v="5825.03"/>
    <n v="3.2582418757888879E-2"/>
    <n v="0.8"/>
    <n v="23.890196078431373"/>
    <n v="4.7808847669074188"/>
  </r>
  <r>
    <x v="194"/>
    <x v="0"/>
    <x v="1"/>
    <x v="0"/>
    <x v="5"/>
    <n v="93302"/>
    <n v="4058"/>
    <n v="3286.98"/>
    <n v="50"/>
    <n v="14861.71"/>
    <n v="4.3493172707980539E-2"/>
    <n v="0.81"/>
    <n v="65.739599999999996"/>
    <n v="4.5213874133703271"/>
  </r>
  <r>
    <x v="195"/>
    <x v="0"/>
    <x v="0"/>
    <x v="3"/>
    <x v="6"/>
    <n v="140747"/>
    <n v="8571"/>
    <n v="27855.75"/>
    <n v="332"/>
    <n v="48279.89"/>
    <n v="6.0896502234505885E-2"/>
    <n v="3.25"/>
    <n v="83.902861445783131"/>
    <n v="1.7332109169561043"/>
  </r>
  <r>
    <x v="196"/>
    <x v="0"/>
    <x v="0"/>
    <x v="2"/>
    <x v="6"/>
    <n v="36831"/>
    <n v="1572"/>
    <n v="5423.4"/>
    <n v="48"/>
    <n v="4165.7299999999996"/>
    <n v="4.2681436833102548E-2"/>
    <n v="3.4499999999999997"/>
    <n v="112.9875"/>
    <n v="0.76810303499649668"/>
  </r>
  <r>
    <x v="8"/>
    <x v="1"/>
    <x v="3"/>
    <x v="3"/>
    <x v="3"/>
    <n v="146842"/>
    <n v="10646"/>
    <n v="13094.58"/>
    <n v="615"/>
    <n v="113988.39"/>
    <n v="7.2499693548167418E-2"/>
    <n v="1.23"/>
    <n v="21.292000000000002"/>
    <n v="8.7050054297274144"/>
  </r>
  <r>
    <x v="7"/>
    <x v="2"/>
    <x v="3"/>
    <x v="1"/>
    <x v="2"/>
    <n v="69892"/>
    <n v="2851"/>
    <n v="2223.7800000000002"/>
    <n v="52"/>
    <n v="11407.42"/>
    <n v="4.0791506896354378E-2"/>
    <n v="0.78"/>
    <n v="42.765000000000001"/>
    <n v="5.1297430501218644"/>
  </r>
  <r>
    <x v="197"/>
    <x v="0"/>
    <x v="2"/>
    <x v="3"/>
    <x v="1"/>
    <n v="118985"/>
    <n v="4545"/>
    <n v="14680.35"/>
    <n v="259"/>
    <n v="58417.120000000003"/>
    <n v="3.8198092196495358E-2"/>
    <n v="3.23"/>
    <n v="56.680888030888035"/>
    <n v="3.9792729737370021"/>
  </r>
  <r>
    <x v="198"/>
    <x v="2"/>
    <x v="3"/>
    <x v="4"/>
    <x v="5"/>
    <n v="12452"/>
    <n v="280"/>
    <n v="344.4"/>
    <n v="18"/>
    <n v="4734.22"/>
    <n v="2.2486347574686798E-2"/>
    <n v="1.23"/>
    <n v="19.133333333333333"/>
    <n v="13.746283391405344"/>
  </r>
  <r>
    <x v="1"/>
    <x v="0"/>
    <x v="3"/>
    <x v="1"/>
    <x v="0"/>
    <n v="85077"/>
    <n v="4032"/>
    <n v="11450.88"/>
    <n v="253"/>
    <n v="13168.69"/>
    <n v="4.7392362213054054E-2"/>
    <n v="2.84"/>
    <n v="45.260395256916993"/>
    <n v="1.1500155446568301"/>
  </r>
  <r>
    <x v="83"/>
    <x v="1"/>
    <x v="0"/>
    <x v="0"/>
    <x v="5"/>
    <n v="39782"/>
    <n v="3393"/>
    <n v="5802.03"/>
    <n v="143"/>
    <n v="23555.27"/>
    <n v="8.5289829571162837E-2"/>
    <n v="1.71"/>
    <n v="40.573636363636361"/>
    <n v="4.0598325068984478"/>
  </r>
  <r>
    <x v="133"/>
    <x v="0"/>
    <x v="1"/>
    <x v="1"/>
    <x v="6"/>
    <n v="192135"/>
    <n v="10663"/>
    <n v="18980.14"/>
    <n v="741"/>
    <n v="213823.35999999999"/>
    <n v="5.5497436698154941E-2"/>
    <n v="1.78"/>
    <n v="25.614224021592442"/>
    <n v="11.265636607527657"/>
  </r>
  <r>
    <x v="76"/>
    <x v="2"/>
    <x v="0"/>
    <x v="2"/>
    <x v="5"/>
    <n v="156317"/>
    <n v="5924"/>
    <n v="4206.04"/>
    <n v="464"/>
    <n v="64623.96"/>
    <n v="3.7897349616484451E-2"/>
    <n v="0.71"/>
    <n v="9.0647413793103446"/>
    <n v="15.364561440214549"/>
  </r>
  <r>
    <x v="199"/>
    <x v="0"/>
    <x v="2"/>
    <x v="0"/>
    <x v="3"/>
    <n v="39754"/>
    <n v="2007"/>
    <n v="4676.3100000000004"/>
    <n v="108"/>
    <n v="6981.98"/>
    <n v="5.04854857372843E-2"/>
    <n v="2.33"/>
    <n v="43.299166666666672"/>
    <n v="1.4930532834649539"/>
  </r>
  <r>
    <x v="200"/>
    <x v="2"/>
    <x v="2"/>
    <x v="1"/>
    <x v="0"/>
    <n v="84526"/>
    <n v="2214"/>
    <n v="974.16"/>
    <n v="117"/>
    <n v="30360.22"/>
    <n v="2.6193124009180606E-2"/>
    <n v="0.44"/>
    <n v="8.3261538461538454"/>
    <n v="31.165537488708221"/>
  </r>
  <r>
    <x v="126"/>
    <x v="0"/>
    <x v="2"/>
    <x v="3"/>
    <x v="1"/>
    <n v="159226"/>
    <n v="5206"/>
    <n v="5049.82"/>
    <n v="137"/>
    <n v="27701.27"/>
    <n v="3.2695665280795851E-2"/>
    <n v="0.97"/>
    <n v="36.86"/>
    <n v="5.4855955261771712"/>
  </r>
  <r>
    <x v="201"/>
    <x v="1"/>
    <x v="3"/>
    <x v="3"/>
    <x v="4"/>
    <n v="178503"/>
    <n v="9639"/>
    <n v="5397.84"/>
    <n v="146"/>
    <n v="40162.93"/>
    <n v="5.3999092452227691E-2"/>
    <n v="0.56000000000000005"/>
    <n v="36.97150684931507"/>
    <n v="7.4405558519704176"/>
  </r>
  <r>
    <x v="202"/>
    <x v="1"/>
    <x v="2"/>
    <x v="3"/>
    <x v="5"/>
    <n v="176946"/>
    <n v="13784"/>
    <n v="11854.24"/>
    <n v="743"/>
    <n v="208986.19"/>
    <n v="7.789947215534683E-2"/>
    <n v="0.86"/>
    <n v="15.954562584118438"/>
    <n v="17.629657405282835"/>
  </r>
  <r>
    <x v="203"/>
    <x v="2"/>
    <x v="3"/>
    <x v="0"/>
    <x v="3"/>
    <n v="163124"/>
    <n v="4273"/>
    <n v="3888.43"/>
    <n v="239"/>
    <n v="71554.77"/>
    <n v="2.6194796596454233E-2"/>
    <n v="0.90999999999999992"/>
    <n v="16.269581589958158"/>
    <n v="18.401969432393024"/>
  </r>
  <r>
    <x v="170"/>
    <x v="2"/>
    <x v="3"/>
    <x v="1"/>
    <x v="0"/>
    <n v="150486"/>
    <n v="6230"/>
    <n v="7538.3"/>
    <n v="243"/>
    <n v="55217.61"/>
    <n v="4.1399199925574469E-2"/>
    <n v="1.21"/>
    <n v="31.021810699588478"/>
    <n v="7.3249419630420647"/>
  </r>
  <r>
    <x v="44"/>
    <x v="0"/>
    <x v="0"/>
    <x v="4"/>
    <x v="1"/>
    <n v="88384"/>
    <n v="3641"/>
    <n v="4442.0200000000004"/>
    <n v="89"/>
    <n v="4077.32"/>
    <n v="4.1195238957277336E-2"/>
    <n v="1.2200000000000002"/>
    <n v="49.910337078651693"/>
    <n v="0.91789771320255198"/>
  </r>
  <r>
    <x v="53"/>
    <x v="2"/>
    <x v="3"/>
    <x v="3"/>
    <x v="2"/>
    <n v="74922"/>
    <n v="1333"/>
    <n v="1759.56"/>
    <n v="95"/>
    <n v="17171.740000000002"/>
    <n v="1.7791836843650731E-2"/>
    <n v="1.32"/>
    <n v="18.521684210526317"/>
    <n v="9.7591102321034811"/>
  </r>
  <r>
    <x v="148"/>
    <x v="1"/>
    <x v="1"/>
    <x v="1"/>
    <x v="0"/>
    <n v="188846"/>
    <n v="12671"/>
    <n v="17359.27"/>
    <n v="821"/>
    <n v="86047.94"/>
    <n v="6.7096999671690166E-2"/>
    <n v="1.37"/>
    <n v="21.144056029232644"/>
    <n v="4.9568870119538433"/>
  </r>
  <r>
    <x v="104"/>
    <x v="1"/>
    <x v="0"/>
    <x v="3"/>
    <x v="1"/>
    <n v="10209"/>
    <n v="314"/>
    <n v="562.05999999999995"/>
    <n v="13"/>
    <n v="3231.96"/>
    <n v="3.0757175041629933E-2"/>
    <n v="1.7899999999999998"/>
    <n v="43.235384615384611"/>
    <n v="5.7502046044906248"/>
  </r>
  <r>
    <x v="204"/>
    <x v="1"/>
    <x v="1"/>
    <x v="4"/>
    <x v="5"/>
    <n v="31140"/>
    <n v="1712"/>
    <n v="2294.08"/>
    <n v="63"/>
    <n v="5569.82"/>
    <n v="5.4977520873474628E-2"/>
    <n v="1.3399999999999999"/>
    <n v="36.41396825396825"/>
    <n v="2.4279100990375224"/>
  </r>
  <r>
    <x v="205"/>
    <x v="2"/>
    <x v="1"/>
    <x v="3"/>
    <x v="4"/>
    <n v="46850"/>
    <n v="983"/>
    <n v="1553.14"/>
    <n v="38"/>
    <n v="10968.52"/>
    <n v="2.0981856990394877E-2"/>
    <n v="1.58"/>
    <n v="40.872105263157898"/>
    <n v="7.062157950989608"/>
  </r>
  <r>
    <x v="206"/>
    <x v="2"/>
    <x v="2"/>
    <x v="1"/>
    <x v="4"/>
    <n v="17720"/>
    <n v="287"/>
    <n v="404.67"/>
    <n v="4"/>
    <n v="597.17999999999995"/>
    <n v="1.6196388261851016E-2"/>
    <n v="1.4100000000000001"/>
    <n v="101.1675"/>
    <n v="1.4757209578174808"/>
  </r>
  <r>
    <x v="207"/>
    <x v="0"/>
    <x v="1"/>
    <x v="3"/>
    <x v="3"/>
    <n v="16781"/>
    <n v="684"/>
    <n v="889.2"/>
    <n v="8"/>
    <n v="1435.11"/>
    <n v="4.076038376735594E-2"/>
    <n v="1.3"/>
    <n v="111.15"/>
    <n v="1.6139338731443993"/>
  </r>
  <r>
    <x v="45"/>
    <x v="2"/>
    <x v="1"/>
    <x v="4"/>
    <x v="3"/>
    <n v="61652"/>
    <n v="2614"/>
    <n v="3345.92"/>
    <n v="133"/>
    <n v="20303.14"/>
    <n v="4.2399273340686432E-2"/>
    <n v="1.28"/>
    <n v="25.157293233082708"/>
    <n v="6.0680291220351945"/>
  </r>
  <r>
    <x v="208"/>
    <x v="2"/>
    <x v="3"/>
    <x v="1"/>
    <x v="2"/>
    <n v="194933"/>
    <n v="4054"/>
    <n v="8229.6200000000008"/>
    <n v="197"/>
    <n v="9992.76"/>
    <n v="2.0796889187567009E-2"/>
    <n v="2.0300000000000002"/>
    <n v="41.774720812182743"/>
    <n v="1.2142431849830246"/>
  </r>
  <r>
    <x v="209"/>
    <x v="0"/>
    <x v="0"/>
    <x v="1"/>
    <x v="4"/>
    <n v="100386"/>
    <n v="5250"/>
    <n v="5145"/>
    <n v="254"/>
    <n v="73673.45"/>
    <n v="5.2298129221206142E-2"/>
    <n v="0.98"/>
    <n v="20.255905511811022"/>
    <n v="14.319426627793975"/>
  </r>
  <r>
    <x v="98"/>
    <x v="0"/>
    <x v="0"/>
    <x v="2"/>
    <x v="0"/>
    <n v="50203"/>
    <n v="1390"/>
    <n v="2710.5"/>
    <n v="47"/>
    <n v="11338.98"/>
    <n v="2.7687588391132004E-2"/>
    <n v="1.95"/>
    <n v="57.670212765957444"/>
    <n v="4.1833536247924732"/>
  </r>
  <r>
    <x v="210"/>
    <x v="1"/>
    <x v="0"/>
    <x v="3"/>
    <x v="5"/>
    <n v="85428"/>
    <n v="5134"/>
    <n v="4415.24"/>
    <n v="202"/>
    <n v="37603.74"/>
    <n v="6.0097391955799037E-2"/>
    <n v="0.86"/>
    <n v="21.857623762376235"/>
    <n v="8.5168054284704802"/>
  </r>
  <r>
    <x v="131"/>
    <x v="1"/>
    <x v="1"/>
    <x v="1"/>
    <x v="0"/>
    <n v="192428"/>
    <n v="9967"/>
    <n v="15947.2"/>
    <n v="570"/>
    <n v="78044.55"/>
    <n v="5.1795996424636746E-2"/>
    <n v="1.6"/>
    <n v="27.977543859649124"/>
    <n v="4.8939343583826629"/>
  </r>
  <r>
    <x v="182"/>
    <x v="0"/>
    <x v="2"/>
    <x v="2"/>
    <x v="1"/>
    <n v="33756"/>
    <n v="2150"/>
    <n v="4665.5"/>
    <n v="108"/>
    <n v="7948.11"/>
    <n v="6.369238061381681E-2"/>
    <n v="2.17"/>
    <n v="43.199074074074076"/>
    <n v="1.7035923266530917"/>
  </r>
  <r>
    <x v="211"/>
    <x v="2"/>
    <x v="1"/>
    <x v="0"/>
    <x v="0"/>
    <n v="103162"/>
    <n v="1485"/>
    <n v="1440.45"/>
    <n v="35"/>
    <n v="5899.5"/>
    <n v="1.4394835307574495E-2"/>
    <n v="0.97000000000000008"/>
    <n v="41.155714285714289"/>
    <n v="4.0955951265229613"/>
  </r>
  <r>
    <x v="212"/>
    <x v="0"/>
    <x v="0"/>
    <x v="1"/>
    <x v="0"/>
    <n v="142844"/>
    <n v="2971"/>
    <n v="5020.99"/>
    <n v="95"/>
    <n v="5534.94"/>
    <n v="2.0798913500042003E-2"/>
    <n v="1.69"/>
    <n v="52.852526315789468"/>
    <n v="1.1023602914962984"/>
  </r>
  <r>
    <x v="213"/>
    <x v="0"/>
    <x v="0"/>
    <x v="0"/>
    <x v="2"/>
    <n v="50201"/>
    <n v="2198"/>
    <n v="4945.5"/>
    <n v="112"/>
    <n v="12918.19"/>
    <n v="4.37839883667656E-2"/>
    <n v="2.25"/>
    <n v="44.15625"/>
    <n v="2.6121099989889798"/>
  </r>
  <r>
    <x v="214"/>
    <x v="2"/>
    <x v="1"/>
    <x v="0"/>
    <x v="2"/>
    <n v="143421"/>
    <n v="3542"/>
    <n v="3046.12"/>
    <n v="181"/>
    <n v="26273.040000000001"/>
    <n v="2.4696522824412044E-2"/>
    <n v="0.86"/>
    <n v="16.82939226519337"/>
    <n v="8.6250837130513585"/>
  </r>
  <r>
    <x v="215"/>
    <x v="2"/>
    <x v="2"/>
    <x v="0"/>
    <x v="6"/>
    <n v="71537"/>
    <n v="1809"/>
    <n v="2984.85"/>
    <n v="57"/>
    <n v="6227.5"/>
    <n v="2.5287613402854466E-2"/>
    <n v="1.65"/>
    <n v="52.36578947368421"/>
    <n v="2.0863694993048227"/>
  </r>
  <r>
    <x v="216"/>
    <x v="0"/>
    <x v="1"/>
    <x v="0"/>
    <x v="2"/>
    <n v="198604"/>
    <n v="8162"/>
    <n v="25302.2"/>
    <n v="584"/>
    <n v="25281.15"/>
    <n v="4.1096856055265758E-2"/>
    <n v="3.1"/>
    <n v="43.325684931506849"/>
    <n v="0.99916805653263352"/>
  </r>
  <r>
    <x v="67"/>
    <x v="0"/>
    <x v="0"/>
    <x v="2"/>
    <x v="4"/>
    <n v="114028"/>
    <n v="3112"/>
    <n v="4232.32"/>
    <n v="120"/>
    <n v="10393.959999999999"/>
    <n v="2.7291542428175535E-2"/>
    <n v="1.3599999999999999"/>
    <n v="35.269333333333329"/>
    <n v="2.4558539996975655"/>
  </r>
  <r>
    <x v="48"/>
    <x v="1"/>
    <x v="1"/>
    <x v="2"/>
    <x v="6"/>
    <n v="180309"/>
    <n v="5823"/>
    <n v="3784.95"/>
    <n v="232"/>
    <n v="46549.68"/>
    <n v="3.2294561003610465E-2"/>
    <n v="0.65"/>
    <n v="16.314439655172414"/>
    <n v="12.29862481670828"/>
  </r>
  <r>
    <x v="127"/>
    <x v="2"/>
    <x v="1"/>
    <x v="3"/>
    <x v="4"/>
    <n v="168402"/>
    <n v="5237"/>
    <n v="4451.45"/>
    <n v="188"/>
    <n v="43774.92"/>
    <n v="3.1098205484495434E-2"/>
    <n v="0.85"/>
    <n v="23.677925531914891"/>
    <n v="9.8338563838749167"/>
  </r>
  <r>
    <x v="162"/>
    <x v="1"/>
    <x v="1"/>
    <x v="4"/>
    <x v="4"/>
    <n v="125419"/>
    <n v="4126"/>
    <n v="3507.1"/>
    <n v="294"/>
    <n v="32829.78"/>
    <n v="3.2897726819700365E-2"/>
    <n v="0.85"/>
    <n v="11.928911564625849"/>
    <n v="9.3609477916227082"/>
  </r>
  <r>
    <x v="217"/>
    <x v="1"/>
    <x v="1"/>
    <x v="3"/>
    <x v="1"/>
    <n v="123680"/>
    <n v="8373"/>
    <n v="5023.8"/>
    <n v="263"/>
    <n v="12412.26"/>
    <n v="6.7698900388098324E-2"/>
    <n v="0.6"/>
    <n v="19.101901140684411"/>
    <n v="2.4706915084199212"/>
  </r>
  <r>
    <x v="69"/>
    <x v="0"/>
    <x v="0"/>
    <x v="0"/>
    <x v="1"/>
    <n v="117660"/>
    <n v="6388"/>
    <n v="11562.28"/>
    <n v="331"/>
    <n v="17255.28"/>
    <n v="5.4292027876933539E-2"/>
    <n v="1.81"/>
    <n v="34.931359516616318"/>
    <n v="1.4923769360368369"/>
  </r>
  <r>
    <x v="212"/>
    <x v="2"/>
    <x v="1"/>
    <x v="0"/>
    <x v="4"/>
    <n v="76916"/>
    <n v="2761"/>
    <n v="1960.31"/>
    <n v="64"/>
    <n v="14368.24"/>
    <n v="3.5896302459826307E-2"/>
    <n v="0.71"/>
    <n v="30.629843749999999"/>
    <n v="7.329575424295137"/>
  </r>
  <r>
    <x v="103"/>
    <x v="2"/>
    <x v="1"/>
    <x v="4"/>
    <x v="4"/>
    <n v="150631"/>
    <n v="5648"/>
    <n v="10957.12"/>
    <n v="111"/>
    <n v="21671.9"/>
    <n v="3.7495601834947656E-2"/>
    <n v="1.9400000000000002"/>
    <n v="98.712792792792797"/>
    <n v="1.9778828743319412"/>
  </r>
  <r>
    <x v="176"/>
    <x v="0"/>
    <x v="3"/>
    <x v="0"/>
    <x v="6"/>
    <n v="126635"/>
    <n v="4254"/>
    <n v="5657.82"/>
    <n v="313"/>
    <n v="28110.42"/>
    <n v="3.359260867848541E-2"/>
    <n v="1.3299999999999998"/>
    <n v="18.076102236421725"/>
    <n v="4.9684189316733303"/>
  </r>
  <r>
    <x v="20"/>
    <x v="0"/>
    <x v="1"/>
    <x v="1"/>
    <x v="5"/>
    <n v="159721"/>
    <n v="3625"/>
    <n v="6923.75"/>
    <n v="150"/>
    <n v="39701.58"/>
    <n v="2.2695825846319521E-2"/>
    <n v="1.91"/>
    <n v="46.158333333333331"/>
    <n v="5.7341151832460735"/>
  </r>
  <r>
    <x v="218"/>
    <x v="2"/>
    <x v="2"/>
    <x v="2"/>
    <x v="0"/>
    <n v="150698"/>
    <n v="4581"/>
    <n v="2336.31"/>
    <n v="285"/>
    <n v="32525.45"/>
    <n v="3.0398545435241342E-2"/>
    <n v="0.51"/>
    <n v="8.1975789473684202"/>
    <n v="13.921718436337644"/>
  </r>
  <r>
    <x v="219"/>
    <x v="1"/>
    <x v="0"/>
    <x v="1"/>
    <x v="4"/>
    <n v="98348"/>
    <n v="3225"/>
    <n v="4095.75"/>
    <n v="59"/>
    <n v="2846.94"/>
    <n v="3.2791719201203891E-2"/>
    <n v="1.27"/>
    <n v="69.419491525423723"/>
    <n v="0.69509613623878408"/>
  </r>
  <r>
    <x v="220"/>
    <x v="2"/>
    <x v="0"/>
    <x v="4"/>
    <x v="2"/>
    <n v="110603"/>
    <n v="2377"/>
    <n v="1640.13"/>
    <n v="62"/>
    <n v="2761.12"/>
    <n v="2.1491279621710081E-2"/>
    <n v="0.69000000000000006"/>
    <n v="26.453709677419358"/>
    <n v="1.6834763098047105"/>
  </r>
  <r>
    <x v="221"/>
    <x v="0"/>
    <x v="2"/>
    <x v="4"/>
    <x v="0"/>
    <n v="76792"/>
    <n v="3317"/>
    <n v="10282.700000000001"/>
    <n v="262"/>
    <n v="42043.839999999997"/>
    <n v="4.3194603604542137E-2"/>
    <n v="3.1"/>
    <n v="39.246946564885498"/>
    <n v="4.0887937992939589"/>
  </r>
  <r>
    <x v="205"/>
    <x v="1"/>
    <x v="2"/>
    <x v="3"/>
    <x v="2"/>
    <n v="44405"/>
    <n v="1953"/>
    <n v="2988.09"/>
    <n v="22"/>
    <n v="6030.56"/>
    <n v="4.3981533611079836E-2"/>
    <n v="1.53"/>
    <n v="135.82227272727275"/>
    <n v="2.0181989163646343"/>
  </r>
  <r>
    <x v="137"/>
    <x v="0"/>
    <x v="2"/>
    <x v="4"/>
    <x v="5"/>
    <n v="49462"/>
    <n v="1206"/>
    <n v="2351.6999999999998"/>
    <n v="74"/>
    <n v="12950.09"/>
    <n v="2.4382354130443575E-2"/>
    <n v="1.95"/>
    <n v="31.779729729729727"/>
    <n v="5.5066930305736284"/>
  </r>
  <r>
    <x v="107"/>
    <x v="1"/>
    <x v="3"/>
    <x v="3"/>
    <x v="6"/>
    <n v="140440"/>
    <n v="11825"/>
    <n v="8041"/>
    <n v="748"/>
    <n v="31071.69"/>
    <n v="8.4199658217032181E-2"/>
    <n v="0.68"/>
    <n v="10.75"/>
    <n v="3.8641574431040913"/>
  </r>
  <r>
    <x v="222"/>
    <x v="1"/>
    <x v="3"/>
    <x v="2"/>
    <x v="2"/>
    <n v="112392"/>
    <n v="4934"/>
    <n v="8091.76"/>
    <n v="363"/>
    <n v="91221.43"/>
    <n v="4.3899921702612282E-2"/>
    <n v="1.6400000000000001"/>
    <n v="22.291349862258954"/>
    <n v="11.273373159856446"/>
  </r>
  <r>
    <x v="8"/>
    <x v="1"/>
    <x v="2"/>
    <x v="2"/>
    <x v="6"/>
    <n v="125654"/>
    <n v="8318"/>
    <n v="4824.4399999999996"/>
    <n v="566"/>
    <n v="117035.13"/>
    <n v="6.619765387492639E-2"/>
    <n v="0.57999999999999996"/>
    <n v="8.5237455830388686"/>
    <n v="24.258801021465707"/>
  </r>
  <r>
    <x v="223"/>
    <x v="2"/>
    <x v="0"/>
    <x v="2"/>
    <x v="1"/>
    <n v="167002"/>
    <n v="3406"/>
    <n v="6232.98"/>
    <n v="76"/>
    <n v="10328.31"/>
    <n v="2.0394965329756529E-2"/>
    <n v="1.8299999999999998"/>
    <n v="82.0128947368421"/>
    <n v="1.6570420569294302"/>
  </r>
  <r>
    <x v="224"/>
    <x v="1"/>
    <x v="0"/>
    <x v="3"/>
    <x v="6"/>
    <n v="108247"/>
    <n v="6971"/>
    <n v="4112.8900000000003"/>
    <n v="517"/>
    <n v="139391.79"/>
    <n v="6.4399013367576002E-2"/>
    <n v="0.59000000000000008"/>
    <n v="7.9552998065764031"/>
    <n v="33.891446160728833"/>
  </r>
  <r>
    <x v="219"/>
    <x v="2"/>
    <x v="3"/>
    <x v="0"/>
    <x v="6"/>
    <n v="53128"/>
    <n v="1678"/>
    <n v="2533.7800000000002"/>
    <n v="66"/>
    <n v="19225.18"/>
    <n v="3.1584098780304173E-2"/>
    <n v="1.51"/>
    <n v="38.390606060606061"/>
    <n v="7.5875490374065624"/>
  </r>
  <r>
    <x v="225"/>
    <x v="2"/>
    <x v="1"/>
    <x v="1"/>
    <x v="2"/>
    <n v="65942"/>
    <n v="2044"/>
    <n v="2146.1999999999998"/>
    <n v="48"/>
    <n v="6784.27"/>
    <n v="3.0996936701950199E-2"/>
    <n v="1.0499999999999998"/>
    <n v="44.712499999999999"/>
    <n v="3.1610614108657167"/>
  </r>
  <r>
    <x v="147"/>
    <x v="0"/>
    <x v="3"/>
    <x v="4"/>
    <x v="4"/>
    <n v="32160"/>
    <n v="1186"/>
    <n v="1589.24"/>
    <n v="12"/>
    <n v="1927.71"/>
    <n v="3.687810945273632E-2"/>
    <n v="1.34"/>
    <n v="132.43666666666667"/>
    <n v="1.2129760136920793"/>
  </r>
  <r>
    <x v="226"/>
    <x v="0"/>
    <x v="0"/>
    <x v="1"/>
    <x v="2"/>
    <n v="58364"/>
    <n v="2241"/>
    <n v="4975.0200000000004"/>
    <n v="136"/>
    <n v="15149.72"/>
    <n v="3.8396957028305118E-2"/>
    <n v="2.2200000000000002"/>
    <n v="36.58102941176471"/>
    <n v="3.0451576074066029"/>
  </r>
  <r>
    <x v="48"/>
    <x v="2"/>
    <x v="0"/>
    <x v="4"/>
    <x v="5"/>
    <n v="79462"/>
    <n v="2058"/>
    <n v="1811.04"/>
    <n v="146"/>
    <n v="7813.85"/>
    <n v="2.5899171931237572E-2"/>
    <n v="0.88"/>
    <n v="12.404383561643835"/>
    <n v="4.3145651117589896"/>
  </r>
  <r>
    <x v="227"/>
    <x v="2"/>
    <x v="3"/>
    <x v="3"/>
    <x v="5"/>
    <n v="151864"/>
    <n v="4358"/>
    <n v="7365.02"/>
    <n v="175"/>
    <n v="45340.29"/>
    <n v="2.8696728651951747E-2"/>
    <n v="1.6900000000000002"/>
    <n v="42.085828571428571"/>
    <n v="6.1561665820323634"/>
  </r>
  <r>
    <x v="43"/>
    <x v="0"/>
    <x v="2"/>
    <x v="1"/>
    <x v="0"/>
    <n v="182926"/>
    <n v="6749"/>
    <n v="13093.06"/>
    <n v="343"/>
    <n v="53279.93"/>
    <n v="3.689470058930934E-2"/>
    <n v="1.94"/>
    <n v="38.172186588921278"/>
    <n v="4.0693260399020552"/>
  </r>
  <r>
    <x v="146"/>
    <x v="2"/>
    <x v="2"/>
    <x v="4"/>
    <x v="5"/>
    <n v="107489"/>
    <n v="2515"/>
    <n v="3521"/>
    <n v="166"/>
    <n v="18411.150000000001"/>
    <n v="2.3397743024867662E-2"/>
    <n v="1.4"/>
    <n v="21.210843373493976"/>
    <n v="5.2289548423743257"/>
  </r>
  <r>
    <x v="220"/>
    <x v="1"/>
    <x v="0"/>
    <x v="2"/>
    <x v="5"/>
    <n v="40709"/>
    <n v="1314"/>
    <n v="919.8"/>
    <n v="90"/>
    <n v="16081.05"/>
    <n v="3.2277874671448575E-2"/>
    <n v="0.7"/>
    <n v="10.219999999999999"/>
    <n v="17.483202870189171"/>
  </r>
  <r>
    <x v="228"/>
    <x v="0"/>
    <x v="1"/>
    <x v="0"/>
    <x v="6"/>
    <n v="143561"/>
    <n v="9144"/>
    <n v="17647.919999999998"/>
    <n v="630"/>
    <n v="123364.05"/>
    <n v="6.3694178781145291E-2"/>
    <n v="1.9299999999999997"/>
    <n v="28.012571428571427"/>
    <n v="6.9902883739273536"/>
  </r>
  <r>
    <x v="229"/>
    <x v="0"/>
    <x v="2"/>
    <x v="0"/>
    <x v="5"/>
    <n v="94242"/>
    <n v="5466"/>
    <n v="9128.2199999999993"/>
    <n v="100"/>
    <n v="6794.77"/>
    <n v="5.7999618004711276E-2"/>
    <n v="1.67"/>
    <n v="91.282199999999989"/>
    <n v="0.74436965804943367"/>
  </r>
  <r>
    <x v="68"/>
    <x v="0"/>
    <x v="3"/>
    <x v="2"/>
    <x v="0"/>
    <n v="111311"/>
    <n v="5765"/>
    <n v="15623.15"/>
    <n v="389"/>
    <n v="22317.919999999998"/>
    <n v="5.1791826504119093E-2"/>
    <n v="2.71"/>
    <n v="40.162339331619535"/>
    <n v="1.4285160162963295"/>
  </r>
  <r>
    <x v="228"/>
    <x v="1"/>
    <x v="1"/>
    <x v="0"/>
    <x v="2"/>
    <n v="130865"/>
    <n v="9461"/>
    <n v="14002.28"/>
    <n v="221"/>
    <n v="46411.13"/>
    <n v="7.2295877430940278E-2"/>
    <n v="1.48"/>
    <n v="63.358733031674213"/>
    <n v="3.3145409176219869"/>
  </r>
  <r>
    <x v="3"/>
    <x v="2"/>
    <x v="1"/>
    <x v="1"/>
    <x v="2"/>
    <n v="138639"/>
    <n v="2204"/>
    <n v="3967.2"/>
    <n v="154"/>
    <n v="35803.07"/>
    <n v="1.5897402606770101E-2"/>
    <n v="1.7999999999999998"/>
    <n v="25.76103896103896"/>
    <n v="9.0247706190764276"/>
  </r>
  <r>
    <x v="2"/>
    <x v="1"/>
    <x v="2"/>
    <x v="3"/>
    <x v="5"/>
    <n v="147355"/>
    <n v="7485"/>
    <n v="6811.35"/>
    <n v="81"/>
    <n v="14520.06"/>
    <n v="5.0795697465304879E-2"/>
    <n v="0.91"/>
    <n v="84.090740740740742"/>
    <n v="2.1317448082979142"/>
  </r>
  <r>
    <x v="57"/>
    <x v="2"/>
    <x v="2"/>
    <x v="0"/>
    <x v="1"/>
    <n v="26751"/>
    <n v="489"/>
    <n v="943.77"/>
    <n v="8"/>
    <n v="791.56"/>
    <n v="1.8279690478860602E-2"/>
    <n v="1.93"/>
    <n v="117.97125"/>
    <n v="0.83872129862148614"/>
  </r>
  <r>
    <x v="98"/>
    <x v="1"/>
    <x v="3"/>
    <x v="3"/>
    <x v="1"/>
    <n v="42706"/>
    <n v="2084"/>
    <n v="3313.56"/>
    <n v="35"/>
    <n v="4766.32"/>
    <n v="4.8798763639769586E-2"/>
    <n v="1.59"/>
    <n v="94.673142857142849"/>
    <n v="1.4384287594007652"/>
  </r>
  <r>
    <x v="212"/>
    <x v="2"/>
    <x v="1"/>
    <x v="3"/>
    <x v="0"/>
    <n v="173337"/>
    <n v="3189"/>
    <n v="6473.67"/>
    <n v="224"/>
    <n v="43055.91"/>
    <n v="1.8397687741220858E-2"/>
    <n v="2.0299999999999998"/>
    <n v="28.900312500000002"/>
    <n v="6.6509275264262779"/>
  </r>
  <r>
    <x v="185"/>
    <x v="2"/>
    <x v="2"/>
    <x v="3"/>
    <x v="4"/>
    <n v="99948"/>
    <n v="1389"/>
    <n v="1444.56"/>
    <n v="67"/>
    <n v="4987.6000000000004"/>
    <n v="1.3897226557810061E-2"/>
    <n v="1.04"/>
    <n v="21.560597014925371"/>
    <n v="3.452677631943291"/>
  </r>
  <r>
    <x v="230"/>
    <x v="0"/>
    <x v="1"/>
    <x v="2"/>
    <x v="4"/>
    <n v="65282"/>
    <n v="1723"/>
    <n v="3290.93"/>
    <n v="64"/>
    <n v="16624.45"/>
    <n v="2.6393186483257253E-2"/>
    <n v="1.91"/>
    <n v="51.420781249999997"/>
    <n v="5.0515963572607143"/>
  </r>
  <r>
    <x v="225"/>
    <x v="0"/>
    <x v="1"/>
    <x v="1"/>
    <x v="2"/>
    <n v="48790"/>
    <n v="2824"/>
    <n v="3671.2"/>
    <n v="178"/>
    <n v="37847.71"/>
    <n v="5.7880713260914124E-2"/>
    <n v="1.3"/>
    <n v="20.624719101123596"/>
    <n v="10.309356613641317"/>
  </r>
  <r>
    <x v="223"/>
    <x v="0"/>
    <x v="2"/>
    <x v="1"/>
    <x v="0"/>
    <n v="163272"/>
    <n v="5551"/>
    <n v="12378.73"/>
    <n v="135"/>
    <n v="38753.89"/>
    <n v="3.3998481062276445E-2"/>
    <n v="2.23"/>
    <n v="91.694296296296287"/>
    <n v="3.1306838423650891"/>
  </r>
  <r>
    <x v="231"/>
    <x v="0"/>
    <x v="1"/>
    <x v="1"/>
    <x v="6"/>
    <n v="149233"/>
    <n v="3686"/>
    <n v="3686"/>
    <n v="250"/>
    <n v="16524.46"/>
    <n v="2.4699630778715162E-2"/>
    <n v="1"/>
    <n v="14.744"/>
    <n v="4.4830330982094413"/>
  </r>
  <r>
    <x v="29"/>
    <x v="1"/>
    <x v="0"/>
    <x v="3"/>
    <x v="0"/>
    <n v="7637"/>
    <n v="415"/>
    <n v="639.1"/>
    <n v="10"/>
    <n v="1137.83"/>
    <n v="5.4340709702762863E-2"/>
    <n v="1.54"/>
    <n v="63.910000000000004"/>
    <n v="1.7803630104834922"/>
  </r>
  <r>
    <x v="144"/>
    <x v="0"/>
    <x v="3"/>
    <x v="0"/>
    <x v="1"/>
    <n v="20198"/>
    <n v="878"/>
    <n v="2353.04"/>
    <n v="67"/>
    <n v="5967.58"/>
    <n v="4.3469650460441628E-2"/>
    <n v="2.68"/>
    <n v="35.119999999999997"/>
    <n v="2.536114983170707"/>
  </r>
  <r>
    <x v="11"/>
    <x v="0"/>
    <x v="0"/>
    <x v="1"/>
    <x v="0"/>
    <n v="32675"/>
    <n v="941"/>
    <n v="1025.69"/>
    <n v="47"/>
    <n v="12632.32"/>
    <n v="2.8798775822494262E-2"/>
    <n v="1.0900000000000001"/>
    <n v="21.823191489361704"/>
    <n v="12.315923914633075"/>
  </r>
  <r>
    <x v="66"/>
    <x v="0"/>
    <x v="0"/>
    <x v="1"/>
    <x v="2"/>
    <n v="116560"/>
    <n v="4312"/>
    <n v="12030.48"/>
    <n v="198"/>
    <n v="51746.42"/>
    <n v="3.6993822923816061E-2"/>
    <n v="2.79"/>
    <n v="60.76"/>
    <n v="4.3012764245483144"/>
  </r>
  <r>
    <x v="232"/>
    <x v="2"/>
    <x v="3"/>
    <x v="4"/>
    <x v="6"/>
    <n v="176459"/>
    <n v="3670"/>
    <n v="7009.7"/>
    <n v="65"/>
    <n v="2483.8000000000002"/>
    <n v="2.0798032404127871E-2"/>
    <n v="1.91"/>
    <n v="107.84153846153846"/>
    <n v="0.35433756080859385"/>
  </r>
  <r>
    <x v="212"/>
    <x v="2"/>
    <x v="2"/>
    <x v="3"/>
    <x v="6"/>
    <n v="49980"/>
    <n v="1664"/>
    <n v="3294.72"/>
    <n v="37"/>
    <n v="6236.77"/>
    <n v="3.329331732693077E-2"/>
    <n v="1.98"/>
    <n v="89.046486486486486"/>
    <n v="1.8929590374902878"/>
  </r>
  <r>
    <x v="79"/>
    <x v="2"/>
    <x v="1"/>
    <x v="2"/>
    <x v="3"/>
    <n v="98944"/>
    <n v="1850"/>
    <n v="2627"/>
    <n v="78"/>
    <n v="17285.68"/>
    <n v="1.8697445019404915E-2"/>
    <n v="1.42"/>
    <n v="33.679487179487182"/>
    <n v="6.5800076132470497"/>
  </r>
  <r>
    <x v="227"/>
    <x v="1"/>
    <x v="1"/>
    <x v="2"/>
    <x v="2"/>
    <n v="115310"/>
    <n v="3205"/>
    <n v="3333.2"/>
    <n v="134"/>
    <n v="14521.43"/>
    <n v="2.7794640534212125E-2"/>
    <n v="1.04"/>
    <n v="24.87462686567164"/>
    <n v="4.3566032641305652"/>
  </r>
  <r>
    <x v="233"/>
    <x v="2"/>
    <x v="0"/>
    <x v="4"/>
    <x v="5"/>
    <n v="8626"/>
    <n v="242"/>
    <n v="273.45999999999998"/>
    <n v="18"/>
    <n v="3013.54"/>
    <n v="2.8054718293531185E-2"/>
    <n v="1.1299999999999999"/>
    <n v="15.19222222222222"/>
    <n v="11.020039493893075"/>
  </r>
  <r>
    <x v="33"/>
    <x v="2"/>
    <x v="3"/>
    <x v="4"/>
    <x v="3"/>
    <n v="88732"/>
    <n v="1579"/>
    <n v="694.76"/>
    <n v="32"/>
    <n v="4757.82"/>
    <n v="1.7795158454672496E-2"/>
    <n v="0.44"/>
    <n v="21.71125"/>
    <n v="6.848149001093903"/>
  </r>
  <r>
    <x v="234"/>
    <x v="2"/>
    <x v="1"/>
    <x v="1"/>
    <x v="3"/>
    <n v="29502"/>
    <n v="604"/>
    <n v="972.44"/>
    <n v="30"/>
    <n v="5842.59"/>
    <n v="2.0473188258423158E-2"/>
    <n v="1.61"/>
    <n v="32.414666666666669"/>
    <n v="6.0081753115873475"/>
  </r>
  <r>
    <x v="163"/>
    <x v="1"/>
    <x v="0"/>
    <x v="4"/>
    <x v="4"/>
    <n v="198085"/>
    <n v="14460"/>
    <n v="11857.2"/>
    <n v="1133"/>
    <n v="295028.26"/>
    <n v="7.299896509074387E-2"/>
    <n v="0.82000000000000006"/>
    <n v="10.46531332744925"/>
    <n v="24.88178153358297"/>
  </r>
  <r>
    <x v="72"/>
    <x v="2"/>
    <x v="2"/>
    <x v="2"/>
    <x v="2"/>
    <n v="111802"/>
    <n v="2247"/>
    <n v="3707.55"/>
    <n v="163"/>
    <n v="6163.84"/>
    <n v="2.0098030446682527E-2"/>
    <n v="1.6500000000000001"/>
    <n v="22.745705521472395"/>
    <n v="1.6625102830710308"/>
  </r>
  <r>
    <x v="174"/>
    <x v="0"/>
    <x v="2"/>
    <x v="1"/>
    <x v="0"/>
    <n v="65186"/>
    <n v="1955"/>
    <n v="4418.3"/>
    <n v="89"/>
    <n v="13375.79"/>
    <n v="2.9991102383947473E-2"/>
    <n v="2.2600000000000002"/>
    <n v="49.6438202247191"/>
    <n v="3.0273612022723673"/>
  </r>
  <r>
    <x v="2"/>
    <x v="1"/>
    <x v="1"/>
    <x v="1"/>
    <x v="1"/>
    <n v="101176"/>
    <n v="6505"/>
    <n v="6244.8"/>
    <n v="459"/>
    <n v="44008.34"/>
    <n v="6.4293903692575316E-2"/>
    <n v="0.96000000000000008"/>
    <n v="13.605228758169934"/>
    <n v="7.047197668460158"/>
  </r>
  <r>
    <x v="235"/>
    <x v="1"/>
    <x v="1"/>
    <x v="3"/>
    <x v="0"/>
    <n v="41307"/>
    <n v="1367"/>
    <n v="779.19"/>
    <n v="92"/>
    <n v="6211.99"/>
    <n v="3.3093664512068174E-2"/>
    <n v="0.57000000000000006"/>
    <n v="8.4694565217391311"/>
    <n v="7.9723687418986371"/>
  </r>
  <r>
    <x v="236"/>
    <x v="2"/>
    <x v="1"/>
    <x v="1"/>
    <x v="1"/>
    <n v="174579"/>
    <n v="3247"/>
    <n v="4318.51"/>
    <n v="187"/>
    <n v="41760.07"/>
    <n v="1.85990296656528E-2"/>
    <n v="1.33"/>
    <n v="23.093636363636364"/>
    <n v="9.6700181312536024"/>
  </r>
  <r>
    <x v="71"/>
    <x v="2"/>
    <x v="1"/>
    <x v="3"/>
    <x v="5"/>
    <n v="83137"/>
    <n v="2045"/>
    <n v="2065.4499999999998"/>
    <n v="37"/>
    <n v="1798.59"/>
    <n v="2.4597952776742003E-2"/>
    <n v="1.01"/>
    <n v="55.82297297297297"/>
    <n v="0.87079813115785909"/>
  </r>
  <r>
    <x v="144"/>
    <x v="2"/>
    <x v="0"/>
    <x v="2"/>
    <x v="1"/>
    <n v="122897"/>
    <n v="2040"/>
    <n v="1570.8"/>
    <n v="159"/>
    <n v="45753.83"/>
    <n v="1.6599266052059854E-2"/>
    <n v="0.77"/>
    <n v="9.879245283018868"/>
    <n v="29.12772472625414"/>
  </r>
  <r>
    <x v="165"/>
    <x v="1"/>
    <x v="0"/>
    <x v="2"/>
    <x v="5"/>
    <n v="47462"/>
    <n v="1803"/>
    <n v="955.59"/>
    <n v="98"/>
    <n v="29213.279999999999"/>
    <n v="3.7988285365134211E-2"/>
    <n v="0.53"/>
    <n v="9.7509183673469391"/>
    <n v="30.570935233729944"/>
  </r>
  <r>
    <x v="237"/>
    <x v="1"/>
    <x v="3"/>
    <x v="1"/>
    <x v="3"/>
    <n v="99202"/>
    <n v="6428"/>
    <n v="9899.1200000000008"/>
    <n v="165"/>
    <n v="34456.26"/>
    <n v="6.4797080704018059E-2"/>
    <n v="1.54"/>
    <n v="59.994666666666674"/>
    <n v="3.4807397021149353"/>
  </r>
  <r>
    <x v="238"/>
    <x v="2"/>
    <x v="2"/>
    <x v="3"/>
    <x v="2"/>
    <n v="125871"/>
    <n v="3083"/>
    <n v="5302.76"/>
    <n v="185"/>
    <n v="27759.15"/>
    <n v="2.4493330473262308E-2"/>
    <n v="1.72"/>
    <n v="28.663567567567569"/>
    <n v="5.2348493991808036"/>
  </r>
  <r>
    <x v="194"/>
    <x v="0"/>
    <x v="0"/>
    <x v="2"/>
    <x v="1"/>
    <n v="8880"/>
    <n v="216"/>
    <n v="444.96"/>
    <n v="6"/>
    <n v="1186.19"/>
    <n v="2.4324324324324326E-2"/>
    <n v="2.06"/>
    <n v="74.16"/>
    <n v="2.6658351312477531"/>
  </r>
  <r>
    <x v="188"/>
    <x v="0"/>
    <x v="2"/>
    <x v="1"/>
    <x v="2"/>
    <n v="156388"/>
    <n v="7021"/>
    <n v="11514.44"/>
    <n v="315"/>
    <n v="34670.519999999997"/>
    <n v="4.489474895772054E-2"/>
    <n v="1.6400000000000001"/>
    <n v="36.553777777777782"/>
    <n v="3.0110469983776889"/>
  </r>
  <r>
    <x v="104"/>
    <x v="0"/>
    <x v="1"/>
    <x v="1"/>
    <x v="1"/>
    <n v="109672"/>
    <n v="2675"/>
    <n v="6821.25"/>
    <n v="50"/>
    <n v="11521.03"/>
    <n v="2.4390911080312203E-2"/>
    <n v="2.5499999999999998"/>
    <n v="136.42500000000001"/>
    <n v="1.6889910207073484"/>
  </r>
  <r>
    <x v="239"/>
    <x v="2"/>
    <x v="3"/>
    <x v="3"/>
    <x v="0"/>
    <n v="70030"/>
    <n v="1470"/>
    <n v="2469.6"/>
    <n v="90"/>
    <n v="9384.9"/>
    <n v="2.0991003855490502E-2"/>
    <n v="1.68"/>
    <n v="27.439999999999998"/>
    <n v="3.800170068027211"/>
  </r>
  <r>
    <x v="240"/>
    <x v="2"/>
    <x v="1"/>
    <x v="1"/>
    <x v="5"/>
    <n v="149375"/>
    <n v="6109"/>
    <n v="13317.62"/>
    <n v="89"/>
    <n v="22418.799999999999"/>
    <n v="4.0897071129707113E-2"/>
    <n v="2.1800000000000002"/>
    <n v="149.63617977528091"/>
    <n v="1.6833938796872112"/>
  </r>
  <r>
    <x v="63"/>
    <x v="2"/>
    <x v="0"/>
    <x v="0"/>
    <x v="4"/>
    <n v="123171"/>
    <n v="3756"/>
    <n v="6986.16"/>
    <n v="52"/>
    <n v="7553.6"/>
    <n v="3.0494191002752271E-2"/>
    <n v="1.8599999999999999"/>
    <n v="134.34923076923076"/>
    <n v="1.0812234475019182"/>
  </r>
  <r>
    <x v="241"/>
    <x v="2"/>
    <x v="0"/>
    <x v="3"/>
    <x v="1"/>
    <n v="52779"/>
    <n v="596"/>
    <n v="649.64"/>
    <n v="35"/>
    <n v="3583.95"/>
    <n v="1.1292370071429924E-2"/>
    <n v="1.0900000000000001"/>
    <n v="18.561142857142858"/>
    <n v="5.5168247029123823"/>
  </r>
  <r>
    <x v="26"/>
    <x v="0"/>
    <x v="3"/>
    <x v="0"/>
    <x v="2"/>
    <n v="117036"/>
    <n v="3569"/>
    <n v="7601.97"/>
    <n v="178"/>
    <n v="11935.14"/>
    <n v="3.0494890461054719E-2"/>
    <n v="2.13"/>
    <n v="42.707696629213487"/>
    <n v="1.5700061957624141"/>
  </r>
  <r>
    <x v="242"/>
    <x v="1"/>
    <x v="2"/>
    <x v="4"/>
    <x v="0"/>
    <n v="177517"/>
    <n v="13917"/>
    <n v="12664.47"/>
    <n v="671"/>
    <n v="36680.47"/>
    <n v="7.8398125249976053E-2"/>
    <n v="0.90999999999999992"/>
    <n v="18.87402384500745"/>
    <n v="2.8963288633476174"/>
  </r>
  <r>
    <x v="19"/>
    <x v="1"/>
    <x v="0"/>
    <x v="1"/>
    <x v="3"/>
    <n v="196349"/>
    <n v="8325"/>
    <n v="5744.25"/>
    <n v="398"/>
    <n v="42464.91"/>
    <n v="4.2398993628691768E-2"/>
    <n v="0.69"/>
    <n v="14.432788944723619"/>
    <n v="7.392594333463899"/>
  </r>
  <r>
    <x v="243"/>
    <x v="1"/>
    <x v="0"/>
    <x v="3"/>
    <x v="0"/>
    <n v="174898"/>
    <n v="13029"/>
    <n v="16416.54"/>
    <n v="822"/>
    <n v="162206.84"/>
    <n v="7.4494848425939689E-2"/>
    <n v="1.26"/>
    <n v="19.971459854014601"/>
    <n v="9.8806959322731824"/>
  </r>
  <r>
    <x v="52"/>
    <x v="0"/>
    <x v="3"/>
    <x v="1"/>
    <x v="2"/>
    <n v="83972"/>
    <n v="4903"/>
    <n v="14218.7"/>
    <n v="341"/>
    <n v="36574.449999999997"/>
    <n v="5.8388510455866238E-2"/>
    <n v="2.9000000000000004"/>
    <n v="41.697067448680357"/>
    <n v="2.5722780563623955"/>
  </r>
  <r>
    <x v="244"/>
    <x v="2"/>
    <x v="0"/>
    <x v="0"/>
    <x v="2"/>
    <n v="165371"/>
    <n v="2993"/>
    <n v="4519.43"/>
    <n v="32"/>
    <n v="8918.68"/>
    <n v="1.8098699288266986E-2"/>
    <n v="1.51"/>
    <n v="141.23218750000001"/>
    <n v="1.9734081510278951"/>
  </r>
  <r>
    <x v="245"/>
    <x v="1"/>
    <x v="2"/>
    <x v="0"/>
    <x v="2"/>
    <n v="133949"/>
    <n v="7219"/>
    <n v="10972.88"/>
    <n v="73"/>
    <n v="21583.279999999999"/>
    <n v="5.3893646089183199E-2"/>
    <n v="1.5199999999999998"/>
    <n v="150.31342465753423"/>
    <n v="1.9669658284789409"/>
  </r>
  <r>
    <x v="118"/>
    <x v="1"/>
    <x v="3"/>
    <x v="0"/>
    <x v="6"/>
    <n v="105400"/>
    <n v="7704"/>
    <n v="8551.44"/>
    <n v="442"/>
    <n v="49251.38"/>
    <n v="7.3092979127134722E-2"/>
    <n v="1.1100000000000001"/>
    <n v="19.347149321266969"/>
    <n v="5.7594253131636304"/>
  </r>
  <r>
    <x v="246"/>
    <x v="0"/>
    <x v="2"/>
    <x v="1"/>
    <x v="2"/>
    <n v="63959"/>
    <n v="2014"/>
    <n v="4591.92"/>
    <n v="150"/>
    <n v="37769.589999999997"/>
    <n v="3.1488922591034883E-2"/>
    <n v="2.2800000000000002"/>
    <n v="30.6128"/>
    <n v="8.2252282269725949"/>
  </r>
  <r>
    <x v="36"/>
    <x v="0"/>
    <x v="0"/>
    <x v="3"/>
    <x v="5"/>
    <n v="6044"/>
    <n v="146"/>
    <n v="164.98"/>
    <n v="5"/>
    <n v="611.36"/>
    <n v="2.4156187954996692E-2"/>
    <n v="1.1299999999999999"/>
    <n v="32.995999999999995"/>
    <n v="3.7056612922778522"/>
  </r>
  <r>
    <x v="67"/>
    <x v="0"/>
    <x v="2"/>
    <x v="0"/>
    <x v="2"/>
    <n v="90945"/>
    <n v="3637"/>
    <n v="10983.74"/>
    <n v="145"/>
    <n v="21488.5"/>
    <n v="3.9991203474627521E-2"/>
    <n v="3.02"/>
    <n v="75.749931034482756"/>
    <n v="1.9563919029401644"/>
  </r>
  <r>
    <x v="225"/>
    <x v="0"/>
    <x v="0"/>
    <x v="3"/>
    <x v="1"/>
    <n v="73681"/>
    <n v="4457"/>
    <n v="7888.89"/>
    <n v="95"/>
    <n v="11815.26"/>
    <n v="6.0490492800043427E-2"/>
    <n v="1.77"/>
    <n v="83.040947368421058"/>
    <n v="1.4977088031396051"/>
  </r>
  <r>
    <x v="20"/>
    <x v="0"/>
    <x v="3"/>
    <x v="2"/>
    <x v="6"/>
    <n v="195545"/>
    <n v="8799"/>
    <n v="26221.02"/>
    <n v="444"/>
    <n v="122723.09"/>
    <n v="4.4997315195990692E-2"/>
    <n v="2.98"/>
    <n v="59.056351351351353"/>
    <n v="4.6803324203253727"/>
  </r>
  <r>
    <x v="72"/>
    <x v="0"/>
    <x v="2"/>
    <x v="4"/>
    <x v="2"/>
    <n v="46846"/>
    <n v="2183"/>
    <n v="7334.88"/>
    <n v="46"/>
    <n v="5098.84"/>
    <n v="4.659949622166247E-2"/>
    <n v="3.36"/>
    <n v="159.45391304347825"/>
    <n v="0.69514975023449599"/>
  </r>
  <r>
    <x v="247"/>
    <x v="0"/>
    <x v="2"/>
    <x v="2"/>
    <x v="4"/>
    <n v="183428"/>
    <n v="4549"/>
    <n v="9598.39"/>
    <n v="135"/>
    <n v="6604"/>
    <n v="2.479992149508254E-2"/>
    <n v="2.11"/>
    <n v="71.099185185185178"/>
    <n v="0.68803205537595369"/>
  </r>
  <r>
    <x v="97"/>
    <x v="0"/>
    <x v="2"/>
    <x v="1"/>
    <x v="6"/>
    <n v="173913"/>
    <n v="5860"/>
    <n v="20275.599999999999"/>
    <n v="111"/>
    <n v="20779.66"/>
    <n v="3.3695008423752108E-2"/>
    <n v="3.46"/>
    <n v="182.66306306306305"/>
    <n v="1.0248604233660163"/>
  </r>
  <r>
    <x v="131"/>
    <x v="0"/>
    <x v="1"/>
    <x v="3"/>
    <x v="2"/>
    <n v="190541"/>
    <n v="9527"/>
    <n v="20673.59"/>
    <n v="157"/>
    <n v="5416.71"/>
    <n v="4.9999737589285248E-2"/>
    <n v="2.17"/>
    <n v="131.67891719745222"/>
    <n v="0.26201109725016314"/>
  </r>
  <r>
    <x v="11"/>
    <x v="1"/>
    <x v="1"/>
    <x v="3"/>
    <x v="4"/>
    <n v="122116"/>
    <n v="5507"/>
    <n v="5396.86"/>
    <n v="110"/>
    <n v="3555.98"/>
    <n v="4.5096465655606148E-2"/>
    <n v="0.98"/>
    <n v="49.062363636363635"/>
    <n v="0.65889795177195631"/>
  </r>
  <r>
    <x v="248"/>
    <x v="0"/>
    <x v="3"/>
    <x v="0"/>
    <x v="5"/>
    <n v="47879"/>
    <n v="1149"/>
    <n v="3515.94"/>
    <n v="25"/>
    <n v="3124.11"/>
    <n v="2.3997994945592013E-2"/>
    <n v="3.06"/>
    <n v="140.63759999999999"/>
    <n v="0.88855611870509743"/>
  </r>
  <r>
    <x v="60"/>
    <x v="2"/>
    <x v="0"/>
    <x v="2"/>
    <x v="2"/>
    <n v="164876"/>
    <n v="5820"/>
    <n v="4306.8"/>
    <n v="463"/>
    <n v="73917.740000000005"/>
    <n v="3.5299255197845651E-2"/>
    <n v="0.74"/>
    <n v="9.3019438444924418"/>
    <n v="17.163030556329527"/>
  </r>
  <r>
    <x v="59"/>
    <x v="2"/>
    <x v="3"/>
    <x v="3"/>
    <x v="2"/>
    <n v="163253"/>
    <n v="1779"/>
    <n v="907.29"/>
    <n v="121"/>
    <n v="18762.73"/>
    <n v="1.0897196376176855E-2"/>
    <n v="0.51"/>
    <n v="7.4982644628099173"/>
    <n v="20.679970020610831"/>
  </r>
  <r>
    <x v="149"/>
    <x v="2"/>
    <x v="2"/>
    <x v="0"/>
    <x v="5"/>
    <n v="120631"/>
    <n v="1532"/>
    <n v="1179.6400000000001"/>
    <n v="114"/>
    <n v="25286.78"/>
    <n v="1.2699886430519518E-2"/>
    <n v="0.77"/>
    <n v="10.347719298245615"/>
    <n v="21.436014377267639"/>
  </r>
  <r>
    <x v="57"/>
    <x v="2"/>
    <x v="3"/>
    <x v="0"/>
    <x v="6"/>
    <n v="12610"/>
    <n v="197"/>
    <n v="130.02000000000001"/>
    <n v="11"/>
    <n v="2637.16"/>
    <n v="1.5622521808088818E-2"/>
    <n v="0.66"/>
    <n v="11.82"/>
    <n v="20.282725734502382"/>
  </r>
  <r>
    <x v="31"/>
    <x v="2"/>
    <x v="1"/>
    <x v="2"/>
    <x v="1"/>
    <n v="62676"/>
    <n v="595"/>
    <n v="1439.9"/>
    <n v="32"/>
    <n v="1319.08"/>
    <n v="9.4932669602399641E-3"/>
    <n v="2.4200000000000004"/>
    <n v="44.996875000000003"/>
    <n v="0.9160913952357802"/>
  </r>
  <r>
    <x v="87"/>
    <x v="0"/>
    <x v="0"/>
    <x v="0"/>
    <x v="1"/>
    <n v="59943"/>
    <n v="2163"/>
    <n v="7116.27"/>
    <n v="114"/>
    <n v="4800.8100000000004"/>
    <n v="3.6084280066062763E-2"/>
    <n v="3.29"/>
    <n v="62.423421052631582"/>
    <n v="0.67462448726650337"/>
  </r>
  <r>
    <x v="186"/>
    <x v="2"/>
    <x v="3"/>
    <x v="3"/>
    <x v="2"/>
    <n v="78302"/>
    <n v="900"/>
    <n v="441"/>
    <n v="52"/>
    <n v="6354.23"/>
    <n v="1.1493959285841996E-2"/>
    <n v="0.49"/>
    <n v="8.4807692307692299"/>
    <n v="14.408684807256234"/>
  </r>
  <r>
    <x v="156"/>
    <x v="0"/>
    <x v="1"/>
    <x v="1"/>
    <x v="1"/>
    <n v="154805"/>
    <n v="9535"/>
    <n v="9153.6"/>
    <n v="525"/>
    <n v="18155.37"/>
    <n v="6.1593617777203576E-2"/>
    <n v="0.96000000000000008"/>
    <n v="17.435428571428574"/>
    <n v="1.9834130833770318"/>
  </r>
  <r>
    <x v="97"/>
    <x v="1"/>
    <x v="1"/>
    <x v="0"/>
    <x v="6"/>
    <n v="41839"/>
    <n v="2991"/>
    <n v="2961.09"/>
    <n v="45"/>
    <n v="9665.89"/>
    <n v="7.1488324290733526E-2"/>
    <n v="0.9900000000000001"/>
    <n v="65.802000000000007"/>
    <n v="3.2643013214728356"/>
  </r>
  <r>
    <x v="152"/>
    <x v="2"/>
    <x v="2"/>
    <x v="3"/>
    <x v="5"/>
    <n v="127872"/>
    <n v="2953"/>
    <n v="1742.27"/>
    <n v="150"/>
    <n v="15282.38"/>
    <n v="2.3093405905905907E-2"/>
    <n v="0.59"/>
    <n v="11.615133333333333"/>
    <n v="8.7715336888082778"/>
  </r>
  <r>
    <x v="231"/>
    <x v="0"/>
    <x v="3"/>
    <x v="0"/>
    <x v="3"/>
    <n v="146779"/>
    <n v="5019"/>
    <n v="11142.18"/>
    <n v="349"/>
    <n v="91145.36"/>
    <n v="3.4194264847151157E-2"/>
    <n v="2.2200000000000002"/>
    <n v="31.926017191977078"/>
    <n v="8.180208899874172"/>
  </r>
  <r>
    <x v="249"/>
    <x v="0"/>
    <x v="2"/>
    <x v="1"/>
    <x v="2"/>
    <n v="133588"/>
    <n v="6545"/>
    <n v="10995.6"/>
    <n v="241"/>
    <n v="34421.71"/>
    <n v="4.8993921609725426E-2"/>
    <n v="1.6800000000000002"/>
    <n v="45.624896265560167"/>
    <n v="3.1304985630615882"/>
  </r>
  <r>
    <x v="207"/>
    <x v="0"/>
    <x v="1"/>
    <x v="0"/>
    <x v="1"/>
    <n v="82462"/>
    <n v="3916"/>
    <n v="8223.6"/>
    <n v="199"/>
    <n v="48785.37"/>
    <n v="4.7488540176081104E-2"/>
    <n v="2.1"/>
    <n v="41.324623115577893"/>
    <n v="5.932361739384211"/>
  </r>
  <r>
    <x v="221"/>
    <x v="0"/>
    <x v="3"/>
    <x v="4"/>
    <x v="6"/>
    <n v="55248"/>
    <n v="1646"/>
    <n v="4279.6000000000004"/>
    <n v="43"/>
    <n v="12311.15"/>
    <n v="2.9792933680857225E-2"/>
    <n v="2.6"/>
    <n v="99.525581395348851"/>
    <n v="2.8767057668941018"/>
  </r>
  <r>
    <x v="250"/>
    <x v="0"/>
    <x v="3"/>
    <x v="2"/>
    <x v="0"/>
    <n v="90374"/>
    <n v="2349"/>
    <n v="2278.5300000000002"/>
    <n v="69"/>
    <n v="5506.03"/>
    <n v="2.5991988846349613E-2"/>
    <n v="0.97000000000000008"/>
    <n v="33.022173913043481"/>
    <n v="2.416483434495047"/>
  </r>
  <r>
    <x v="36"/>
    <x v="2"/>
    <x v="1"/>
    <x v="1"/>
    <x v="2"/>
    <n v="104976"/>
    <n v="1238"/>
    <n v="1881.76"/>
    <n v="16"/>
    <n v="4162.9799999999996"/>
    <n v="1.179317177259564E-2"/>
    <n v="1.52"/>
    <n v="117.61"/>
    <n v="2.212279993197857"/>
  </r>
  <r>
    <x v="251"/>
    <x v="0"/>
    <x v="3"/>
    <x v="3"/>
    <x v="6"/>
    <n v="124774"/>
    <n v="3481"/>
    <n v="4212.01"/>
    <n v="113"/>
    <n v="4447.1899999999996"/>
    <n v="2.7898440380207414E-2"/>
    <n v="1.21"/>
    <n v="37.274424778761066"/>
    <n v="1.0558355749392807"/>
  </r>
  <r>
    <x v="6"/>
    <x v="0"/>
    <x v="0"/>
    <x v="3"/>
    <x v="2"/>
    <n v="109263"/>
    <n v="2829"/>
    <n v="2489.52"/>
    <n v="129"/>
    <n v="14321.34"/>
    <n v="2.5891655912797563E-2"/>
    <n v="0.88"/>
    <n v="19.29860465116279"/>
    <n v="5.7526511134676568"/>
  </r>
  <r>
    <x v="55"/>
    <x v="0"/>
    <x v="1"/>
    <x v="0"/>
    <x v="0"/>
    <n v="105814"/>
    <n v="6126"/>
    <n v="17091.54"/>
    <n v="289"/>
    <n v="45447.24"/>
    <n v="5.7894040486136049E-2"/>
    <n v="2.79"/>
    <n v="59.140276816609003"/>
    <n v="2.6590488627707041"/>
  </r>
  <r>
    <x v="41"/>
    <x v="1"/>
    <x v="2"/>
    <x v="2"/>
    <x v="4"/>
    <n v="41113"/>
    <n v="2347"/>
    <n v="2253.12"/>
    <n v="33"/>
    <n v="2659.26"/>
    <n v="5.7086566292900057E-2"/>
    <n v="0.96"/>
    <n v="68.276363636363627"/>
    <n v="1.1802567106945039"/>
  </r>
  <r>
    <x v="252"/>
    <x v="0"/>
    <x v="0"/>
    <x v="3"/>
    <x v="4"/>
    <n v="43098"/>
    <n v="1620"/>
    <n v="4422.6000000000004"/>
    <n v="39"/>
    <n v="7135.44"/>
    <n v="3.7588751218153978E-2"/>
    <n v="2.7300000000000004"/>
    <n v="113.4"/>
    <n v="1.6134038800705466"/>
  </r>
  <r>
    <x v="137"/>
    <x v="2"/>
    <x v="3"/>
    <x v="4"/>
    <x v="4"/>
    <n v="25991"/>
    <n v="309"/>
    <n v="469.68"/>
    <n v="14"/>
    <n v="2306.63"/>
    <n v="1.1888730714478088E-2"/>
    <n v="1.52"/>
    <n v="33.548571428571428"/>
    <n v="4.911067109521376"/>
  </r>
  <r>
    <x v="253"/>
    <x v="0"/>
    <x v="3"/>
    <x v="1"/>
    <x v="5"/>
    <n v="150778"/>
    <n v="2985"/>
    <n v="4149.1499999999996"/>
    <n v="59"/>
    <n v="16435.61"/>
    <n v="1.9797317911101089E-2"/>
    <n v="1.39"/>
    <n v="70.32457627118643"/>
    <n v="3.9611992817806061"/>
  </r>
  <r>
    <x v="242"/>
    <x v="0"/>
    <x v="1"/>
    <x v="1"/>
    <x v="3"/>
    <n v="113500"/>
    <n v="7604"/>
    <n v="9885.2000000000007"/>
    <n v="340"/>
    <n v="21520.639999999999"/>
    <n v="6.699559471365639E-2"/>
    <n v="1.3"/>
    <n v="29.074117647058827"/>
    <n v="2.1770566098814386"/>
  </r>
  <r>
    <x v="243"/>
    <x v="2"/>
    <x v="1"/>
    <x v="1"/>
    <x v="0"/>
    <n v="140453"/>
    <n v="4213"/>
    <n v="4592.17"/>
    <n v="56"/>
    <n v="4347.7700000000004"/>
    <n v="2.9995799306529587E-2"/>
    <n v="1.0900000000000001"/>
    <n v="82.003035714285716"/>
    <n v="0.9467789737749257"/>
  </r>
  <r>
    <x v="254"/>
    <x v="1"/>
    <x v="3"/>
    <x v="3"/>
    <x v="3"/>
    <n v="27936"/>
    <n v="1402"/>
    <n v="1850.64"/>
    <n v="99"/>
    <n v="26865.9"/>
    <n v="5.018613974799542E-2"/>
    <n v="1.32"/>
    <n v="18.693333333333335"/>
    <n v="14.51708598106601"/>
  </r>
  <r>
    <x v="29"/>
    <x v="1"/>
    <x v="3"/>
    <x v="3"/>
    <x v="1"/>
    <n v="133303"/>
    <n v="4225"/>
    <n v="6464.25"/>
    <n v="139"/>
    <n v="8508.68"/>
    <n v="3.1694710546649366E-2"/>
    <n v="1.53"/>
    <n v="46.505395683453237"/>
    <n v="1.3162671616970261"/>
  </r>
  <r>
    <x v="255"/>
    <x v="0"/>
    <x v="1"/>
    <x v="1"/>
    <x v="0"/>
    <n v="117333"/>
    <n v="2898"/>
    <n v="11389.14"/>
    <n v="48"/>
    <n v="5367.73"/>
    <n v="2.4698933803789215E-2"/>
    <n v="3.9299999999999997"/>
    <n v="237.27374999999998"/>
    <n v="0.47130248640371442"/>
  </r>
  <r>
    <x v="163"/>
    <x v="2"/>
    <x v="3"/>
    <x v="3"/>
    <x v="2"/>
    <n v="152680"/>
    <n v="6214"/>
    <n v="13049.4"/>
    <n v="283"/>
    <n v="13261.37"/>
    <n v="4.069950222687975E-2"/>
    <n v="2.1"/>
    <n v="46.11095406360424"/>
    <n v="1.0162436587122781"/>
  </r>
  <r>
    <x v="256"/>
    <x v="0"/>
    <x v="3"/>
    <x v="2"/>
    <x v="2"/>
    <n v="168384"/>
    <n v="4681"/>
    <n v="12030.17"/>
    <n v="267"/>
    <n v="58628.480000000003"/>
    <n v="2.7799553401748386E-2"/>
    <n v="2.57"/>
    <n v="45.056816479400752"/>
    <n v="4.8734539910907326"/>
  </r>
  <r>
    <x v="257"/>
    <x v="0"/>
    <x v="3"/>
    <x v="0"/>
    <x v="6"/>
    <n v="106026"/>
    <n v="5152"/>
    <n v="8861.44"/>
    <n v="240"/>
    <n v="50663.13"/>
    <n v="4.859185482806104E-2"/>
    <n v="1.7200000000000002"/>
    <n v="36.922666666666672"/>
    <n v="5.7172570146612731"/>
  </r>
  <r>
    <x v="10"/>
    <x v="0"/>
    <x v="0"/>
    <x v="4"/>
    <x v="3"/>
    <n v="107364"/>
    <n v="4895"/>
    <n v="12971.75"/>
    <n v="200"/>
    <n v="42108.23"/>
    <n v="4.5592563615364554E-2"/>
    <n v="2.65"/>
    <n v="64.858750000000001"/>
    <n v="3.2461487463141059"/>
  </r>
  <r>
    <x v="166"/>
    <x v="0"/>
    <x v="1"/>
    <x v="1"/>
    <x v="1"/>
    <n v="132152"/>
    <n v="7572"/>
    <n v="8632.08"/>
    <n v="552"/>
    <n v="115644.47"/>
    <n v="5.7297657243174524E-2"/>
    <n v="1.1399999999999999"/>
    <n v="15.637826086956522"/>
    <n v="13.397057256188543"/>
  </r>
  <r>
    <x v="72"/>
    <x v="0"/>
    <x v="2"/>
    <x v="0"/>
    <x v="6"/>
    <n v="116695"/>
    <n v="5799"/>
    <n v="18150.87"/>
    <n v="372"/>
    <n v="56034.95"/>
    <n v="4.9693645828870134E-2"/>
    <n v="3.13"/>
    <n v="48.792661290322577"/>
    <n v="3.087177088481158"/>
  </r>
  <r>
    <x v="258"/>
    <x v="2"/>
    <x v="0"/>
    <x v="4"/>
    <x v="1"/>
    <n v="116030"/>
    <n v="4177"/>
    <n v="3759.3"/>
    <n v="188"/>
    <n v="8691.11"/>
    <n v="3.5999310523140565E-2"/>
    <n v="0.9"/>
    <n v="19.996276595744682"/>
    <n v="2.3118958316707898"/>
  </r>
  <r>
    <x v="193"/>
    <x v="1"/>
    <x v="0"/>
    <x v="4"/>
    <x v="6"/>
    <n v="164599"/>
    <n v="11209"/>
    <n v="4595.6899999999996"/>
    <n v="653"/>
    <n v="133415.01"/>
    <n v="6.8098834136294875E-2"/>
    <n v="0.41"/>
    <n v="7.037810107197549"/>
    <n v="29.030463325420126"/>
  </r>
  <r>
    <x v="141"/>
    <x v="1"/>
    <x v="1"/>
    <x v="0"/>
    <x v="5"/>
    <n v="188844"/>
    <n v="12860"/>
    <n v="12602.8"/>
    <n v="892"/>
    <n v="133607.64000000001"/>
    <n v="6.8098536358052145E-2"/>
    <n v="0.98"/>
    <n v="14.128699551569506"/>
    <n v="10.601425080140922"/>
  </r>
  <r>
    <x v="99"/>
    <x v="1"/>
    <x v="0"/>
    <x v="4"/>
    <x v="4"/>
    <n v="90468"/>
    <n v="5753"/>
    <n v="4602.3999999999996"/>
    <n v="141"/>
    <n v="12042.73"/>
    <n v="6.3591546182075437E-2"/>
    <n v="0.79999999999999993"/>
    <n v="32.641134751773045"/>
    <n v="2.6166195897792459"/>
  </r>
  <r>
    <x v="69"/>
    <x v="0"/>
    <x v="1"/>
    <x v="4"/>
    <x v="6"/>
    <n v="117223"/>
    <n v="7935"/>
    <n v="16028.7"/>
    <n v="166"/>
    <n v="47449.87"/>
    <n v="6.7691493990087268E-2"/>
    <n v="2.02"/>
    <n v="96.558433734939769"/>
    <n v="2.9603068246333142"/>
  </r>
  <r>
    <x v="62"/>
    <x v="1"/>
    <x v="2"/>
    <x v="3"/>
    <x v="3"/>
    <n v="93478"/>
    <n v="5786"/>
    <n v="2430.12"/>
    <n v="272"/>
    <n v="27905.19"/>
    <n v="6.1896916921628617E-2"/>
    <n v="0.42"/>
    <n v="8.9342647058823523"/>
    <n v="11.483050219742235"/>
  </r>
  <r>
    <x v="45"/>
    <x v="0"/>
    <x v="1"/>
    <x v="1"/>
    <x v="4"/>
    <n v="9134"/>
    <n v="228"/>
    <n v="316.92"/>
    <n v="2"/>
    <n v="329.55"/>
    <n v="2.4961681629078171E-2"/>
    <n v="1.3900000000000001"/>
    <n v="158.46"/>
    <n v="1.0398523286633852"/>
  </r>
  <r>
    <x v="259"/>
    <x v="2"/>
    <x v="3"/>
    <x v="4"/>
    <x v="0"/>
    <n v="29485"/>
    <n v="1341"/>
    <n v="1890.81"/>
    <n v="46"/>
    <n v="4626.55"/>
    <n v="4.5480752925216208E-2"/>
    <n v="1.41"/>
    <n v="41.104565217391304"/>
    <n v="2.446861398025185"/>
  </r>
  <r>
    <x v="162"/>
    <x v="1"/>
    <x v="1"/>
    <x v="3"/>
    <x v="4"/>
    <n v="22221"/>
    <n v="1706"/>
    <n v="853"/>
    <n v="74"/>
    <n v="14659.06"/>
    <n v="7.6774222582242022E-2"/>
    <n v="0.5"/>
    <n v="11.527027027027026"/>
    <n v="17.185298944900349"/>
  </r>
  <r>
    <x v="237"/>
    <x v="0"/>
    <x v="3"/>
    <x v="3"/>
    <x v="3"/>
    <n v="178567"/>
    <n v="8374"/>
    <n v="11137.42"/>
    <n v="98"/>
    <n v="8808.2900000000009"/>
    <n v="4.689556300996265E-2"/>
    <n v="1.33"/>
    <n v="113.64714285714285"/>
    <n v="0.79087346979821183"/>
  </r>
  <r>
    <x v="151"/>
    <x v="1"/>
    <x v="3"/>
    <x v="4"/>
    <x v="6"/>
    <n v="93074"/>
    <n v="4225"/>
    <n v="6506.5"/>
    <n v="300"/>
    <n v="11467.08"/>
    <n v="4.5393987579775232E-2"/>
    <n v="1.54"/>
    <n v="21.688333333333333"/>
    <n v="1.7624037500960579"/>
  </r>
  <r>
    <x v="112"/>
    <x v="0"/>
    <x v="0"/>
    <x v="2"/>
    <x v="6"/>
    <n v="155840"/>
    <n v="4566"/>
    <n v="5113.92"/>
    <n v="312"/>
    <n v="40138.5"/>
    <n v="2.9299281314168379E-2"/>
    <n v="1.1200000000000001"/>
    <n v="16.39076923076923"/>
    <n v="7.848871315937676"/>
  </r>
  <r>
    <x v="260"/>
    <x v="1"/>
    <x v="3"/>
    <x v="4"/>
    <x v="5"/>
    <n v="21956"/>
    <n v="1611"/>
    <n v="2271.5100000000002"/>
    <n v="79"/>
    <n v="9545.2800000000007"/>
    <n v="7.3374020768810347E-2"/>
    <n v="1.4100000000000001"/>
    <n v="28.75329113924051"/>
    <n v="4.2021738843324483"/>
  </r>
  <r>
    <x v="181"/>
    <x v="2"/>
    <x v="0"/>
    <x v="4"/>
    <x v="2"/>
    <n v="177224"/>
    <n v="2374"/>
    <n v="3727.18"/>
    <n v="142"/>
    <n v="18303.419999999998"/>
    <n v="1.3395476910576446E-2"/>
    <n v="1.5699999999999998"/>
    <n v="26.247746478873239"/>
    <n v="4.9107958295547842"/>
  </r>
  <r>
    <x v="231"/>
    <x v="0"/>
    <x v="0"/>
    <x v="1"/>
    <x v="0"/>
    <n v="93720"/>
    <n v="2661"/>
    <n v="4523.7"/>
    <n v="104"/>
    <n v="18904.07"/>
    <n v="2.8393085787451984E-2"/>
    <n v="1.7"/>
    <n v="43.497115384615384"/>
    <n v="4.1788955943143886"/>
  </r>
  <r>
    <x v="61"/>
    <x v="0"/>
    <x v="3"/>
    <x v="1"/>
    <x v="2"/>
    <n v="169909"/>
    <n v="7781"/>
    <n v="19452.5"/>
    <n v="124"/>
    <n v="26123.279999999999"/>
    <n v="4.5795102084056759E-2"/>
    <n v="2.5"/>
    <n v="156.875"/>
    <n v="1.3429266161161804"/>
  </r>
  <r>
    <x v="261"/>
    <x v="2"/>
    <x v="1"/>
    <x v="2"/>
    <x v="2"/>
    <n v="46548"/>
    <n v="1047"/>
    <n v="1622.85"/>
    <n v="28"/>
    <n v="7800.92"/>
    <n v="2.2492910543954626E-2"/>
    <n v="1.5499999999999998"/>
    <n v="57.958928571428565"/>
    <n v="4.8069260868225658"/>
  </r>
  <r>
    <x v="262"/>
    <x v="2"/>
    <x v="0"/>
    <x v="2"/>
    <x v="2"/>
    <n v="6875"/>
    <n v="158"/>
    <n v="289.14"/>
    <n v="2"/>
    <n v="386.94"/>
    <n v="2.2981818181818183E-2"/>
    <n v="1.8299999999999998"/>
    <n v="144.57"/>
    <n v="1.3382444490558207"/>
  </r>
  <r>
    <x v="25"/>
    <x v="0"/>
    <x v="0"/>
    <x v="3"/>
    <x v="5"/>
    <n v="106975"/>
    <n v="4300"/>
    <n v="10277"/>
    <n v="335"/>
    <n v="35904.36"/>
    <n v="4.0196307548492641E-2"/>
    <n v="2.39"/>
    <n v="30.677611940298508"/>
    <n v="3.4936615743894133"/>
  </r>
  <r>
    <x v="177"/>
    <x v="0"/>
    <x v="2"/>
    <x v="3"/>
    <x v="1"/>
    <n v="10574"/>
    <n v="389"/>
    <n v="1007.51"/>
    <n v="6"/>
    <n v="908.68"/>
    <n v="3.6788348780026479E-2"/>
    <n v="2.59"/>
    <n v="167.91833333333332"/>
    <n v="0.90190668082698922"/>
  </r>
  <r>
    <x v="223"/>
    <x v="1"/>
    <x v="1"/>
    <x v="0"/>
    <x v="6"/>
    <n v="147658"/>
    <n v="6939"/>
    <n v="5967.54"/>
    <n v="282"/>
    <n v="39581.75"/>
    <n v="4.6993728751574586E-2"/>
    <n v="0.86"/>
    <n v="21.161489361702127"/>
    <n v="6.6328420085998587"/>
  </r>
  <r>
    <x v="119"/>
    <x v="2"/>
    <x v="2"/>
    <x v="3"/>
    <x v="4"/>
    <n v="52013"/>
    <n v="1565"/>
    <n v="1611.95"/>
    <n v="23"/>
    <n v="6481.69"/>
    <n v="3.0088631688231789E-2"/>
    <n v="1.03"/>
    <n v="70.084782608695647"/>
    <n v="4.021024225317162"/>
  </r>
  <r>
    <x v="263"/>
    <x v="0"/>
    <x v="0"/>
    <x v="4"/>
    <x v="5"/>
    <n v="49484"/>
    <n v="1118"/>
    <n v="2291.9"/>
    <n v="79"/>
    <n v="18417.53"/>
    <n v="2.2593161425915446E-2"/>
    <n v="2.0500000000000003"/>
    <n v="29.011392405063294"/>
    <n v="8.0359221606527331"/>
  </r>
  <r>
    <x v="18"/>
    <x v="0"/>
    <x v="0"/>
    <x v="2"/>
    <x v="2"/>
    <n v="18877"/>
    <n v="545"/>
    <n v="1744"/>
    <n v="26"/>
    <n v="5981"/>
    <n v="2.8871112994649572E-2"/>
    <n v="3.2"/>
    <n v="67.07692307692308"/>
    <n v="3.4294724770642202"/>
  </r>
  <r>
    <x v="78"/>
    <x v="2"/>
    <x v="2"/>
    <x v="2"/>
    <x v="1"/>
    <n v="106505"/>
    <n v="1022"/>
    <n v="1839.6"/>
    <n v="27"/>
    <n v="2467.1799999999998"/>
    <n v="9.5957936247124554E-3"/>
    <n v="1.7999999999999998"/>
    <n v="68.133333333333326"/>
    <n v="1.3411502500543597"/>
  </r>
  <r>
    <x v="111"/>
    <x v="0"/>
    <x v="0"/>
    <x v="4"/>
    <x v="5"/>
    <n v="65107"/>
    <n v="1777"/>
    <n v="2896.51"/>
    <n v="128"/>
    <n v="29612.560000000001"/>
    <n v="2.7293532185479287E-2"/>
    <n v="1.6300000000000001"/>
    <n v="22.628984375000002"/>
    <n v="10.223531077054799"/>
  </r>
  <r>
    <x v="264"/>
    <x v="0"/>
    <x v="2"/>
    <x v="3"/>
    <x v="5"/>
    <n v="69839"/>
    <n v="1620"/>
    <n v="2041.2"/>
    <n v="80"/>
    <n v="22785.52"/>
    <n v="2.3196208422228269E-2"/>
    <n v="1.26"/>
    <n v="25.515000000000001"/>
    <n v="11.162806192435822"/>
  </r>
  <r>
    <x v="29"/>
    <x v="0"/>
    <x v="1"/>
    <x v="3"/>
    <x v="2"/>
    <n v="104794"/>
    <n v="5920"/>
    <n v="21667.200000000001"/>
    <n v="359"/>
    <n v="21837.83"/>
    <n v="5.6491783880756534E-2"/>
    <n v="3.66"/>
    <n v="60.354317548746522"/>
    <n v="1.0078750369221681"/>
  </r>
  <r>
    <x v="219"/>
    <x v="2"/>
    <x v="1"/>
    <x v="1"/>
    <x v="2"/>
    <n v="33549"/>
    <n v="1224"/>
    <n v="930.24"/>
    <n v="89"/>
    <n v="26101.34"/>
    <n v="3.6483948850934457E-2"/>
    <n v="0.76"/>
    <n v="10.452134831460674"/>
    <n v="28.058716030271757"/>
  </r>
  <r>
    <x v="103"/>
    <x v="0"/>
    <x v="1"/>
    <x v="3"/>
    <x v="3"/>
    <n v="133027"/>
    <n v="7808"/>
    <n v="9838.08"/>
    <n v="153"/>
    <n v="22193.119999999999"/>
    <n v="5.8694851421140067E-2"/>
    <n v="1.26"/>
    <n v="64.301176470588231"/>
    <n v="2.2558385376008325"/>
  </r>
  <r>
    <x v="30"/>
    <x v="2"/>
    <x v="1"/>
    <x v="1"/>
    <x v="3"/>
    <n v="27419"/>
    <n v="1192"/>
    <n v="2181.36"/>
    <n v="38"/>
    <n v="5935.39"/>
    <n v="4.3473503774754729E-2"/>
    <n v="1.83"/>
    <n v="57.404210526315794"/>
    <n v="2.7209584846151027"/>
  </r>
  <r>
    <x v="32"/>
    <x v="0"/>
    <x v="1"/>
    <x v="2"/>
    <x v="4"/>
    <n v="102648"/>
    <n v="2330"/>
    <n v="5941.5"/>
    <n v="157"/>
    <n v="28653.63"/>
    <n v="2.2698932273400359E-2"/>
    <n v="2.5499999999999998"/>
    <n v="37.84394904458599"/>
    <n v="4.8226255995960621"/>
  </r>
  <r>
    <x v="109"/>
    <x v="0"/>
    <x v="3"/>
    <x v="4"/>
    <x v="4"/>
    <n v="181687"/>
    <n v="8321"/>
    <n v="26127.94"/>
    <n v="651"/>
    <n v="189283.47"/>
    <n v="4.5798543649242927E-2"/>
    <n v="3.1399999999999997"/>
    <n v="40.135084485407063"/>
    <n v="7.244485022546745"/>
  </r>
  <r>
    <x v="265"/>
    <x v="0"/>
    <x v="3"/>
    <x v="3"/>
    <x v="1"/>
    <n v="166792"/>
    <n v="6071"/>
    <n v="19123.650000000001"/>
    <n v="323"/>
    <n v="23590.83"/>
    <n v="3.6398628231569863E-2"/>
    <n v="3.1500000000000004"/>
    <n v="59.206346749226007"/>
    <n v="1.2335945282412091"/>
  </r>
  <r>
    <x v="249"/>
    <x v="1"/>
    <x v="0"/>
    <x v="3"/>
    <x v="2"/>
    <n v="7889"/>
    <n v="416"/>
    <n v="416"/>
    <n v="16"/>
    <n v="2147.9499999999998"/>
    <n v="5.2731651666877932E-2"/>
    <n v="1"/>
    <n v="26"/>
    <n v="5.163341346153846"/>
  </r>
  <r>
    <x v="266"/>
    <x v="2"/>
    <x v="1"/>
    <x v="4"/>
    <x v="5"/>
    <n v="129746"/>
    <n v="4891"/>
    <n v="8852.7099999999991"/>
    <n v="117"/>
    <n v="26101.17"/>
    <n v="3.7696730535045395E-2"/>
    <n v="1.8099999999999998"/>
    <n v="75.66418803418803"/>
    <n v="2.9483819079129443"/>
  </r>
  <r>
    <x v="180"/>
    <x v="0"/>
    <x v="3"/>
    <x v="4"/>
    <x v="3"/>
    <n v="94506"/>
    <n v="3269"/>
    <n v="5099.6400000000003"/>
    <n v="193"/>
    <n v="7342.38"/>
    <n v="3.4590396376949613E-2"/>
    <n v="1.56"/>
    <n v="26.42300518134715"/>
    <n v="1.4397839847518648"/>
  </r>
  <r>
    <x v="44"/>
    <x v="0"/>
    <x v="3"/>
    <x v="1"/>
    <x v="4"/>
    <n v="12086"/>
    <n v="594"/>
    <n v="1461.24"/>
    <n v="21"/>
    <n v="3418.15"/>
    <n v="4.9147774284295877E-2"/>
    <n v="2.46"/>
    <n v="69.582857142857137"/>
    <n v="2.3392119022200322"/>
  </r>
  <r>
    <x v="239"/>
    <x v="1"/>
    <x v="3"/>
    <x v="3"/>
    <x v="1"/>
    <n v="145497"/>
    <n v="4743"/>
    <n v="1660.05"/>
    <n v="313"/>
    <n v="81349.350000000006"/>
    <n v="3.2598610280624343E-2"/>
    <n v="0.35"/>
    <n v="5.3036741214057503"/>
    <n v="49.004156501310206"/>
  </r>
  <r>
    <x v="267"/>
    <x v="2"/>
    <x v="0"/>
    <x v="1"/>
    <x v="0"/>
    <n v="14491"/>
    <n v="259"/>
    <n v="440.3"/>
    <n v="3"/>
    <n v="260.32"/>
    <n v="1.7873162652680973E-2"/>
    <n v="1.7"/>
    <n v="146.76666666666668"/>
    <n v="0.5912332500567794"/>
  </r>
  <r>
    <x v="65"/>
    <x v="2"/>
    <x v="2"/>
    <x v="0"/>
    <x v="0"/>
    <n v="156043"/>
    <n v="4478"/>
    <n v="5955.74"/>
    <n v="193"/>
    <n v="22322.38"/>
    <n v="2.8697218074505104E-2"/>
    <n v="1.3299999999999998"/>
    <n v="30.858756476683936"/>
    <n v="3.7480447433904103"/>
  </r>
  <r>
    <x v="128"/>
    <x v="1"/>
    <x v="3"/>
    <x v="2"/>
    <x v="1"/>
    <n v="115304"/>
    <n v="3551"/>
    <n v="5539.56"/>
    <n v="232"/>
    <n v="22178.1"/>
    <n v="3.0796850065912717E-2"/>
    <n v="1.56"/>
    <n v="23.87741379310345"/>
    <n v="4.0035851222840799"/>
  </r>
  <r>
    <x v="228"/>
    <x v="1"/>
    <x v="2"/>
    <x v="0"/>
    <x v="0"/>
    <n v="132571"/>
    <n v="9147"/>
    <n v="9329.94"/>
    <n v="502"/>
    <n v="55471.3"/>
    <n v="6.8996990291994478E-2"/>
    <n v="1.02"/>
    <n v="18.585537848605579"/>
    <n v="5.9455151908801129"/>
  </r>
  <r>
    <x v="9"/>
    <x v="0"/>
    <x v="3"/>
    <x v="4"/>
    <x v="0"/>
    <n v="92502"/>
    <n v="2960"/>
    <n v="6097.6"/>
    <n v="201"/>
    <n v="47885.36"/>
    <n v="3.1999308123067609E-2"/>
    <n v="2.06"/>
    <n v="30.336318407960199"/>
    <n v="7.8531487798478086"/>
  </r>
  <r>
    <x v="268"/>
    <x v="0"/>
    <x v="3"/>
    <x v="1"/>
    <x v="2"/>
    <n v="133792"/>
    <n v="6943"/>
    <n v="16316.05"/>
    <n v="186"/>
    <n v="17630.23"/>
    <n v="5.1893984692657262E-2"/>
    <n v="2.35"/>
    <n v="87.720698924731181"/>
    <n v="1.0805452300035854"/>
  </r>
  <r>
    <x v="25"/>
    <x v="0"/>
    <x v="3"/>
    <x v="1"/>
    <x v="1"/>
    <n v="77258"/>
    <n v="3963"/>
    <n v="7133.4"/>
    <n v="135"/>
    <n v="34518.129999999997"/>
    <n v="5.1295658702011443E-2"/>
    <n v="1.7999999999999998"/>
    <n v="52.839999999999996"/>
    <n v="4.8389449631311852"/>
  </r>
  <r>
    <x v="259"/>
    <x v="0"/>
    <x v="3"/>
    <x v="1"/>
    <x v="0"/>
    <n v="74672"/>
    <n v="2665"/>
    <n v="4157.3999999999996"/>
    <n v="129"/>
    <n v="32318.91"/>
    <n v="3.5689415041782732E-2"/>
    <n v="1.5599999999999998"/>
    <n v="32.22790697674418"/>
    <n v="7.7738273921200758"/>
  </r>
  <r>
    <x v="141"/>
    <x v="1"/>
    <x v="0"/>
    <x v="2"/>
    <x v="6"/>
    <n v="41558"/>
    <n v="1757"/>
    <n v="2125.9699999999998"/>
    <n v="72"/>
    <n v="18414.150000000001"/>
    <n v="4.227826170653063E-2"/>
    <n v="1.21"/>
    <n v="29.527361111111109"/>
    <n v="8.6615286198770463"/>
  </r>
  <r>
    <x v="269"/>
    <x v="0"/>
    <x v="2"/>
    <x v="2"/>
    <x v="6"/>
    <n v="134560"/>
    <n v="5947"/>
    <n v="16889.48"/>
    <n v="144"/>
    <n v="23257.77"/>
    <n v="4.4195897740784779E-2"/>
    <n v="2.84"/>
    <n v="117.28805555555556"/>
    <n v="1.3770566056503812"/>
  </r>
  <r>
    <x v="12"/>
    <x v="1"/>
    <x v="0"/>
    <x v="4"/>
    <x v="4"/>
    <n v="143518"/>
    <n v="10491"/>
    <n v="8917.35"/>
    <n v="313"/>
    <n v="46285.52"/>
    <n v="7.309884474421327E-2"/>
    <n v="0.85000000000000009"/>
    <n v="28.489936102236424"/>
    <n v="5.1905016624894165"/>
  </r>
  <r>
    <x v="270"/>
    <x v="2"/>
    <x v="1"/>
    <x v="0"/>
    <x v="1"/>
    <n v="7402"/>
    <n v="91"/>
    <n v="189.28"/>
    <n v="6"/>
    <n v="1105.17"/>
    <n v="1.2293974601459066E-2"/>
    <n v="2.08"/>
    <n v="31.546666666666667"/>
    <n v="5.8388102282333056"/>
  </r>
  <r>
    <x v="136"/>
    <x v="0"/>
    <x v="2"/>
    <x v="1"/>
    <x v="6"/>
    <n v="49225"/>
    <n v="2367"/>
    <n v="4355.28"/>
    <n v="137"/>
    <n v="8811.5300000000007"/>
    <n v="4.8085322498730321E-2"/>
    <n v="1.8399999999999999"/>
    <n v="31.790364963503649"/>
    <n v="2.0231833544571192"/>
  </r>
  <r>
    <x v="185"/>
    <x v="0"/>
    <x v="1"/>
    <x v="2"/>
    <x v="5"/>
    <n v="173678"/>
    <n v="11428"/>
    <n v="24113.08"/>
    <n v="310"/>
    <n v="83080.36"/>
    <n v="6.579992860350764E-2"/>
    <n v="2.1100000000000003"/>
    <n v="77.784129032258065"/>
    <n v="3.4454478648103017"/>
  </r>
  <r>
    <x v="40"/>
    <x v="2"/>
    <x v="3"/>
    <x v="2"/>
    <x v="6"/>
    <n v="92793"/>
    <n v="1261"/>
    <n v="466.57"/>
    <n v="80"/>
    <n v="13024.34"/>
    <n v="1.3589387130494757E-2"/>
    <n v="0.37"/>
    <n v="5.8321249999999996"/>
    <n v="27.91508240992777"/>
  </r>
  <r>
    <x v="250"/>
    <x v="1"/>
    <x v="1"/>
    <x v="3"/>
    <x v="1"/>
    <n v="122408"/>
    <n v="6671"/>
    <n v="7805.07"/>
    <n v="293"/>
    <n v="67215.820000000007"/>
    <n v="5.4498072021436507E-2"/>
    <n v="1.17"/>
    <n v="26.638464163822526"/>
    <n v="8.6118151406713856"/>
  </r>
  <r>
    <x v="18"/>
    <x v="1"/>
    <x v="0"/>
    <x v="4"/>
    <x v="0"/>
    <n v="162826"/>
    <n v="7815"/>
    <n v="12816.6"/>
    <n v="120"/>
    <n v="13520.75"/>
    <n v="4.799602029159962E-2"/>
    <n v="1.6400000000000001"/>
    <n v="106.80500000000001"/>
    <n v="1.0549404678307819"/>
  </r>
  <r>
    <x v="87"/>
    <x v="2"/>
    <x v="2"/>
    <x v="2"/>
    <x v="5"/>
    <n v="134614"/>
    <n v="3190"/>
    <n v="5678.2"/>
    <n v="188"/>
    <n v="41736.54"/>
    <n v="2.3697386601690761E-2"/>
    <n v="1.78"/>
    <n v="30.2031914893617"/>
    <n v="7.3503117185023426"/>
  </r>
  <r>
    <x v="271"/>
    <x v="0"/>
    <x v="2"/>
    <x v="0"/>
    <x v="5"/>
    <n v="116451"/>
    <n v="3388"/>
    <n v="11485.32"/>
    <n v="188"/>
    <n v="28791.61"/>
    <n v="2.909378193403234E-2"/>
    <n v="3.39"/>
    <n v="61.092127659574466"/>
    <n v="2.5068182688858474"/>
  </r>
  <r>
    <x v="272"/>
    <x v="0"/>
    <x v="0"/>
    <x v="4"/>
    <x v="3"/>
    <n v="188276"/>
    <n v="11277"/>
    <n v="27966.959999999999"/>
    <n v="554"/>
    <n v="89376.47"/>
    <n v="5.9896109966219802E-2"/>
    <n v="2.48"/>
    <n v="50.481877256317688"/>
    <n v="3.195787815336383"/>
  </r>
  <r>
    <x v="72"/>
    <x v="2"/>
    <x v="0"/>
    <x v="0"/>
    <x v="6"/>
    <n v="165552"/>
    <n v="4337"/>
    <n v="9628.14"/>
    <n v="132"/>
    <n v="21448.35"/>
    <n v="2.6197206919880159E-2"/>
    <n v="2.2199999999999998"/>
    <n v="72.940454545454543"/>
    <n v="2.2276732577631817"/>
  </r>
  <r>
    <x v="83"/>
    <x v="2"/>
    <x v="1"/>
    <x v="1"/>
    <x v="1"/>
    <n v="82271"/>
    <n v="3397"/>
    <n v="1766.44"/>
    <n v="36"/>
    <n v="6412.73"/>
    <n v="4.1290369632069626E-2"/>
    <n v="0.52"/>
    <n v="49.067777777777778"/>
    <n v="3.630312945811915"/>
  </r>
  <r>
    <x v="19"/>
    <x v="1"/>
    <x v="0"/>
    <x v="0"/>
    <x v="3"/>
    <n v="61921"/>
    <n v="3814"/>
    <n v="1182.3399999999999"/>
    <n v="50"/>
    <n v="8842.35"/>
    <n v="6.1594612490108364E-2"/>
    <n v="0.31"/>
    <n v="23.646799999999999"/>
    <n v="7.4786863338802725"/>
  </r>
  <r>
    <x v="273"/>
    <x v="0"/>
    <x v="2"/>
    <x v="4"/>
    <x v="4"/>
    <n v="161089"/>
    <n v="6540"/>
    <n v="13734"/>
    <n v="285"/>
    <n v="49746.79"/>
    <n v="4.0598675266467606E-2"/>
    <n v="2.1"/>
    <n v="48.189473684210526"/>
    <n v="3.6221632445026941"/>
  </r>
  <r>
    <x v="274"/>
    <x v="0"/>
    <x v="2"/>
    <x v="2"/>
    <x v="2"/>
    <n v="85618"/>
    <n v="2679"/>
    <n v="2464.6799999999998"/>
    <n v="74"/>
    <n v="6024.46"/>
    <n v="3.1290149267677356E-2"/>
    <n v="0.91999999999999993"/>
    <n v="33.306486486486484"/>
    <n v="2.4443173150266975"/>
  </r>
  <r>
    <x v="275"/>
    <x v="2"/>
    <x v="0"/>
    <x v="2"/>
    <x v="6"/>
    <n v="30457"/>
    <n v="606"/>
    <n v="351.48"/>
    <n v="34"/>
    <n v="4981.9399999999996"/>
    <n v="1.9896903831631479E-2"/>
    <n v="0.58000000000000007"/>
    <n v="10.33764705882353"/>
    <n v="14.174177762603845"/>
  </r>
  <r>
    <x v="98"/>
    <x v="1"/>
    <x v="0"/>
    <x v="4"/>
    <x v="5"/>
    <n v="46420"/>
    <n v="1880"/>
    <n v="3572"/>
    <n v="113"/>
    <n v="5769.59"/>
    <n v="4.0499784575613956E-2"/>
    <n v="1.9"/>
    <n v="31.610619469026549"/>
    <n v="1.6152267637178053"/>
  </r>
  <r>
    <x v="276"/>
    <x v="0"/>
    <x v="0"/>
    <x v="4"/>
    <x v="1"/>
    <n v="180746"/>
    <n v="5024"/>
    <n v="6430.72"/>
    <n v="64"/>
    <n v="17709.21"/>
    <n v="2.7795912495988846E-2"/>
    <n v="1.28"/>
    <n v="100.48"/>
    <n v="2.7538456036027066"/>
  </r>
  <r>
    <x v="249"/>
    <x v="1"/>
    <x v="0"/>
    <x v="3"/>
    <x v="3"/>
    <n v="131244"/>
    <n v="5604"/>
    <n v="2129.52"/>
    <n v="229"/>
    <n v="65541.490000000005"/>
    <n v="4.2699094815763006E-2"/>
    <n v="0.38"/>
    <n v="9.2992139737991266"/>
    <n v="30.777588376723397"/>
  </r>
  <r>
    <x v="124"/>
    <x v="0"/>
    <x v="0"/>
    <x v="4"/>
    <x v="3"/>
    <n v="86678"/>
    <n v="2158"/>
    <n v="3129.1"/>
    <n v="163"/>
    <n v="27708.880000000001"/>
    <n v="2.4896744271902905E-2"/>
    <n v="1.45"/>
    <n v="19.196932515337423"/>
    <n v="8.8552235467067213"/>
  </r>
  <r>
    <x v="216"/>
    <x v="0"/>
    <x v="3"/>
    <x v="1"/>
    <x v="4"/>
    <n v="70226"/>
    <n v="4037"/>
    <n v="8719.92"/>
    <n v="240"/>
    <n v="68153.47"/>
    <n v="5.7485831458434201E-2"/>
    <n v="2.16"/>
    <n v="36.332999999999998"/>
    <n v="7.8158366131799379"/>
  </r>
  <r>
    <x v="86"/>
    <x v="0"/>
    <x v="0"/>
    <x v="0"/>
    <x v="3"/>
    <n v="124119"/>
    <n v="6416"/>
    <n v="16360.8"/>
    <n v="358"/>
    <n v="48445.72"/>
    <n v="5.1692327524391915E-2"/>
    <n v="2.5499999999999998"/>
    <n v="45.700558659217876"/>
    <n v="2.9610850325167477"/>
  </r>
  <r>
    <x v="51"/>
    <x v="0"/>
    <x v="2"/>
    <x v="2"/>
    <x v="0"/>
    <n v="126292"/>
    <n v="5165"/>
    <n v="7695.85"/>
    <n v="110"/>
    <n v="14074.18"/>
    <n v="4.0897285655465111E-2"/>
    <n v="1.49"/>
    <n v="69.962272727272733"/>
    <n v="1.8288012370303475"/>
  </r>
  <r>
    <x v="277"/>
    <x v="0"/>
    <x v="1"/>
    <x v="4"/>
    <x v="4"/>
    <n v="189935"/>
    <n v="10161"/>
    <n v="15139.89"/>
    <n v="615"/>
    <n v="31748.86"/>
    <n v="5.3497249058888564E-2"/>
    <n v="1.49"/>
    <n v="24.617707317073169"/>
    <n v="2.0970337300997564"/>
  </r>
  <r>
    <x v="196"/>
    <x v="0"/>
    <x v="3"/>
    <x v="1"/>
    <x v="0"/>
    <n v="103066"/>
    <n v="2380"/>
    <n v="5926.2"/>
    <n v="121"/>
    <n v="20395.259999999998"/>
    <n v="2.309199930141851E-2"/>
    <n v="2.4899999999999998"/>
    <n v="48.976859504132229"/>
    <n v="3.4415409537308896"/>
  </r>
  <r>
    <x v="230"/>
    <x v="2"/>
    <x v="2"/>
    <x v="4"/>
    <x v="2"/>
    <n v="11083"/>
    <n v="193"/>
    <n v="160.19"/>
    <n v="11"/>
    <n v="912.82"/>
    <n v="1.7414057565641072E-2"/>
    <n v="0.83"/>
    <n v="14.562727272727273"/>
    <n v="5.69835819963793"/>
  </r>
  <r>
    <x v="278"/>
    <x v="2"/>
    <x v="3"/>
    <x v="1"/>
    <x v="0"/>
    <n v="6074"/>
    <n v="128"/>
    <n v="193.28"/>
    <n v="5"/>
    <n v="1253.71"/>
    <n v="2.1073427724728349E-2"/>
    <n v="1.51"/>
    <n v="38.655999999999999"/>
    <n v="6.4864962748344368"/>
  </r>
  <r>
    <x v="279"/>
    <x v="1"/>
    <x v="1"/>
    <x v="2"/>
    <x v="4"/>
    <n v="54752"/>
    <n v="2814"/>
    <n v="2420.04"/>
    <n v="137"/>
    <n v="13580.22"/>
    <n v="5.1395382817066043E-2"/>
    <n v="0.86"/>
    <n v="17.664525547445255"/>
    <n v="5.611568403828036"/>
  </r>
  <r>
    <x v="280"/>
    <x v="2"/>
    <x v="1"/>
    <x v="2"/>
    <x v="1"/>
    <n v="141313"/>
    <n v="4762"/>
    <n v="5000.1000000000004"/>
    <n v="207"/>
    <n v="26737.15"/>
    <n v="3.3698244322886074E-2"/>
    <n v="1.05"/>
    <n v="24.155072463768118"/>
    <n v="5.3473230535389291"/>
  </r>
  <r>
    <x v="258"/>
    <x v="1"/>
    <x v="3"/>
    <x v="1"/>
    <x v="2"/>
    <n v="34669"/>
    <n v="1965"/>
    <n v="3163.65"/>
    <n v="74"/>
    <n v="12153.4"/>
    <n v="5.667887738325305E-2"/>
    <n v="1.61"/>
    <n v="42.752027027027026"/>
    <n v="3.8415753955083525"/>
  </r>
  <r>
    <x v="180"/>
    <x v="2"/>
    <x v="3"/>
    <x v="4"/>
    <x v="6"/>
    <n v="104714"/>
    <n v="1015"/>
    <n v="943.95"/>
    <n v="78"/>
    <n v="20952.03"/>
    <n v="9.6930687396145684E-3"/>
    <n v="0.93"/>
    <n v="12.101923076923077"/>
    <n v="22.196122675989191"/>
  </r>
  <r>
    <x v="281"/>
    <x v="1"/>
    <x v="1"/>
    <x v="2"/>
    <x v="0"/>
    <n v="109733"/>
    <n v="6616"/>
    <n v="6020.56"/>
    <n v="516"/>
    <n v="53965.61"/>
    <n v="6.0291799185295217E-2"/>
    <n v="0.91"/>
    <n v="11.667751937984496"/>
    <n v="8.9635532242847837"/>
  </r>
  <r>
    <x v="135"/>
    <x v="1"/>
    <x v="3"/>
    <x v="3"/>
    <x v="2"/>
    <n v="67502"/>
    <n v="5859"/>
    <n v="2812.32"/>
    <n v="395"/>
    <n v="42271.31"/>
    <n v="8.679742822434891E-2"/>
    <n v="0.48000000000000004"/>
    <n v="7.1197974683544309"/>
    <n v="15.030761079820218"/>
  </r>
  <r>
    <x v="282"/>
    <x v="0"/>
    <x v="3"/>
    <x v="4"/>
    <x v="4"/>
    <n v="129121"/>
    <n v="4893"/>
    <n v="12526.08"/>
    <n v="137"/>
    <n v="7241.16"/>
    <n v="3.789468792837726E-2"/>
    <n v="2.56"/>
    <n v="91.431240875912408"/>
    <n v="0.57808667995095031"/>
  </r>
  <r>
    <x v="283"/>
    <x v="0"/>
    <x v="1"/>
    <x v="0"/>
    <x v="2"/>
    <n v="173102"/>
    <n v="4414"/>
    <n v="15007.6"/>
    <n v="341"/>
    <n v="52487.34"/>
    <n v="2.5499416528982913E-2"/>
    <n v="3.4"/>
    <n v="44.010557184750738"/>
    <n v="3.4973839921106635"/>
  </r>
  <r>
    <x v="104"/>
    <x v="0"/>
    <x v="2"/>
    <x v="1"/>
    <x v="4"/>
    <n v="140607"/>
    <n v="6397"/>
    <n v="9147.7099999999991"/>
    <n v="393"/>
    <n v="82224.929999999993"/>
    <n v="4.5495601214733263E-2"/>
    <n v="1.43"/>
    <n v="23.276615776081421"/>
    <n v="8.9885807486245195"/>
  </r>
  <r>
    <x v="56"/>
    <x v="0"/>
    <x v="0"/>
    <x v="2"/>
    <x v="3"/>
    <n v="48351"/>
    <n v="2156"/>
    <n v="6812.96"/>
    <n v="83"/>
    <n v="7504.87"/>
    <n v="4.4590597919381192E-2"/>
    <n v="3.16"/>
    <n v="82.083855421686749"/>
    <n v="1.1015579131537541"/>
  </r>
  <r>
    <x v="224"/>
    <x v="1"/>
    <x v="1"/>
    <x v="0"/>
    <x v="3"/>
    <n v="118135"/>
    <n v="8151"/>
    <n v="5624.19"/>
    <n v="428"/>
    <n v="64189.34"/>
    <n v="6.8997333559063789E-2"/>
    <n v="0.69"/>
    <n v="13.140630841121494"/>
    <n v="11.413081705987885"/>
  </r>
  <r>
    <x v="166"/>
    <x v="1"/>
    <x v="0"/>
    <x v="0"/>
    <x v="1"/>
    <n v="20185"/>
    <n v="878"/>
    <n v="535.58000000000004"/>
    <n v="27"/>
    <n v="7476.28"/>
    <n v="4.3497646767401539E-2"/>
    <n v="0.6100000000000001"/>
    <n v="19.836296296296297"/>
    <n v="13.959221778259082"/>
  </r>
  <r>
    <x v="45"/>
    <x v="1"/>
    <x v="1"/>
    <x v="4"/>
    <x v="6"/>
    <n v="50802"/>
    <n v="3617"/>
    <n v="1519.14"/>
    <n v="279"/>
    <n v="22644.29"/>
    <n v="7.1197984331325542E-2"/>
    <n v="0.42000000000000004"/>
    <n v="5.4449462365591401"/>
    <n v="14.905992864383796"/>
  </r>
  <r>
    <x v="6"/>
    <x v="2"/>
    <x v="2"/>
    <x v="4"/>
    <x v="4"/>
    <n v="34048"/>
    <n v="694"/>
    <n v="1006.3"/>
    <n v="49"/>
    <n v="12555.06"/>
    <n v="2.038298872180451E-2"/>
    <n v="1.45"/>
    <n v="20.536734693877548"/>
    <n v="12.476458312630429"/>
  </r>
  <r>
    <x v="277"/>
    <x v="1"/>
    <x v="1"/>
    <x v="3"/>
    <x v="0"/>
    <n v="56672"/>
    <n v="2397"/>
    <n v="1150.56"/>
    <n v="138"/>
    <n v="33165.74"/>
    <n v="4.2296019198193112E-2"/>
    <n v="0.48"/>
    <n v="8.3373913043478254"/>
    <n v="28.825737032401612"/>
  </r>
  <r>
    <x v="284"/>
    <x v="0"/>
    <x v="1"/>
    <x v="0"/>
    <x v="0"/>
    <n v="128962"/>
    <n v="7337"/>
    <n v="9904.9500000000007"/>
    <n v="226"/>
    <n v="26098.81"/>
    <n v="5.6892728090445245E-2"/>
    <n v="1.35"/>
    <n v="43.827212389380534"/>
    <n v="2.6349259713577555"/>
  </r>
  <r>
    <x v="84"/>
    <x v="2"/>
    <x v="1"/>
    <x v="2"/>
    <x v="1"/>
    <n v="15532"/>
    <n v="593"/>
    <n v="847.99"/>
    <n v="45"/>
    <n v="2243.79"/>
    <n v="3.8179242853463816E-2"/>
    <n v="1.43"/>
    <n v="18.844222222222221"/>
    <n v="2.6460099765327421"/>
  </r>
  <r>
    <x v="285"/>
    <x v="0"/>
    <x v="1"/>
    <x v="0"/>
    <x v="6"/>
    <n v="154666"/>
    <n v="5939"/>
    <n v="7601.92"/>
    <n v="366"/>
    <n v="24965.13"/>
    <n v="3.8398872408932798E-2"/>
    <n v="1.28"/>
    <n v="20.770273224043716"/>
    <n v="3.2840558700959757"/>
  </r>
  <r>
    <x v="257"/>
    <x v="1"/>
    <x v="1"/>
    <x v="4"/>
    <x v="2"/>
    <n v="9722"/>
    <n v="455"/>
    <n v="550.54999999999995"/>
    <n v="29"/>
    <n v="3533.89"/>
    <n v="4.6801069738736885E-2"/>
    <n v="1.21"/>
    <n v="18.98448275862069"/>
    <n v="6.4188357097448012"/>
  </r>
  <r>
    <x v="42"/>
    <x v="0"/>
    <x v="3"/>
    <x v="0"/>
    <x v="6"/>
    <n v="24464"/>
    <n v="511"/>
    <n v="572.32000000000005"/>
    <n v="20"/>
    <n v="5921.83"/>
    <n v="2.0887835186396336E-2"/>
    <n v="1.1200000000000001"/>
    <n v="28.616000000000003"/>
    <n v="10.347061084707855"/>
  </r>
  <r>
    <x v="286"/>
    <x v="2"/>
    <x v="1"/>
    <x v="4"/>
    <x v="5"/>
    <n v="170413"/>
    <n v="3936"/>
    <n v="2794.56"/>
    <n v="63"/>
    <n v="12671.79"/>
    <n v="2.3096829467235482E-2"/>
    <n v="0.71"/>
    <n v="44.358095238095238"/>
    <n v="4.5344490724836826"/>
  </r>
  <r>
    <x v="287"/>
    <x v="1"/>
    <x v="1"/>
    <x v="0"/>
    <x v="3"/>
    <n v="109205"/>
    <n v="4499"/>
    <n v="3779.16"/>
    <n v="49"/>
    <n v="13660.38"/>
    <n v="4.1197747355890296E-2"/>
    <n v="0.84"/>
    <n v="77.125714285714281"/>
    <n v="3.6146604007239702"/>
  </r>
  <r>
    <x v="15"/>
    <x v="0"/>
    <x v="2"/>
    <x v="4"/>
    <x v="3"/>
    <n v="161926"/>
    <n v="5424"/>
    <n v="17844.96"/>
    <n v="87"/>
    <n v="11807.21"/>
    <n v="3.3496782480886333E-2"/>
    <n v="3.29"/>
    <n v="205.11448275862068"/>
    <n v="0.66165516762155807"/>
  </r>
  <r>
    <x v="35"/>
    <x v="2"/>
    <x v="0"/>
    <x v="4"/>
    <x v="1"/>
    <n v="125725"/>
    <n v="1646"/>
    <n v="1333.26"/>
    <n v="19"/>
    <n v="2319.58"/>
    <n v="1.3092066017100815E-2"/>
    <n v="0.80999999999999994"/>
    <n v="70.171578947368417"/>
    <n v="1.7397806879378366"/>
  </r>
  <r>
    <x v="44"/>
    <x v="1"/>
    <x v="1"/>
    <x v="2"/>
    <x v="0"/>
    <n v="116301"/>
    <n v="4198"/>
    <n v="6087.1"/>
    <n v="212"/>
    <n v="37780.9"/>
    <n v="3.6095992295853002E-2"/>
    <n v="1.4500000000000002"/>
    <n v="28.712735849056607"/>
    <n v="6.206715841698017"/>
  </r>
  <r>
    <x v="275"/>
    <x v="0"/>
    <x v="2"/>
    <x v="3"/>
    <x v="4"/>
    <n v="88251"/>
    <n v="2665"/>
    <n v="3437.85"/>
    <n v="151"/>
    <n v="17509.21"/>
    <n v="3.0197958096792106E-2"/>
    <n v="1.29"/>
    <n v="22.767218543046358"/>
    <n v="5.0930697965298082"/>
  </r>
  <r>
    <x v="120"/>
    <x v="0"/>
    <x v="1"/>
    <x v="1"/>
    <x v="3"/>
    <n v="185378"/>
    <n v="3244"/>
    <n v="5904.08"/>
    <n v="246"/>
    <n v="67552.800000000003"/>
    <n v="1.7499379645912676E-2"/>
    <n v="1.82"/>
    <n v="24.000325203252032"/>
    <n v="11.441714881912169"/>
  </r>
  <r>
    <x v="14"/>
    <x v="2"/>
    <x v="2"/>
    <x v="3"/>
    <x v="2"/>
    <n v="177905"/>
    <n v="5532"/>
    <n v="5421.36"/>
    <n v="370"/>
    <n v="14673.05"/>
    <n v="3.1095247463533909E-2"/>
    <n v="0.98"/>
    <n v="14.652324324324324"/>
    <n v="2.7065256688358641"/>
  </r>
  <r>
    <x v="41"/>
    <x v="2"/>
    <x v="1"/>
    <x v="4"/>
    <x v="4"/>
    <n v="122845"/>
    <n v="2714"/>
    <n v="1546.98"/>
    <n v="143"/>
    <n v="36419.79"/>
    <n v="2.2092881273149092E-2"/>
    <n v="0.57000000000000006"/>
    <n v="10.818041958041958"/>
    <n v="23.542508629717254"/>
  </r>
  <r>
    <x v="152"/>
    <x v="2"/>
    <x v="1"/>
    <x v="2"/>
    <x v="3"/>
    <n v="36017"/>
    <n v="1210"/>
    <n v="1222.0999999999999"/>
    <n v="28"/>
    <n v="1258.31"/>
    <n v="3.3595246689063496E-2"/>
    <n v="1.01"/>
    <n v="43.646428571428565"/>
    <n v="1.0296293265690206"/>
  </r>
  <r>
    <x v="59"/>
    <x v="0"/>
    <x v="0"/>
    <x v="1"/>
    <x v="2"/>
    <n v="71267"/>
    <n v="3962"/>
    <n v="3684.66"/>
    <n v="287"/>
    <n v="50107.59"/>
    <n v="5.5593753069443079E-2"/>
    <n v="0.92999999999999994"/>
    <n v="12.838536585365853"/>
    <n v="13.598972496783963"/>
  </r>
  <r>
    <x v="144"/>
    <x v="2"/>
    <x v="3"/>
    <x v="1"/>
    <x v="5"/>
    <n v="97152"/>
    <n v="1156"/>
    <n v="624.24"/>
    <n v="43"/>
    <n v="4965.75"/>
    <n v="1.1898880105401844E-2"/>
    <n v="0.54"/>
    <n v="14.517209302325581"/>
    <n v="7.9548731257208765"/>
  </r>
  <r>
    <x v="288"/>
    <x v="2"/>
    <x v="2"/>
    <x v="4"/>
    <x v="2"/>
    <n v="33834"/>
    <n v="906"/>
    <n v="797.28"/>
    <n v="23"/>
    <n v="2361.23"/>
    <n v="2.6777797481823018E-2"/>
    <n v="0.88"/>
    <n v="34.664347826086953"/>
    <n v="2.9616069636765001"/>
  </r>
  <r>
    <x v="20"/>
    <x v="1"/>
    <x v="2"/>
    <x v="4"/>
    <x v="4"/>
    <n v="183775"/>
    <n v="7093"/>
    <n v="7093"/>
    <n v="373"/>
    <n v="88634"/>
    <n v="3.8596109372874436E-2"/>
    <n v="1"/>
    <n v="19.01608579088472"/>
    <n v="12.495981954039193"/>
  </r>
  <r>
    <x v="184"/>
    <x v="2"/>
    <x v="0"/>
    <x v="0"/>
    <x v="0"/>
    <n v="199405"/>
    <n v="5204"/>
    <n v="4995.84"/>
    <n v="333"/>
    <n v="25169.83"/>
    <n v="2.6097640480429278E-2"/>
    <n v="0.96000000000000008"/>
    <n v="15.002522522522524"/>
    <n v="5.0381577472457089"/>
  </r>
  <r>
    <x v="289"/>
    <x v="1"/>
    <x v="0"/>
    <x v="2"/>
    <x v="3"/>
    <n v="169512"/>
    <n v="9475"/>
    <n v="13359.75"/>
    <n v="203"/>
    <n v="26995.02"/>
    <n v="5.5895747793666524E-2"/>
    <n v="1.41"/>
    <n v="65.811576354679801"/>
    <n v="2.0206231404030763"/>
  </r>
  <r>
    <x v="290"/>
    <x v="0"/>
    <x v="3"/>
    <x v="1"/>
    <x v="5"/>
    <n v="14884"/>
    <n v="541"/>
    <n v="1758.25"/>
    <n v="43"/>
    <n v="4123.58"/>
    <n v="3.6347755979575382E-2"/>
    <n v="3.25"/>
    <n v="40.889534883720927"/>
    <n v="2.3452751315228211"/>
  </r>
  <r>
    <x v="90"/>
    <x v="1"/>
    <x v="2"/>
    <x v="2"/>
    <x v="3"/>
    <n v="47623"/>
    <n v="1695"/>
    <n v="3135.75"/>
    <n v="36"/>
    <n v="9884.86"/>
    <n v="3.5592045860193607E-2"/>
    <n v="1.85"/>
    <n v="87.104166666666671"/>
    <n v="3.1523112493024001"/>
  </r>
  <r>
    <x v="291"/>
    <x v="2"/>
    <x v="0"/>
    <x v="4"/>
    <x v="2"/>
    <n v="102780"/>
    <n v="1952"/>
    <n v="2342.4"/>
    <n v="63"/>
    <n v="16160.9"/>
    <n v="1.8992021794123369E-2"/>
    <n v="1.2"/>
    <n v="37.180952380952384"/>
    <n v="6.8992913251366117"/>
  </r>
  <r>
    <x v="280"/>
    <x v="0"/>
    <x v="2"/>
    <x v="2"/>
    <x v="6"/>
    <n v="167717"/>
    <n v="4142"/>
    <n v="7165.66"/>
    <n v="71"/>
    <n v="15937.54"/>
    <n v="2.4696363517115141E-2"/>
    <n v="1.73"/>
    <n v="100.92478873239436"/>
    <n v="2.2241552069174371"/>
  </r>
  <r>
    <x v="24"/>
    <x v="2"/>
    <x v="0"/>
    <x v="4"/>
    <x v="1"/>
    <n v="189598"/>
    <n v="6673"/>
    <n v="13279.27"/>
    <n v="170"/>
    <n v="36177.68"/>
    <n v="3.5195518940073209E-2"/>
    <n v="1.99"/>
    <n v="78.113352941176473"/>
    <n v="2.7243726500025978"/>
  </r>
  <r>
    <x v="0"/>
    <x v="1"/>
    <x v="3"/>
    <x v="3"/>
    <x v="3"/>
    <n v="92273"/>
    <n v="6237"/>
    <n v="8794.17"/>
    <n v="291"/>
    <n v="72065.02"/>
    <n v="6.7592903666294585E-2"/>
    <n v="1.41"/>
    <n v="30.220515463917526"/>
    <n v="8.1946357643757182"/>
  </r>
  <r>
    <x v="24"/>
    <x v="0"/>
    <x v="3"/>
    <x v="0"/>
    <x v="1"/>
    <n v="118884"/>
    <n v="5932"/>
    <n v="17499.400000000001"/>
    <n v="450"/>
    <n v="121374.91"/>
    <n v="4.9897378957639377E-2"/>
    <n v="2.95"/>
    <n v="38.887555555555558"/>
    <n v="6.9359469467524599"/>
  </r>
  <r>
    <x v="76"/>
    <x v="0"/>
    <x v="0"/>
    <x v="2"/>
    <x v="6"/>
    <n v="84303"/>
    <n v="4417"/>
    <n v="13781.04"/>
    <n v="100"/>
    <n v="20354.89"/>
    <n v="5.2394339465973924E-2"/>
    <n v="3.12"/>
    <n v="137.81040000000002"/>
    <n v="1.4770213278533404"/>
  </r>
  <r>
    <x v="144"/>
    <x v="0"/>
    <x v="1"/>
    <x v="1"/>
    <x v="3"/>
    <n v="89730"/>
    <n v="4621"/>
    <n v="12384.28"/>
    <n v="277"/>
    <n v="13483.54"/>
    <n v="5.1498941268249193E-2"/>
    <n v="2.68"/>
    <n v="44.708592057761734"/>
    <n v="1.0887625279790185"/>
  </r>
  <r>
    <x v="188"/>
    <x v="0"/>
    <x v="0"/>
    <x v="3"/>
    <x v="1"/>
    <n v="174737"/>
    <n v="5207"/>
    <n v="7498.08"/>
    <n v="398"/>
    <n v="90351.24"/>
    <n v="2.9799069458672178E-2"/>
    <n v="1.44"/>
    <n v="18.839396984924623"/>
    <n v="12.049916778695346"/>
  </r>
  <r>
    <x v="99"/>
    <x v="0"/>
    <x v="2"/>
    <x v="2"/>
    <x v="3"/>
    <n v="145508"/>
    <n v="7158"/>
    <n v="10307.52"/>
    <n v="566"/>
    <n v="76404.289999999994"/>
    <n v="4.9193171509470272E-2"/>
    <n v="1.4400000000000002"/>
    <n v="18.211166077738518"/>
    <n v="7.4124804026574767"/>
  </r>
  <r>
    <x v="282"/>
    <x v="0"/>
    <x v="2"/>
    <x v="1"/>
    <x v="6"/>
    <n v="75649"/>
    <n v="1792"/>
    <n v="4981.76"/>
    <n v="110"/>
    <n v="12588.99"/>
    <n v="2.3688350143425557E-2"/>
    <n v="2.7800000000000002"/>
    <n v="45.288727272727272"/>
    <n v="2.5270165563977387"/>
  </r>
  <r>
    <x v="283"/>
    <x v="1"/>
    <x v="3"/>
    <x v="4"/>
    <x v="1"/>
    <n v="85522"/>
    <n v="3378"/>
    <n v="1182.3"/>
    <n v="167"/>
    <n v="30312.31"/>
    <n v="3.9498608545169664E-2"/>
    <n v="0.35"/>
    <n v="7.0796407185628736"/>
    <n v="25.638425103611606"/>
  </r>
  <r>
    <x v="90"/>
    <x v="2"/>
    <x v="2"/>
    <x v="2"/>
    <x v="4"/>
    <n v="19588"/>
    <n v="434"/>
    <n v="768.18"/>
    <n v="5"/>
    <n v="560.03"/>
    <n v="2.215642229936696E-2"/>
    <n v="1.7699999999999998"/>
    <n v="153.636"/>
    <n v="0.72903486162097431"/>
  </r>
  <r>
    <x v="143"/>
    <x v="1"/>
    <x v="1"/>
    <x v="4"/>
    <x v="4"/>
    <n v="92985"/>
    <n v="8024"/>
    <n v="6820.4"/>
    <n v="520"/>
    <n v="150774.99"/>
    <n v="8.6293488197021026E-2"/>
    <n v="0.85"/>
    <n v="13.116153846153846"/>
    <n v="22.106473227376693"/>
  </r>
  <r>
    <x v="37"/>
    <x v="0"/>
    <x v="1"/>
    <x v="4"/>
    <x v="2"/>
    <n v="134198"/>
    <n v="2670"/>
    <n v="8410.5"/>
    <n v="71"/>
    <n v="14769.75"/>
    <n v="1.9895974604688595E-2"/>
    <n v="3.15"/>
    <n v="118.45774647887323"/>
    <n v="1.7561084358837167"/>
  </r>
  <r>
    <x v="132"/>
    <x v="1"/>
    <x v="0"/>
    <x v="4"/>
    <x v="4"/>
    <n v="25951"/>
    <n v="809"/>
    <n v="388.32"/>
    <n v="61"/>
    <n v="10397.040000000001"/>
    <n v="3.1174135871450039E-2"/>
    <n v="0.48"/>
    <n v="6.365901639344262"/>
    <n v="26.774412855377012"/>
  </r>
  <r>
    <x v="292"/>
    <x v="0"/>
    <x v="2"/>
    <x v="4"/>
    <x v="1"/>
    <n v="55385"/>
    <n v="1678"/>
    <n v="2416.3200000000002"/>
    <n v="64"/>
    <n v="18110.48"/>
    <n v="3.0297011826306761E-2"/>
    <n v="1.4400000000000002"/>
    <n v="37.755000000000003"/>
    <n v="7.4950668785591308"/>
  </r>
  <r>
    <x v="293"/>
    <x v="0"/>
    <x v="0"/>
    <x v="3"/>
    <x v="5"/>
    <n v="21702"/>
    <n v="1000"/>
    <n v="3170"/>
    <n v="17"/>
    <n v="3670.88"/>
    <n v="4.6078702423739751E-2"/>
    <n v="3.17"/>
    <n v="186.47058823529412"/>
    <n v="1.1580063091482651"/>
  </r>
  <r>
    <x v="29"/>
    <x v="1"/>
    <x v="0"/>
    <x v="3"/>
    <x v="0"/>
    <n v="195972"/>
    <n v="13796"/>
    <n v="6898"/>
    <n v="645"/>
    <n v="54701.33"/>
    <n v="7.0397811932316867E-2"/>
    <n v="0.5"/>
    <n v="10.694573643410854"/>
    <n v="7.9300275442157151"/>
  </r>
  <r>
    <x v="294"/>
    <x v="2"/>
    <x v="0"/>
    <x v="2"/>
    <x v="0"/>
    <n v="73447"/>
    <n v="2401"/>
    <n v="3457.44"/>
    <n v="93"/>
    <n v="11150.38"/>
    <n v="3.2690239220117906E-2"/>
    <n v="1.44"/>
    <n v="37.17677419354839"/>
    <n v="3.2250393354620757"/>
  </r>
  <r>
    <x v="165"/>
    <x v="2"/>
    <x v="0"/>
    <x v="2"/>
    <x v="0"/>
    <n v="55867"/>
    <n v="1681"/>
    <n v="3328.38"/>
    <n v="32"/>
    <n v="3790.94"/>
    <n v="3.008931927613797E-2"/>
    <n v="1.98"/>
    <n v="104.011875"/>
    <n v="1.1389745161309706"/>
  </r>
  <r>
    <x v="202"/>
    <x v="0"/>
    <x v="3"/>
    <x v="0"/>
    <x v="1"/>
    <n v="64567"/>
    <n v="1439"/>
    <n v="3295.31"/>
    <n v="64"/>
    <n v="4231.38"/>
    <n v="2.228692675825112E-2"/>
    <n v="2.29"/>
    <n v="51.489218749999999"/>
    <n v="1.2840612871019723"/>
  </r>
  <r>
    <x v="295"/>
    <x v="1"/>
    <x v="2"/>
    <x v="3"/>
    <x v="4"/>
    <n v="97254"/>
    <n v="3374"/>
    <n v="5567.1"/>
    <n v="63"/>
    <n v="17255.150000000001"/>
    <n v="3.46926604561252E-2"/>
    <n v="1.6500000000000001"/>
    <n v="88.366666666666674"/>
    <n v="3.0994862675360602"/>
  </r>
  <r>
    <x v="109"/>
    <x v="2"/>
    <x v="2"/>
    <x v="2"/>
    <x v="1"/>
    <n v="147897"/>
    <n v="2144"/>
    <n v="4159.3599999999997"/>
    <n v="24"/>
    <n v="3826.61"/>
    <n v="1.449657531931006E-2"/>
    <n v="1.94"/>
    <n v="173.30666666666664"/>
    <n v="0.91999971149407611"/>
  </r>
  <r>
    <x v="274"/>
    <x v="2"/>
    <x v="3"/>
    <x v="2"/>
    <x v="3"/>
    <n v="115379"/>
    <n v="5134"/>
    <n v="12372.94"/>
    <n v="391"/>
    <n v="109895.16"/>
    <n v="4.449683217916605E-2"/>
    <n v="2.41"/>
    <n v="31.644347826086957"/>
    <n v="8.881895491289864"/>
  </r>
  <r>
    <x v="296"/>
    <x v="0"/>
    <x v="0"/>
    <x v="0"/>
    <x v="1"/>
    <n v="51566"/>
    <n v="1531"/>
    <n v="2128.09"/>
    <n v="112"/>
    <n v="6716.48"/>
    <n v="2.9690105883721833E-2"/>
    <n v="1.3900000000000001"/>
    <n v="19.000803571428573"/>
    <n v="3.1561071195297186"/>
  </r>
  <r>
    <x v="297"/>
    <x v="0"/>
    <x v="0"/>
    <x v="2"/>
    <x v="0"/>
    <n v="184889"/>
    <n v="6212"/>
    <n v="13480.04"/>
    <n v="73"/>
    <n v="2434.91"/>
    <n v="3.3598537500878906E-2"/>
    <n v="2.17"/>
    <n v="184.65808219178084"/>
    <n v="0.18063076964163308"/>
  </r>
  <r>
    <x v="8"/>
    <x v="1"/>
    <x v="2"/>
    <x v="1"/>
    <x v="6"/>
    <n v="100028"/>
    <n v="7402"/>
    <n v="5403.46"/>
    <n v="100"/>
    <n v="7280.48"/>
    <n v="7.3999280201543574E-2"/>
    <n v="0.73"/>
    <n v="54.034599999999998"/>
    <n v="1.3473737198017566"/>
  </r>
  <r>
    <x v="298"/>
    <x v="1"/>
    <x v="0"/>
    <x v="1"/>
    <x v="5"/>
    <n v="29741"/>
    <n v="1287"/>
    <n v="1583.01"/>
    <n v="55"/>
    <n v="6012.36"/>
    <n v="4.3273595373390268E-2"/>
    <n v="1.23"/>
    <n v="28.782"/>
    <n v="3.7980556029336516"/>
  </r>
  <r>
    <x v="287"/>
    <x v="0"/>
    <x v="2"/>
    <x v="0"/>
    <x v="6"/>
    <n v="155033"/>
    <n v="5782"/>
    <n v="12546.94"/>
    <n v="248"/>
    <n v="71470.23"/>
    <n v="3.7295285519857065E-2"/>
    <n v="2.17"/>
    <n v="50.592500000000001"/>
    <n v="5.6962279248964283"/>
  </r>
  <r>
    <x v="285"/>
    <x v="1"/>
    <x v="2"/>
    <x v="0"/>
    <x v="4"/>
    <n v="13562"/>
    <n v="790"/>
    <n v="932.2"/>
    <n v="40"/>
    <n v="7014.55"/>
    <n v="5.8250995428402889E-2"/>
    <n v="1.1800000000000002"/>
    <n v="23.305"/>
    <n v="7.5247264535507403"/>
  </r>
  <r>
    <x v="221"/>
    <x v="2"/>
    <x v="2"/>
    <x v="2"/>
    <x v="0"/>
    <n v="84830"/>
    <n v="2612"/>
    <n v="5171.76"/>
    <n v="84"/>
    <n v="6284.59"/>
    <n v="3.0790993752210304E-2"/>
    <n v="1.98"/>
    <n v="61.568571428571431"/>
    <n v="1.2151743313688184"/>
  </r>
  <r>
    <x v="95"/>
    <x v="2"/>
    <x v="2"/>
    <x v="2"/>
    <x v="3"/>
    <n v="119427"/>
    <n v="1146"/>
    <n v="2211.7800000000002"/>
    <n v="27"/>
    <n v="5094.3599999999997"/>
    <n v="9.5958200406943157E-3"/>
    <n v="1.9300000000000002"/>
    <n v="81.917777777777786"/>
    <n v="2.3032851368580958"/>
  </r>
  <r>
    <x v="285"/>
    <x v="0"/>
    <x v="2"/>
    <x v="1"/>
    <x v="5"/>
    <n v="175623"/>
    <n v="9483"/>
    <n v="9198.51"/>
    <n v="268"/>
    <n v="79311.56"/>
    <n v="5.3996344442356639E-2"/>
    <n v="0.97"/>
    <n v="34.322798507462686"/>
    <n v="8.6222181635938853"/>
  </r>
  <r>
    <x v="85"/>
    <x v="0"/>
    <x v="0"/>
    <x v="3"/>
    <x v="6"/>
    <n v="93919"/>
    <n v="4968"/>
    <n v="12668.4"/>
    <n v="308"/>
    <n v="66254.75"/>
    <n v="5.2896644981313683E-2"/>
    <n v="2.5499999999999998"/>
    <n v="41.131168831168829"/>
    <n v="5.229922484291623"/>
  </r>
  <r>
    <x v="231"/>
    <x v="1"/>
    <x v="3"/>
    <x v="0"/>
    <x v="0"/>
    <n v="46190"/>
    <n v="3030"/>
    <n v="1272.5999999999999"/>
    <n v="183"/>
    <n v="38945.83"/>
    <n v="6.5598614418705348E-2"/>
    <n v="0.42"/>
    <n v="6.9540983606557374"/>
    <n v="30.603355335533557"/>
  </r>
  <r>
    <x v="121"/>
    <x v="2"/>
    <x v="3"/>
    <x v="2"/>
    <x v="6"/>
    <n v="152996"/>
    <n v="3136"/>
    <n v="5613.44"/>
    <n v="82"/>
    <n v="6472.17"/>
    <n v="2.0497267902428822E-2"/>
    <n v="1.7899999999999998"/>
    <n v="68.456585365853655"/>
    <n v="1.1529774968646678"/>
  </r>
  <r>
    <x v="173"/>
    <x v="1"/>
    <x v="2"/>
    <x v="4"/>
    <x v="0"/>
    <n v="62600"/>
    <n v="3142"/>
    <n v="2230.8200000000002"/>
    <n v="245"/>
    <n v="17495.080000000002"/>
    <n v="5.0191693290734828E-2"/>
    <n v="0.71000000000000008"/>
    <n v="9.1053877551020417"/>
    <n v="7.8424435857666692"/>
  </r>
  <r>
    <x v="13"/>
    <x v="2"/>
    <x v="0"/>
    <x v="4"/>
    <x v="0"/>
    <n v="36127"/>
    <n v="610"/>
    <n v="677.1"/>
    <n v="45"/>
    <n v="6906.4"/>
    <n v="1.6884878345835526E-2"/>
    <n v="1.1100000000000001"/>
    <n v="15.046666666666667"/>
    <n v="10.199970462265544"/>
  </r>
  <r>
    <x v="206"/>
    <x v="1"/>
    <x v="1"/>
    <x v="1"/>
    <x v="5"/>
    <n v="110940"/>
    <n v="6512"/>
    <n v="9181.92"/>
    <n v="108"/>
    <n v="14612.87"/>
    <n v="5.8698395529114836E-2"/>
    <n v="1.41"/>
    <n v="85.017777777777781"/>
    <n v="1.5914830449404918"/>
  </r>
  <r>
    <x v="227"/>
    <x v="2"/>
    <x v="0"/>
    <x v="4"/>
    <x v="1"/>
    <n v="91332"/>
    <n v="3762"/>
    <n v="2445.3000000000002"/>
    <n v="125"/>
    <n v="31285.11"/>
    <n v="4.1190382341348052E-2"/>
    <n v="0.65"/>
    <n v="19.5624"/>
    <n v="12.793976199239356"/>
  </r>
  <r>
    <x v="126"/>
    <x v="1"/>
    <x v="1"/>
    <x v="1"/>
    <x v="0"/>
    <n v="149526"/>
    <n v="4321"/>
    <n v="3370.38"/>
    <n v="120"/>
    <n v="25118.55"/>
    <n v="2.8897984297045331E-2"/>
    <n v="0.78"/>
    <n v="28.086500000000001"/>
    <n v="7.4527352998771645"/>
  </r>
  <r>
    <x v="57"/>
    <x v="2"/>
    <x v="0"/>
    <x v="2"/>
    <x v="2"/>
    <n v="77746"/>
    <n v="2861"/>
    <n v="2975.44"/>
    <n v="82"/>
    <n v="21523.93"/>
    <n v="3.6799320865382144E-2"/>
    <n v="1.04"/>
    <n v="36.285853658536588"/>
    <n v="7.2338645712902965"/>
  </r>
  <r>
    <x v="8"/>
    <x v="0"/>
    <x v="1"/>
    <x v="2"/>
    <x v="1"/>
    <n v="105804"/>
    <n v="3110"/>
    <n v="3016.7"/>
    <n v="200"/>
    <n v="49067.29"/>
    <n v="2.93939737628067E-2"/>
    <n v="0.97"/>
    <n v="15.083499999999999"/>
    <n v="16.265220273809131"/>
  </r>
  <r>
    <x v="118"/>
    <x v="2"/>
    <x v="1"/>
    <x v="0"/>
    <x v="3"/>
    <n v="37599"/>
    <n v="1225"/>
    <n v="1592.5"/>
    <n v="73"/>
    <n v="19164.89"/>
    <n v="3.2580653740790978E-2"/>
    <n v="1.3"/>
    <n v="21.815068493150687"/>
    <n v="12.034467817896388"/>
  </r>
  <r>
    <x v="219"/>
    <x v="0"/>
    <x v="2"/>
    <x v="4"/>
    <x v="5"/>
    <n v="9791"/>
    <n v="519"/>
    <n v="2050.0500000000002"/>
    <n v="40"/>
    <n v="2255.2399999999998"/>
    <n v="5.300786436523338E-2"/>
    <n v="3.95"/>
    <n v="51.251250000000006"/>
    <n v="1.1000902417014218"/>
  </r>
  <r>
    <x v="13"/>
    <x v="0"/>
    <x v="0"/>
    <x v="2"/>
    <x v="2"/>
    <n v="34802"/>
    <n v="1708"/>
    <n v="4953.2"/>
    <n v="72"/>
    <n v="6827.25"/>
    <n v="4.9077639216137003E-2"/>
    <n v="2.9"/>
    <n v="68.794444444444437"/>
    <n v="1.3783513688120812"/>
  </r>
  <r>
    <x v="165"/>
    <x v="1"/>
    <x v="3"/>
    <x v="2"/>
    <x v="5"/>
    <n v="81394"/>
    <n v="5192"/>
    <n v="4880.4799999999996"/>
    <n v="253"/>
    <n v="41499.01"/>
    <n v="6.3788485637762002E-2"/>
    <n v="0.94"/>
    <n v="19.290434782608695"/>
    <n v="8.5030591253319354"/>
  </r>
  <r>
    <x v="82"/>
    <x v="0"/>
    <x v="2"/>
    <x v="4"/>
    <x v="3"/>
    <n v="101299"/>
    <n v="3504"/>
    <n v="6307.2"/>
    <n v="250"/>
    <n v="36776.35"/>
    <n v="3.4590667232647906E-2"/>
    <n v="1.8"/>
    <n v="25.2288"/>
    <n v="5.830852042110604"/>
  </r>
  <r>
    <x v="245"/>
    <x v="2"/>
    <x v="1"/>
    <x v="2"/>
    <x v="3"/>
    <n v="140431"/>
    <n v="1544"/>
    <n v="802.88"/>
    <n v="74"/>
    <n v="2904.54"/>
    <n v="1.0994723387286283E-2"/>
    <n v="0.52"/>
    <n v="10.849729729729729"/>
    <n v="3.6176514547628535"/>
  </r>
  <r>
    <x v="100"/>
    <x v="0"/>
    <x v="1"/>
    <x v="3"/>
    <x v="4"/>
    <n v="113368"/>
    <n v="5260"/>
    <n v="6890.6"/>
    <n v="168"/>
    <n v="8983.58"/>
    <n v="4.639757250723308E-2"/>
    <n v="1.31"/>
    <n v="41.015476190476193"/>
    <n v="1.3037442312715872"/>
  </r>
  <r>
    <x v="297"/>
    <x v="0"/>
    <x v="3"/>
    <x v="4"/>
    <x v="3"/>
    <n v="89263"/>
    <n v="3695"/>
    <n v="6540.15"/>
    <n v="155"/>
    <n v="19291.23"/>
    <n v="4.1394530768627535E-2"/>
    <n v="1.7699999999999998"/>
    <n v="42.194516129032259"/>
    <n v="2.9496617050067662"/>
  </r>
  <r>
    <x v="174"/>
    <x v="2"/>
    <x v="3"/>
    <x v="4"/>
    <x v="2"/>
    <n v="168947"/>
    <n v="4510"/>
    <n v="8749.4"/>
    <n v="179"/>
    <n v="48341.14"/>
    <n v="2.6694762262721446E-2"/>
    <n v="1.94"/>
    <n v="48.879329608938548"/>
    <n v="5.5250805769538482"/>
  </r>
  <r>
    <x v="55"/>
    <x v="1"/>
    <x v="0"/>
    <x v="1"/>
    <x v="0"/>
    <n v="139511"/>
    <n v="8384"/>
    <n v="11318.4"/>
    <n v="209"/>
    <n v="26357.3"/>
    <n v="6.0095619700238689E-2"/>
    <n v="1.3499999999999999"/>
    <n v="54.155023923444972"/>
    <n v="2.3287125388747527"/>
  </r>
  <r>
    <x v="294"/>
    <x v="0"/>
    <x v="0"/>
    <x v="0"/>
    <x v="1"/>
    <n v="25927"/>
    <n v="1501"/>
    <n v="1516.01"/>
    <n v="44"/>
    <n v="4091.03"/>
    <n v="5.7893315848343424E-2"/>
    <n v="1.01"/>
    <n v="34.454772727272726"/>
    <n v="2.6985508011160877"/>
  </r>
  <r>
    <x v="299"/>
    <x v="2"/>
    <x v="2"/>
    <x v="4"/>
    <x v="3"/>
    <n v="165322"/>
    <n v="4529"/>
    <n v="7835.17"/>
    <n v="167"/>
    <n v="38358.92"/>
    <n v="2.7395023045934601E-2"/>
    <n v="1.73"/>
    <n v="46.917185628742516"/>
    <n v="4.8957355105249789"/>
  </r>
  <r>
    <x v="94"/>
    <x v="2"/>
    <x v="1"/>
    <x v="2"/>
    <x v="5"/>
    <n v="149542"/>
    <n v="2497"/>
    <n v="2596.88"/>
    <n v="70"/>
    <n v="12612.87"/>
    <n v="1.6697650158483904E-2"/>
    <n v="1.04"/>
    <n v="37.098285714285716"/>
    <n v="4.856932164751548"/>
  </r>
  <r>
    <x v="300"/>
    <x v="2"/>
    <x v="1"/>
    <x v="2"/>
    <x v="1"/>
    <n v="20021"/>
    <n v="462"/>
    <n v="725.34"/>
    <n v="20"/>
    <n v="4554.08"/>
    <n v="2.3075770441036911E-2"/>
    <n v="1.57"/>
    <n v="36.267000000000003"/>
    <n v="6.278545233959246"/>
  </r>
  <r>
    <x v="214"/>
    <x v="0"/>
    <x v="2"/>
    <x v="3"/>
    <x v="0"/>
    <n v="31783"/>
    <n v="781"/>
    <n v="905.96"/>
    <n v="49"/>
    <n v="4886.84"/>
    <n v="2.4572884875562407E-2"/>
    <n v="1.1600000000000001"/>
    <n v="18.488979591836735"/>
    <n v="5.394101284824937"/>
  </r>
  <r>
    <x v="210"/>
    <x v="2"/>
    <x v="3"/>
    <x v="1"/>
    <x v="5"/>
    <n v="171020"/>
    <n v="2616"/>
    <n v="1151.04"/>
    <n v="41"/>
    <n v="9636.8799999999992"/>
    <n v="1.5296456554788914E-2"/>
    <n v="0.44"/>
    <n v="28.074146341463415"/>
    <n v="8.3723241590214066"/>
  </r>
  <r>
    <x v="301"/>
    <x v="0"/>
    <x v="2"/>
    <x v="0"/>
    <x v="6"/>
    <n v="31325"/>
    <n v="858"/>
    <n v="1818.96"/>
    <n v="43"/>
    <n v="2004.67"/>
    <n v="2.7390263367917E-2"/>
    <n v="2.12"/>
    <n v="42.301395348837211"/>
    <n v="1.1020968025685007"/>
  </r>
  <r>
    <x v="19"/>
    <x v="2"/>
    <x v="3"/>
    <x v="3"/>
    <x v="6"/>
    <n v="49134"/>
    <n v="1026"/>
    <n v="820.8"/>
    <n v="16"/>
    <n v="1025.05"/>
    <n v="2.0881670533642691E-2"/>
    <n v="0.79999999999999993"/>
    <n v="51.3"/>
    <n v="1.2488425925925926"/>
  </r>
  <r>
    <x v="302"/>
    <x v="0"/>
    <x v="3"/>
    <x v="3"/>
    <x v="5"/>
    <n v="114599"/>
    <n v="2028"/>
    <n v="4928.04"/>
    <n v="29"/>
    <n v="5366.72"/>
    <n v="1.7696489498163159E-2"/>
    <n v="2.4300000000000002"/>
    <n v="169.93241379310345"/>
    <n v="1.0890171346011803"/>
  </r>
  <r>
    <x v="60"/>
    <x v="2"/>
    <x v="1"/>
    <x v="0"/>
    <x v="1"/>
    <n v="198581"/>
    <n v="1985"/>
    <n v="3493.6"/>
    <n v="38"/>
    <n v="8029.71"/>
    <n v="9.9959210599201327E-3"/>
    <n v="1.76"/>
    <n v="91.936842105263153"/>
    <n v="2.2984056560567896"/>
  </r>
  <r>
    <x v="260"/>
    <x v="0"/>
    <x v="1"/>
    <x v="3"/>
    <x v="4"/>
    <n v="157890"/>
    <n v="9204"/>
    <n v="31017.48"/>
    <n v="321"/>
    <n v="10260.33"/>
    <n v="5.8293748812464373E-2"/>
    <n v="3.37"/>
    <n v="96.627663551401866"/>
    <n v="0.33079186316876807"/>
  </r>
  <r>
    <x v="76"/>
    <x v="0"/>
    <x v="0"/>
    <x v="1"/>
    <x v="3"/>
    <n v="161215"/>
    <n v="5948"/>
    <n v="13501.96"/>
    <n v="439"/>
    <n v="105685.25"/>
    <n v="3.6894829885556556E-2"/>
    <n v="2.27"/>
    <n v="30.756173120728928"/>
    <n v="7.8274006144293127"/>
  </r>
  <r>
    <x v="303"/>
    <x v="1"/>
    <x v="1"/>
    <x v="0"/>
    <x v="5"/>
    <n v="48147"/>
    <n v="3562"/>
    <n v="1496.04"/>
    <n v="163"/>
    <n v="41382.29"/>
    <n v="7.3981764180530457E-2"/>
    <n v="0.42"/>
    <n v="9.1781595092024535"/>
    <n v="27.661218951364937"/>
  </r>
  <r>
    <x v="76"/>
    <x v="2"/>
    <x v="1"/>
    <x v="1"/>
    <x v="2"/>
    <n v="90818"/>
    <n v="3287"/>
    <n v="2629.6"/>
    <n v="123"/>
    <n v="11242.68"/>
    <n v="3.619326565218349E-2"/>
    <n v="0.79999999999999993"/>
    <n v="21.378861788617886"/>
    <n v="4.275433526011561"/>
  </r>
  <r>
    <x v="192"/>
    <x v="0"/>
    <x v="1"/>
    <x v="3"/>
    <x v="5"/>
    <n v="118415"/>
    <n v="6500"/>
    <n v="11310"/>
    <n v="458"/>
    <n v="110383.15"/>
    <n v="5.4891694464383738E-2"/>
    <n v="1.74"/>
    <n v="24.694323144104803"/>
    <n v="9.7597833775419982"/>
  </r>
  <r>
    <x v="9"/>
    <x v="1"/>
    <x v="2"/>
    <x v="3"/>
    <x v="3"/>
    <n v="113886"/>
    <n v="4965"/>
    <n v="6653.1"/>
    <n v="141"/>
    <n v="24007.439999999999"/>
    <n v="4.3596227806754123E-2"/>
    <n v="1.34"/>
    <n v="47.185106382978724"/>
    <n v="3.6084592145015102"/>
  </r>
  <r>
    <x v="197"/>
    <x v="2"/>
    <x v="3"/>
    <x v="2"/>
    <x v="2"/>
    <n v="113668"/>
    <n v="2864"/>
    <n v="4496.4799999999996"/>
    <n v="81"/>
    <n v="6109.21"/>
    <n v="2.5196185381989655E-2"/>
    <n v="1.5699999999999998"/>
    <n v="55.512098765432093"/>
    <n v="1.358665000177917"/>
  </r>
  <r>
    <x v="170"/>
    <x v="2"/>
    <x v="2"/>
    <x v="2"/>
    <x v="6"/>
    <n v="76880"/>
    <n v="1798"/>
    <n v="2121.64"/>
    <n v="91"/>
    <n v="8926.11"/>
    <n v="2.3387096774193549E-2"/>
    <n v="1.18"/>
    <n v="23.314725274725273"/>
    <n v="4.2071746384872082"/>
  </r>
  <r>
    <x v="64"/>
    <x v="0"/>
    <x v="0"/>
    <x v="1"/>
    <x v="6"/>
    <n v="138438"/>
    <n v="4734"/>
    <n v="16758.36"/>
    <n v="191"/>
    <n v="38220.879999999997"/>
    <n v="3.4195813288259005E-2"/>
    <n v="3.54"/>
    <n v="87.740104712041884"/>
    <n v="2.2807052718762453"/>
  </r>
  <r>
    <x v="251"/>
    <x v="0"/>
    <x v="0"/>
    <x v="4"/>
    <x v="3"/>
    <n v="34764"/>
    <n v="1251"/>
    <n v="1038.33"/>
    <n v="83"/>
    <n v="3361.16"/>
    <n v="3.5985502243700382E-2"/>
    <n v="0.83"/>
    <n v="12.51"/>
    <n v="3.2370826230581802"/>
  </r>
  <r>
    <x v="104"/>
    <x v="2"/>
    <x v="1"/>
    <x v="0"/>
    <x v="4"/>
    <n v="61387"/>
    <n v="1608"/>
    <n v="3360.72"/>
    <n v="96"/>
    <n v="12312.27"/>
    <n v="2.619447114209849E-2"/>
    <n v="2.09"/>
    <n v="35.0075"/>
    <n v="3.6635810183532103"/>
  </r>
  <r>
    <x v="17"/>
    <x v="1"/>
    <x v="2"/>
    <x v="3"/>
    <x v="0"/>
    <n v="139607"/>
    <n v="10289"/>
    <n v="9362.99"/>
    <n v="580"/>
    <n v="94107.07"/>
    <n v="7.3699742849570579E-2"/>
    <n v="0.91"/>
    <n v="16.143086206896552"/>
    <n v="10.050963420873034"/>
  </r>
  <r>
    <x v="304"/>
    <x v="2"/>
    <x v="2"/>
    <x v="1"/>
    <x v="1"/>
    <n v="48271"/>
    <n v="1182"/>
    <n v="2293.08"/>
    <n v="30"/>
    <n v="2529.5"/>
    <n v="2.4486751880010774E-2"/>
    <n v="1.94"/>
    <n v="76.435999999999993"/>
    <n v="1.1031015053988522"/>
  </r>
  <r>
    <x v="253"/>
    <x v="1"/>
    <x v="0"/>
    <x v="1"/>
    <x v="6"/>
    <n v="181833"/>
    <n v="10018"/>
    <n v="4808.6400000000003"/>
    <n v="686"/>
    <n v="153650.81"/>
    <n v="5.5094509797451507E-2"/>
    <n v="0.48000000000000004"/>
    <n v="7.0096793002915456"/>
    <n v="31.953069890863109"/>
  </r>
  <r>
    <x v="92"/>
    <x v="2"/>
    <x v="1"/>
    <x v="4"/>
    <x v="2"/>
    <n v="83678"/>
    <n v="2761"/>
    <n v="4583.26"/>
    <n v="35"/>
    <n v="4630.4799999999996"/>
    <n v="3.2995530485910272E-2"/>
    <n v="1.6600000000000001"/>
    <n v="130.95028571428571"/>
    <n v="1.0103027102979101"/>
  </r>
  <r>
    <x v="278"/>
    <x v="0"/>
    <x v="0"/>
    <x v="3"/>
    <x v="6"/>
    <n v="32898"/>
    <n v="1743"/>
    <n v="2039.31"/>
    <n v="130"/>
    <n v="31968.71"/>
    <n v="5.2981944191136242E-2"/>
    <n v="1.17"/>
    <n v="15.686999999999999"/>
    <n v="15.676238531660218"/>
  </r>
  <r>
    <x v="288"/>
    <x v="2"/>
    <x v="0"/>
    <x v="2"/>
    <x v="3"/>
    <n v="36153"/>
    <n v="882"/>
    <n v="1481.76"/>
    <n v="62"/>
    <n v="16744.05"/>
    <n v="2.439631565845158E-2"/>
    <n v="1.68"/>
    <n v="23.899354838709677"/>
    <n v="11.300109329446064"/>
  </r>
  <r>
    <x v="305"/>
    <x v="2"/>
    <x v="0"/>
    <x v="2"/>
    <x v="2"/>
    <n v="140372"/>
    <n v="4548"/>
    <n v="6549.12"/>
    <n v="125"/>
    <n v="23552.19"/>
    <n v="3.2399623856609577E-2"/>
    <n v="1.44"/>
    <n v="52.392960000000002"/>
    <n v="3.5962373570800352"/>
  </r>
  <r>
    <x v="232"/>
    <x v="1"/>
    <x v="1"/>
    <x v="3"/>
    <x v="0"/>
    <n v="196889"/>
    <n v="9568"/>
    <n v="8898.24"/>
    <n v="137"/>
    <n v="34964.660000000003"/>
    <n v="4.8595909370254306E-2"/>
    <n v="0.92999999999999994"/>
    <n v="64.950656934306565"/>
    <n v="3.9293905311612187"/>
  </r>
  <r>
    <x v="306"/>
    <x v="1"/>
    <x v="3"/>
    <x v="1"/>
    <x v="1"/>
    <n v="77467"/>
    <n v="3300"/>
    <n v="3333"/>
    <n v="180"/>
    <n v="42781.66"/>
    <n v="4.2598783998347683E-2"/>
    <n v="1.01"/>
    <n v="18.516666666666666"/>
    <n v="12.835781578157818"/>
  </r>
  <r>
    <x v="306"/>
    <x v="0"/>
    <x v="2"/>
    <x v="0"/>
    <x v="0"/>
    <n v="29016"/>
    <n v="1088"/>
    <n v="2241.2800000000002"/>
    <n v="56"/>
    <n v="9936.27"/>
    <n v="3.7496553625585884E-2"/>
    <n v="2.06"/>
    <n v="40.022857142857148"/>
    <n v="4.4333015062821239"/>
  </r>
  <r>
    <x v="307"/>
    <x v="2"/>
    <x v="2"/>
    <x v="2"/>
    <x v="4"/>
    <n v="117200"/>
    <n v="1699"/>
    <n v="3296.06"/>
    <n v="113"/>
    <n v="30970.48"/>
    <n v="1.4496587030716724E-2"/>
    <n v="1.94"/>
    <n v="29.168672566371679"/>
    <n v="9.3962124475889404"/>
  </r>
  <r>
    <x v="131"/>
    <x v="0"/>
    <x v="2"/>
    <x v="3"/>
    <x v="3"/>
    <n v="134157"/>
    <n v="3407"/>
    <n v="8210.8700000000008"/>
    <n v="147"/>
    <n v="41434.67"/>
    <n v="2.5395618566306642E-2"/>
    <n v="2.41"/>
    <n v="55.856258503401364"/>
    <n v="5.0463190867715593"/>
  </r>
  <r>
    <x v="62"/>
    <x v="0"/>
    <x v="3"/>
    <x v="0"/>
    <x v="5"/>
    <n v="161434"/>
    <n v="6328"/>
    <n v="4872.5600000000004"/>
    <n v="263"/>
    <n v="25426.86"/>
    <n v="3.9198681814239876E-2"/>
    <n v="0.77"/>
    <n v="18.52684410646388"/>
    <n v="5.2183780189469191"/>
  </r>
  <r>
    <x v="72"/>
    <x v="1"/>
    <x v="2"/>
    <x v="3"/>
    <x v="4"/>
    <n v="62888"/>
    <n v="3307"/>
    <n v="2017.27"/>
    <n v="55"/>
    <n v="12898.32"/>
    <n v="5.258554891235212E-2"/>
    <n v="0.61"/>
    <n v="36.67763636363636"/>
    <n v="6.3939482568025099"/>
  </r>
  <r>
    <x v="59"/>
    <x v="0"/>
    <x v="1"/>
    <x v="3"/>
    <x v="4"/>
    <n v="108187"/>
    <n v="2423"/>
    <n v="6469.41"/>
    <n v="179"/>
    <n v="29012.87"/>
    <n v="2.2396406222559086E-2"/>
    <n v="2.67"/>
    <n v="36.14195530726257"/>
    <n v="4.4846237910412228"/>
  </r>
  <r>
    <x v="182"/>
    <x v="2"/>
    <x v="0"/>
    <x v="4"/>
    <x v="4"/>
    <n v="199363"/>
    <n v="3847"/>
    <n v="3462.3"/>
    <n v="73"/>
    <n v="11133.49"/>
    <n v="1.9296459222624057E-2"/>
    <n v="0.9"/>
    <n v="47.42876712328767"/>
    <n v="3.2156341160500244"/>
  </r>
  <r>
    <x v="57"/>
    <x v="2"/>
    <x v="1"/>
    <x v="3"/>
    <x v="6"/>
    <n v="59160"/>
    <n v="958"/>
    <n v="958"/>
    <n v="35"/>
    <n v="7848.99"/>
    <n v="1.6193373901284652E-2"/>
    <n v="1"/>
    <n v="27.37142857142857"/>
    <n v="8.1931002087682678"/>
  </r>
  <r>
    <x v="253"/>
    <x v="0"/>
    <x v="2"/>
    <x v="4"/>
    <x v="6"/>
    <n v="78551"/>
    <n v="2411"/>
    <n v="8149.18"/>
    <n v="92"/>
    <n v="8262.09"/>
    <n v="3.069343483851256E-2"/>
    <n v="3.3800000000000003"/>
    <n v="88.578043478260867"/>
    <n v="1.0138553817684723"/>
  </r>
  <r>
    <x v="169"/>
    <x v="2"/>
    <x v="3"/>
    <x v="3"/>
    <x v="2"/>
    <n v="186711"/>
    <n v="7748"/>
    <n v="4493.84"/>
    <n v="536"/>
    <n v="89187.58"/>
    <n v="4.1497287251420642E-2"/>
    <n v="0.58000000000000007"/>
    <n v="8.3840298507462681"/>
    <n v="19.846630053584462"/>
  </r>
  <r>
    <x v="149"/>
    <x v="2"/>
    <x v="2"/>
    <x v="3"/>
    <x v="1"/>
    <n v="5528"/>
    <n v="108"/>
    <n v="218.16"/>
    <n v="7"/>
    <n v="2000.84"/>
    <n v="1.9536903039073805E-2"/>
    <n v="2.02"/>
    <n v="31.165714285714284"/>
    <n v="9.171433810047672"/>
  </r>
  <r>
    <x v="96"/>
    <x v="0"/>
    <x v="2"/>
    <x v="3"/>
    <x v="4"/>
    <n v="144535"/>
    <n v="7588"/>
    <n v="23522.799999999999"/>
    <n v="445"/>
    <n v="105358.98"/>
    <n v="5.2499394610302001E-2"/>
    <n v="3.1"/>
    <n v="52.860224719101119"/>
    <n v="4.4790152532861738"/>
  </r>
  <r>
    <x v="233"/>
    <x v="2"/>
    <x v="0"/>
    <x v="4"/>
    <x v="0"/>
    <n v="8188"/>
    <n v="272"/>
    <n v="315.52"/>
    <n v="14"/>
    <n v="3745.84"/>
    <n v="3.321934538348803E-2"/>
    <n v="1.1599999999999999"/>
    <n v="22.537142857142857"/>
    <n v="11.871957403651116"/>
  </r>
  <r>
    <x v="261"/>
    <x v="0"/>
    <x v="3"/>
    <x v="0"/>
    <x v="4"/>
    <n v="71151"/>
    <n v="4368"/>
    <n v="14108.64"/>
    <n v="202"/>
    <n v="51341.85"/>
    <n v="6.1390563730657335E-2"/>
    <n v="3.23"/>
    <n v="69.844752475247518"/>
    <n v="3.6390360800190522"/>
  </r>
  <r>
    <x v="36"/>
    <x v="2"/>
    <x v="2"/>
    <x v="1"/>
    <x v="3"/>
    <n v="171797"/>
    <n v="5153"/>
    <n v="2782.62"/>
    <n v="255"/>
    <n v="52673.17"/>
    <n v="2.9994703050693551E-2"/>
    <n v="0.53999999999999992"/>
    <n v="10.912235294117647"/>
    <n v="18.929343568291753"/>
  </r>
  <r>
    <x v="106"/>
    <x v="1"/>
    <x v="0"/>
    <x v="1"/>
    <x v="6"/>
    <n v="173050"/>
    <n v="8565"/>
    <n v="5909.85"/>
    <n v="414"/>
    <n v="118511.79"/>
    <n v="4.9494365790234036E-2"/>
    <n v="0.69000000000000006"/>
    <n v="14.275"/>
    <n v="20.053265311302315"/>
  </r>
  <r>
    <x v="156"/>
    <x v="1"/>
    <x v="1"/>
    <x v="4"/>
    <x v="4"/>
    <n v="178269"/>
    <n v="8646"/>
    <n v="5446.98"/>
    <n v="93"/>
    <n v="10627.54"/>
    <n v="4.8499739158238395E-2"/>
    <n v="0.63"/>
    <n v="58.569677419354832"/>
    <n v="1.9510884930732262"/>
  </r>
  <r>
    <x v="172"/>
    <x v="0"/>
    <x v="3"/>
    <x v="4"/>
    <x v="0"/>
    <n v="164028"/>
    <n v="5905"/>
    <n v="5905"/>
    <n v="377"/>
    <n v="25718.59"/>
    <n v="3.5999951227839153E-2"/>
    <n v="1"/>
    <n v="15.663129973474801"/>
    <n v="4.3553920406435225"/>
  </r>
  <r>
    <x v="225"/>
    <x v="1"/>
    <x v="1"/>
    <x v="2"/>
    <x v="6"/>
    <n v="184504"/>
    <n v="15479"/>
    <n v="12383.2"/>
    <n v="538"/>
    <n v="112251.74"/>
    <n v="8.3895200104062789E-2"/>
    <n v="0.8"/>
    <n v="23.017100371747212"/>
    <n v="9.0648410750048445"/>
  </r>
  <r>
    <x v="292"/>
    <x v="1"/>
    <x v="2"/>
    <x v="2"/>
    <x v="5"/>
    <n v="119515"/>
    <n v="6824"/>
    <n v="5868.64"/>
    <n v="89"/>
    <n v="25992.880000000001"/>
    <n v="5.7097435468351256E-2"/>
    <n v="0.8600000000000001"/>
    <n v="65.939775280898886"/>
    <n v="4.4291147523105865"/>
  </r>
  <r>
    <x v="263"/>
    <x v="2"/>
    <x v="0"/>
    <x v="1"/>
    <x v="2"/>
    <n v="108591"/>
    <n v="2084"/>
    <n v="4501.4399999999996"/>
    <n v="31"/>
    <n v="6469.19"/>
    <n v="1.9191277361843985E-2"/>
    <n v="2.1599999999999997"/>
    <n v="145.20774193548385"/>
    <n v="1.4371378936518093"/>
  </r>
  <r>
    <x v="150"/>
    <x v="2"/>
    <x v="2"/>
    <x v="1"/>
    <x v="1"/>
    <n v="68472"/>
    <n v="2601"/>
    <n v="3589.38"/>
    <n v="63"/>
    <n v="17508.47"/>
    <n v="3.7986330178759201E-2"/>
    <n v="1.3800000000000001"/>
    <n v="56.974285714285713"/>
    <n v="4.8778535568816901"/>
  </r>
  <r>
    <x v="178"/>
    <x v="1"/>
    <x v="2"/>
    <x v="0"/>
    <x v="2"/>
    <n v="170201"/>
    <n v="7931"/>
    <n v="8327.5499999999993"/>
    <n v="182"/>
    <n v="10360.549999999999"/>
    <n v="4.6597846076110012E-2"/>
    <n v="1.0499999999999998"/>
    <n v="45.755769230769225"/>
    <n v="1.2441294258215201"/>
  </r>
  <r>
    <x v="161"/>
    <x v="0"/>
    <x v="1"/>
    <x v="1"/>
    <x v="6"/>
    <n v="92340"/>
    <n v="2502"/>
    <n v="4903.92"/>
    <n v="153"/>
    <n v="27593.24"/>
    <n v="2.709551656920078E-2"/>
    <n v="1.96"/>
    <n v="32.051764705882356"/>
    <n v="5.6267720517463582"/>
  </r>
  <r>
    <x v="88"/>
    <x v="1"/>
    <x v="0"/>
    <x v="3"/>
    <x v="2"/>
    <n v="136940"/>
    <n v="4683"/>
    <n v="3231.27"/>
    <n v="137"/>
    <n v="12153.39"/>
    <n v="3.4197458741054475E-2"/>
    <n v="0.69"/>
    <n v="23.585912408759125"/>
    <n v="3.7611805884373637"/>
  </r>
  <r>
    <x v="112"/>
    <x v="0"/>
    <x v="0"/>
    <x v="1"/>
    <x v="6"/>
    <n v="106311"/>
    <n v="5762"/>
    <n v="5301.04"/>
    <n v="434"/>
    <n v="55571.88"/>
    <n v="5.4199471362323746E-2"/>
    <n v="0.92"/>
    <n v="12.214377880184331"/>
    <n v="10.483203295957018"/>
  </r>
  <r>
    <x v="308"/>
    <x v="1"/>
    <x v="2"/>
    <x v="4"/>
    <x v="4"/>
    <n v="120016"/>
    <n v="3336"/>
    <n v="4436.88"/>
    <n v="43"/>
    <n v="5864.19"/>
    <n v="2.7796293827489667E-2"/>
    <n v="1.33"/>
    <n v="103.18325581395349"/>
    <n v="1.3216922702439551"/>
  </r>
  <r>
    <x v="309"/>
    <x v="2"/>
    <x v="3"/>
    <x v="3"/>
    <x v="3"/>
    <n v="193946"/>
    <n v="7854"/>
    <n v="14844.06"/>
    <n v="461"/>
    <n v="86871.54"/>
    <n v="4.0495808111536198E-2"/>
    <n v="1.89"/>
    <n v="32.199696312364424"/>
    <n v="5.8522762640409693"/>
  </r>
  <r>
    <x v="228"/>
    <x v="1"/>
    <x v="2"/>
    <x v="4"/>
    <x v="6"/>
    <n v="138780"/>
    <n v="4135"/>
    <n v="3514.75"/>
    <n v="86"/>
    <n v="7373.66"/>
    <n v="2.9795359561896526E-2"/>
    <n v="0.85"/>
    <n v="40.869186046511629"/>
    <n v="2.097918770894089"/>
  </r>
  <r>
    <x v="167"/>
    <x v="2"/>
    <x v="3"/>
    <x v="3"/>
    <x v="1"/>
    <n v="51365"/>
    <n v="873"/>
    <n v="611.1"/>
    <n v="19"/>
    <n v="2655.69"/>
    <n v="1.6996008955514456E-2"/>
    <n v="0.70000000000000007"/>
    <n v="32.163157894736841"/>
    <n v="4.3457535591556207"/>
  </r>
  <r>
    <x v="36"/>
    <x v="0"/>
    <x v="2"/>
    <x v="2"/>
    <x v="1"/>
    <n v="185903"/>
    <n v="4647"/>
    <n v="13755.12"/>
    <n v="342"/>
    <n v="58276.63"/>
    <n v="2.499690698912874E-2"/>
    <n v="2.96"/>
    <n v="40.21964912280702"/>
    <n v="4.2367227621423869"/>
  </r>
  <r>
    <x v="124"/>
    <x v="1"/>
    <x v="3"/>
    <x v="3"/>
    <x v="6"/>
    <n v="61232"/>
    <n v="2951"/>
    <n v="2213.25"/>
    <n v="51"/>
    <n v="15061.62"/>
    <n v="4.8193754899399005E-2"/>
    <n v="0.75"/>
    <n v="43.397058823529413"/>
    <n v="6.8052050152490686"/>
  </r>
  <r>
    <x v="151"/>
    <x v="1"/>
    <x v="3"/>
    <x v="3"/>
    <x v="2"/>
    <n v="122286"/>
    <n v="7642"/>
    <n v="11233.74"/>
    <n v="201"/>
    <n v="60002.91"/>
    <n v="6.2492844642886347E-2"/>
    <n v="1.47"/>
    <n v="55.889253731343281"/>
    <n v="5.3413119762429968"/>
  </r>
  <r>
    <x v="36"/>
    <x v="1"/>
    <x v="2"/>
    <x v="2"/>
    <x v="1"/>
    <n v="60114"/>
    <n v="4917"/>
    <n v="6637.95"/>
    <n v="279"/>
    <n v="15410.94"/>
    <n v="8.1794590278470899E-2"/>
    <n v="1.3499999999999999"/>
    <n v="23.791935483870969"/>
    <n v="2.3216414706347592"/>
  </r>
  <r>
    <x v="310"/>
    <x v="2"/>
    <x v="3"/>
    <x v="2"/>
    <x v="6"/>
    <n v="124004"/>
    <n v="2083"/>
    <n v="3145.33"/>
    <n v="49"/>
    <n v="9959.3700000000008"/>
    <n v="1.6797845230799007E-2"/>
    <n v="1.51"/>
    <n v="64.190408163265303"/>
    <n v="3.1663990741829955"/>
  </r>
  <r>
    <x v="217"/>
    <x v="1"/>
    <x v="0"/>
    <x v="4"/>
    <x v="1"/>
    <n v="168322"/>
    <n v="4965"/>
    <n v="4518.1499999999996"/>
    <n v="228"/>
    <n v="49052.14"/>
    <n v="2.9497035443970487E-2"/>
    <n v="0.90999999999999992"/>
    <n v="19.816447368421052"/>
    <n v="10.856686918318339"/>
  </r>
  <r>
    <x v="97"/>
    <x v="2"/>
    <x v="3"/>
    <x v="2"/>
    <x v="3"/>
    <n v="113957"/>
    <n v="3008"/>
    <n v="7008.64"/>
    <n v="127"/>
    <n v="17960.45"/>
    <n v="2.6395921268548662E-2"/>
    <n v="2.33"/>
    <n v="55.186141732283467"/>
    <n v="2.5626155716372936"/>
  </r>
  <r>
    <x v="310"/>
    <x v="0"/>
    <x v="0"/>
    <x v="3"/>
    <x v="2"/>
    <n v="137290"/>
    <n v="5011"/>
    <n v="7817.16"/>
    <n v="323"/>
    <n v="28440.57"/>
    <n v="3.649938087260543E-2"/>
    <n v="1.56"/>
    <n v="24.201733746130031"/>
    <n v="3.6382228328446646"/>
  </r>
  <r>
    <x v="95"/>
    <x v="2"/>
    <x v="1"/>
    <x v="0"/>
    <x v="0"/>
    <n v="12253"/>
    <n v="468"/>
    <n v="360.36"/>
    <n v="9"/>
    <n v="1433.96"/>
    <n v="3.8194727821757937E-2"/>
    <n v="0.77"/>
    <n v="40.04"/>
    <n v="3.9792429792429793"/>
  </r>
  <r>
    <x v="172"/>
    <x v="0"/>
    <x v="1"/>
    <x v="1"/>
    <x v="6"/>
    <n v="109216"/>
    <n v="5777"/>
    <n v="17677.62"/>
    <n v="140"/>
    <n v="11237.04"/>
    <n v="5.2895180193378258E-2"/>
    <n v="3.0599999999999996"/>
    <n v="126.26871428571428"/>
    <n v="0.63566475577594728"/>
  </r>
  <r>
    <x v="296"/>
    <x v="0"/>
    <x v="2"/>
    <x v="0"/>
    <x v="4"/>
    <n v="166215"/>
    <n v="9158"/>
    <n v="6593.76"/>
    <n v="112"/>
    <n v="29121.09"/>
    <n v="5.5097313720181694E-2"/>
    <n v="0.72"/>
    <n v="58.872857142857143"/>
    <n v="4.416461927640678"/>
  </r>
  <r>
    <x v="45"/>
    <x v="2"/>
    <x v="2"/>
    <x v="3"/>
    <x v="5"/>
    <n v="140678"/>
    <n v="5655"/>
    <n v="11705.85"/>
    <n v="154"/>
    <n v="7932.09"/>
    <n v="4.0198183084775158E-2"/>
    <n v="2.0700000000000003"/>
    <n v="76.012012987012994"/>
    <n v="0.67761760145568239"/>
  </r>
  <r>
    <x v="128"/>
    <x v="0"/>
    <x v="0"/>
    <x v="4"/>
    <x v="0"/>
    <n v="176066"/>
    <n v="5264"/>
    <n v="8317.1200000000008"/>
    <n v="119"/>
    <n v="28182.41"/>
    <n v="2.9897879204389265E-2"/>
    <n v="1.58"/>
    <n v="69.891764705882366"/>
    <n v="3.3884818302489319"/>
  </r>
  <r>
    <x v="57"/>
    <x v="0"/>
    <x v="0"/>
    <x v="2"/>
    <x v="4"/>
    <n v="59418"/>
    <n v="1996"/>
    <n v="3293.4"/>
    <n v="80"/>
    <n v="3528.5"/>
    <n v="3.3592514052980575E-2"/>
    <n v="1.6500000000000001"/>
    <n v="41.167500000000004"/>
    <n v="1.0713851946316877"/>
  </r>
  <r>
    <x v="232"/>
    <x v="0"/>
    <x v="0"/>
    <x v="1"/>
    <x v="0"/>
    <n v="143183"/>
    <n v="5784"/>
    <n v="4974.24"/>
    <n v="432"/>
    <n v="88233.11"/>
    <n v="4.039585705006879E-2"/>
    <n v="0.86"/>
    <n v="11.514444444444443"/>
    <n v="17.738008218340894"/>
  </r>
  <r>
    <x v="128"/>
    <x v="2"/>
    <x v="2"/>
    <x v="4"/>
    <x v="5"/>
    <n v="194059"/>
    <n v="3434"/>
    <n v="4670.24"/>
    <n v="193"/>
    <n v="7460.79"/>
    <n v="1.769564926130713E-2"/>
    <n v="1.3599999999999999"/>
    <n v="24.198134715025905"/>
    <n v="1.5975174723354688"/>
  </r>
  <r>
    <x v="203"/>
    <x v="0"/>
    <x v="2"/>
    <x v="3"/>
    <x v="0"/>
    <n v="98899"/>
    <n v="2185"/>
    <n v="6904.6"/>
    <n v="171"/>
    <n v="45859.64"/>
    <n v="2.20932466455677E-2"/>
    <n v="3.16"/>
    <n v="40.37777777777778"/>
    <n v="6.6418967065434638"/>
  </r>
  <r>
    <x v="209"/>
    <x v="2"/>
    <x v="0"/>
    <x v="4"/>
    <x v="1"/>
    <n v="129494"/>
    <n v="1631"/>
    <n v="3490.34"/>
    <n v="108"/>
    <n v="28288.04"/>
    <n v="1.2595178154972431E-2"/>
    <n v="2.14"/>
    <n v="32.317962962962966"/>
    <n v="8.1046660210753103"/>
  </r>
  <r>
    <x v="296"/>
    <x v="1"/>
    <x v="2"/>
    <x v="3"/>
    <x v="0"/>
    <n v="191443"/>
    <n v="6872"/>
    <n v="11476.24"/>
    <n v="422"/>
    <n v="108198.8"/>
    <n v="3.5895801883589373E-2"/>
    <n v="1.67"/>
    <n v="27.194881516587678"/>
    <n v="9.4280705178699655"/>
  </r>
  <r>
    <x v="19"/>
    <x v="1"/>
    <x v="0"/>
    <x v="3"/>
    <x v="6"/>
    <n v="61950"/>
    <n v="4076"/>
    <n v="1222.8"/>
    <n v="97"/>
    <n v="26763.8"/>
    <n v="6.5794995964487485E-2"/>
    <n v="0.3"/>
    <n v="12.606185567010309"/>
    <n v="21.887307818122341"/>
  </r>
  <r>
    <x v="142"/>
    <x v="0"/>
    <x v="2"/>
    <x v="3"/>
    <x v="1"/>
    <n v="34605"/>
    <n v="809"/>
    <n v="1423.84"/>
    <n v="40"/>
    <n v="5146.88"/>
    <n v="2.3378124548475654E-2"/>
    <n v="1.76"/>
    <n v="35.595999999999997"/>
    <n v="3.6147881784470166"/>
  </r>
  <r>
    <x v="311"/>
    <x v="1"/>
    <x v="2"/>
    <x v="0"/>
    <x v="0"/>
    <n v="127790"/>
    <n v="7015"/>
    <n v="8628.4500000000007"/>
    <n v="422"/>
    <n v="90118.48"/>
    <n v="5.4894749197902812E-2"/>
    <n v="1.2300000000000002"/>
    <n v="20.446563981042654"/>
    <n v="10.444341683616408"/>
  </r>
  <r>
    <x v="312"/>
    <x v="1"/>
    <x v="0"/>
    <x v="2"/>
    <x v="3"/>
    <n v="96310"/>
    <n v="6905"/>
    <n v="8838.4"/>
    <n v="247"/>
    <n v="8632.99"/>
    <n v="7.1695566400166125E-2"/>
    <n v="1.28"/>
    <n v="35.782995951417"/>
    <n v="0.97675936821144105"/>
  </r>
  <r>
    <x v="24"/>
    <x v="0"/>
    <x v="2"/>
    <x v="0"/>
    <x v="5"/>
    <n v="197589"/>
    <n v="4781"/>
    <n v="7649.6"/>
    <n v="225"/>
    <n v="12329.91"/>
    <n v="2.4196691111347292E-2"/>
    <n v="1.6"/>
    <n v="33.998222222222225"/>
    <n v="1.6118372202468101"/>
  </r>
  <r>
    <x v="103"/>
    <x v="2"/>
    <x v="1"/>
    <x v="4"/>
    <x v="2"/>
    <n v="118566"/>
    <n v="3711"/>
    <n v="4193.43"/>
    <n v="58"/>
    <n v="14643.53"/>
    <n v="3.1299023328778909E-2"/>
    <n v="1.1300000000000001"/>
    <n v="72.30051724137931"/>
    <n v="3.4920172746415226"/>
  </r>
  <r>
    <x v="136"/>
    <x v="2"/>
    <x v="2"/>
    <x v="2"/>
    <x v="3"/>
    <n v="199451"/>
    <n v="3989"/>
    <n v="5105.92"/>
    <n v="110"/>
    <n v="8236.16"/>
    <n v="1.9999899724744422E-2"/>
    <n v="1.28"/>
    <n v="46.417454545454547"/>
    <n v="1.6130609175231887"/>
  </r>
  <r>
    <x v="114"/>
    <x v="0"/>
    <x v="3"/>
    <x v="3"/>
    <x v="0"/>
    <n v="88251"/>
    <n v="5965"/>
    <n v="4891.3"/>
    <n v="133"/>
    <n v="14897.06"/>
    <n v="6.7591302081562818E-2"/>
    <n v="0.82000000000000006"/>
    <n v="36.776691729323311"/>
    <n v="3.0456238627767669"/>
  </r>
  <r>
    <x v="252"/>
    <x v="0"/>
    <x v="3"/>
    <x v="0"/>
    <x v="4"/>
    <n v="55406"/>
    <n v="2648"/>
    <n v="5031.2"/>
    <n v="149"/>
    <n v="22127.3"/>
    <n v="4.7792657834891526E-2"/>
    <n v="1.9"/>
    <n v="33.766442953020132"/>
    <n v="4.3980163778025121"/>
  </r>
  <r>
    <x v="313"/>
    <x v="1"/>
    <x v="3"/>
    <x v="0"/>
    <x v="6"/>
    <n v="141447"/>
    <n v="9873"/>
    <n v="13723.47"/>
    <n v="588"/>
    <n v="86774.51"/>
    <n v="6.979999575812848E-2"/>
    <n v="1.39"/>
    <n v="23.33923469387755"/>
    <n v="6.3230735375236726"/>
  </r>
  <r>
    <x v="314"/>
    <x v="0"/>
    <x v="1"/>
    <x v="1"/>
    <x v="1"/>
    <n v="73591"/>
    <n v="2649"/>
    <n v="7496.67"/>
    <n v="161"/>
    <n v="45161.9"/>
    <n v="3.599624954138414E-2"/>
    <n v="2.83"/>
    <n v="46.563167701863357"/>
    <n v="6.0242614387454694"/>
  </r>
  <r>
    <x v="209"/>
    <x v="0"/>
    <x v="1"/>
    <x v="0"/>
    <x v="5"/>
    <n v="66477"/>
    <n v="2718"/>
    <n v="7773.48"/>
    <n v="160"/>
    <n v="16856.48"/>
    <n v="4.0886321584909069E-2"/>
    <n v="2.86"/>
    <n v="48.584249999999997"/>
    <n v="2.1684599432943803"/>
  </r>
  <r>
    <x v="137"/>
    <x v="2"/>
    <x v="1"/>
    <x v="4"/>
    <x v="0"/>
    <n v="196386"/>
    <n v="6794"/>
    <n v="5503.14"/>
    <n v="506"/>
    <n v="34412.06"/>
    <n v="3.4595134072693573E-2"/>
    <n v="0.81"/>
    <n v="10.875770750988142"/>
    <n v="6.2531681912508121"/>
  </r>
  <r>
    <x v="113"/>
    <x v="0"/>
    <x v="3"/>
    <x v="0"/>
    <x v="4"/>
    <n v="78927"/>
    <n v="3172"/>
    <n v="10150.4"/>
    <n v="62"/>
    <n v="7568.63"/>
    <n v="4.018903543780962E-2"/>
    <n v="3.1999999999999997"/>
    <n v="163.71612903225807"/>
    <n v="0.74564844735182856"/>
  </r>
  <r>
    <x v="315"/>
    <x v="0"/>
    <x v="3"/>
    <x v="3"/>
    <x v="4"/>
    <n v="184857"/>
    <n v="3419"/>
    <n v="8786.83"/>
    <n v="248"/>
    <n v="70137.509999999995"/>
    <n v="1.8495377508019713E-2"/>
    <n v="2.57"/>
    <n v="35.430766129032257"/>
    <n v="7.982117555477914"/>
  </r>
  <r>
    <x v="245"/>
    <x v="1"/>
    <x v="3"/>
    <x v="1"/>
    <x v="5"/>
    <n v="122174"/>
    <n v="6499"/>
    <n v="5719.12"/>
    <n v="413"/>
    <n v="58791.38"/>
    <n v="5.3194624060765791E-2"/>
    <n v="0.88"/>
    <n v="13.84774818401937"/>
    <n v="10.27979479360461"/>
  </r>
  <r>
    <x v="179"/>
    <x v="0"/>
    <x v="0"/>
    <x v="3"/>
    <x v="3"/>
    <n v="108719"/>
    <n v="4207"/>
    <n v="13462.4"/>
    <n v="121"/>
    <n v="21018.47"/>
    <n v="3.8696088080280355E-2"/>
    <n v="3.1999999999999997"/>
    <n v="111.2595041322314"/>
    <n v="1.5612721357261707"/>
  </r>
  <r>
    <x v="142"/>
    <x v="2"/>
    <x v="2"/>
    <x v="2"/>
    <x v="6"/>
    <n v="186949"/>
    <n v="3140"/>
    <n v="1884"/>
    <n v="186"/>
    <n v="30294.1"/>
    <n v="1.6796024584244902E-2"/>
    <n v="0.6"/>
    <n v="10.129032258064516"/>
    <n v="16.079670912951165"/>
  </r>
  <r>
    <x v="294"/>
    <x v="0"/>
    <x v="1"/>
    <x v="4"/>
    <x v="1"/>
    <n v="193869"/>
    <n v="13124"/>
    <n v="38453.32"/>
    <n v="264"/>
    <n v="67604.89"/>
    <n v="6.7695196240760508E-2"/>
    <n v="2.93"/>
    <n v="145.65651515151515"/>
    <n v="1.7581028114087418"/>
  </r>
  <r>
    <x v="185"/>
    <x v="0"/>
    <x v="0"/>
    <x v="1"/>
    <x v="6"/>
    <n v="158535"/>
    <n v="3836"/>
    <n v="8285.76"/>
    <n v="120"/>
    <n v="12930.51"/>
    <n v="2.4196549657804271E-2"/>
    <n v="2.16"/>
    <n v="69.048000000000002"/>
    <n v="1.560570183061059"/>
  </r>
  <r>
    <x v="20"/>
    <x v="1"/>
    <x v="0"/>
    <x v="1"/>
    <x v="0"/>
    <n v="148949"/>
    <n v="12332"/>
    <n v="12455.32"/>
    <n v="546"/>
    <n v="95805.85"/>
    <n v="8.2793439365151836E-2"/>
    <n v="1.01"/>
    <n v="22.811941391941392"/>
    <n v="7.6919621495071988"/>
  </r>
  <r>
    <x v="128"/>
    <x v="0"/>
    <x v="3"/>
    <x v="0"/>
    <x v="2"/>
    <n v="184810"/>
    <n v="7447"/>
    <n v="23234.639999999999"/>
    <n v="334"/>
    <n v="51289.24"/>
    <n v="4.029543855851956E-2"/>
    <n v="3.12"/>
    <n v="69.564790419161682"/>
    <n v="2.2074471564870382"/>
  </r>
  <r>
    <x v="223"/>
    <x v="2"/>
    <x v="1"/>
    <x v="4"/>
    <x v="2"/>
    <n v="85989"/>
    <n v="997"/>
    <n v="1684.93"/>
    <n v="37"/>
    <n v="4865.84"/>
    <n v="1.159450627405831E-2"/>
    <n v="1.6900000000000002"/>
    <n v="45.538648648648653"/>
    <n v="2.8878588428005911"/>
  </r>
  <r>
    <x v="313"/>
    <x v="2"/>
    <x v="2"/>
    <x v="0"/>
    <x v="4"/>
    <n v="35755"/>
    <n v="654"/>
    <n v="1046.4000000000001"/>
    <n v="40"/>
    <n v="11846.71"/>
    <n v="1.829114809117606E-2"/>
    <n v="1.6"/>
    <n v="26.160000000000004"/>
    <n v="11.321397171253821"/>
  </r>
  <r>
    <x v="146"/>
    <x v="2"/>
    <x v="1"/>
    <x v="0"/>
    <x v="1"/>
    <n v="184298"/>
    <n v="7758"/>
    <n v="12024.9"/>
    <n v="351"/>
    <n v="91198.92"/>
    <n v="4.2094868094065048E-2"/>
    <n v="1.55"/>
    <n v="34.258974358974356"/>
    <n v="7.5841728413541905"/>
  </r>
  <r>
    <x v="180"/>
    <x v="2"/>
    <x v="1"/>
    <x v="3"/>
    <x v="5"/>
    <n v="22878"/>
    <n v="619"/>
    <n v="625.19000000000005"/>
    <n v="43"/>
    <n v="8615.57"/>
    <n v="2.7056560888189526E-2"/>
    <n v="1.01"/>
    <n v="14.539302325581396"/>
    <n v="13.780722660311264"/>
  </r>
  <r>
    <x v="28"/>
    <x v="2"/>
    <x v="0"/>
    <x v="0"/>
    <x v="1"/>
    <n v="151539"/>
    <n v="3455"/>
    <n v="7082.75"/>
    <n v="135"/>
    <n v="4666.78"/>
    <n v="2.2799411372649944E-2"/>
    <n v="2.0499999999999998"/>
    <n v="52.464814814814815"/>
    <n v="0.65889379125339731"/>
  </r>
  <r>
    <x v="89"/>
    <x v="0"/>
    <x v="3"/>
    <x v="2"/>
    <x v="6"/>
    <n v="180365"/>
    <n v="6114"/>
    <n v="21154.44"/>
    <n v="400"/>
    <n v="111623.05"/>
    <n v="3.3897929199123995E-2"/>
    <n v="3.46"/>
    <n v="52.886099999999999"/>
    <n v="5.2765778720684642"/>
  </r>
  <r>
    <x v="257"/>
    <x v="2"/>
    <x v="1"/>
    <x v="0"/>
    <x v="6"/>
    <n v="30168"/>
    <n v="1080"/>
    <n v="496.8"/>
    <n v="34"/>
    <n v="5163.2700000000004"/>
    <n v="3.5799522673031027E-2"/>
    <n v="0.46"/>
    <n v="14.611764705882353"/>
    <n v="10.393055555555556"/>
  </r>
  <r>
    <x v="236"/>
    <x v="0"/>
    <x v="3"/>
    <x v="0"/>
    <x v="0"/>
    <n v="26352"/>
    <n v="1697"/>
    <n v="2901.87"/>
    <n v="126"/>
    <n v="31980.19"/>
    <n v="6.4397389192471163E-2"/>
    <n v="1.71"/>
    <n v="23.030714285714286"/>
    <n v="11.020545372466719"/>
  </r>
  <r>
    <x v="139"/>
    <x v="0"/>
    <x v="0"/>
    <x v="2"/>
    <x v="5"/>
    <n v="57979"/>
    <n v="2081"/>
    <n v="3933.09"/>
    <n v="148"/>
    <n v="18788.47"/>
    <n v="3.5892305834871248E-2"/>
    <n v="1.8900000000000001"/>
    <n v="26.574932432432433"/>
    <n v="4.7770251888464283"/>
  </r>
  <r>
    <x v="120"/>
    <x v="0"/>
    <x v="1"/>
    <x v="0"/>
    <x v="6"/>
    <n v="173769"/>
    <n v="6759"/>
    <n v="19330.740000000002"/>
    <n v="158"/>
    <n v="21350.44"/>
    <n v="3.8896465997962815E-2"/>
    <n v="2.8600000000000003"/>
    <n v="122.34645569620254"/>
    <n v="1.1044812562788593"/>
  </r>
  <r>
    <x v="218"/>
    <x v="1"/>
    <x v="2"/>
    <x v="3"/>
    <x v="3"/>
    <n v="131206"/>
    <n v="8279"/>
    <n v="12666.87"/>
    <n v="553"/>
    <n v="61485.88"/>
    <n v="6.3099248509976683E-2"/>
    <n v="1.53"/>
    <n v="22.905732368896928"/>
    <n v="4.8540705004472295"/>
  </r>
  <r>
    <x v="92"/>
    <x v="2"/>
    <x v="3"/>
    <x v="1"/>
    <x v="1"/>
    <n v="64799"/>
    <n v="842"/>
    <n v="1473.5"/>
    <n v="52"/>
    <n v="15157.93"/>
    <n v="1.2994027685612433E-2"/>
    <n v="1.75"/>
    <n v="28.33653846153846"/>
    <n v="10.287024092297251"/>
  </r>
  <r>
    <x v="214"/>
    <x v="2"/>
    <x v="2"/>
    <x v="4"/>
    <x v="1"/>
    <n v="167893"/>
    <n v="4432"/>
    <n v="2570.56"/>
    <n v="66"/>
    <n v="15989.78"/>
    <n v="2.6397765243339508E-2"/>
    <n v="0.57999999999999996"/>
    <n v="38.947878787878786"/>
    <n v="6.2203488733972367"/>
  </r>
  <r>
    <x v="57"/>
    <x v="0"/>
    <x v="3"/>
    <x v="1"/>
    <x v="6"/>
    <n v="72474"/>
    <n v="4022"/>
    <n v="12508.42"/>
    <n v="142"/>
    <n v="38937.53"/>
    <n v="5.5495763998123462E-2"/>
    <n v="3.11"/>
    <n v="88.08746478873239"/>
    <n v="3.1129055468236593"/>
  </r>
  <r>
    <x v="146"/>
    <x v="2"/>
    <x v="1"/>
    <x v="1"/>
    <x v="4"/>
    <n v="138678"/>
    <n v="1802"/>
    <n v="3423.8"/>
    <n v="61"/>
    <n v="2147.0300000000002"/>
    <n v="1.2994130287428431E-2"/>
    <n v="1.9000000000000001"/>
    <n v="56.127868852459017"/>
    <n v="0.62708978328173381"/>
  </r>
  <r>
    <x v="208"/>
    <x v="1"/>
    <x v="0"/>
    <x v="2"/>
    <x v="0"/>
    <n v="70195"/>
    <n v="4239"/>
    <n v="6019.38"/>
    <n v="234"/>
    <n v="38776.78"/>
    <n v="6.0388916589500678E-2"/>
    <n v="1.42"/>
    <n v="25.723846153846154"/>
    <n v="6.4419890420608104"/>
  </r>
  <r>
    <x v="137"/>
    <x v="2"/>
    <x v="0"/>
    <x v="1"/>
    <x v="2"/>
    <n v="73513"/>
    <n v="2073"/>
    <n v="4602.0600000000004"/>
    <n v="31"/>
    <n v="3401.33"/>
    <n v="2.8199094037789234E-2"/>
    <n v="2.2200000000000002"/>
    <n v="148.45354838709679"/>
    <n v="0.73908858206976868"/>
  </r>
  <r>
    <x v="119"/>
    <x v="0"/>
    <x v="0"/>
    <x v="3"/>
    <x v="3"/>
    <n v="162786"/>
    <n v="7406"/>
    <n v="10738.7"/>
    <n v="513"/>
    <n v="67523.570000000007"/>
    <n v="4.5495312864742669E-2"/>
    <n v="1.4500000000000002"/>
    <n v="20.933138401559457"/>
    <n v="6.2878719025580381"/>
  </r>
  <r>
    <x v="68"/>
    <x v="0"/>
    <x v="1"/>
    <x v="2"/>
    <x v="2"/>
    <n v="133909"/>
    <n v="5664"/>
    <n v="16312.32"/>
    <n v="117"/>
    <n v="11886.29"/>
    <n v="4.2297381057285172E-2"/>
    <n v="2.88"/>
    <n v="139.42153846153846"/>
    <n v="0.72866949642969248"/>
  </r>
  <r>
    <x v="98"/>
    <x v="0"/>
    <x v="0"/>
    <x v="4"/>
    <x v="6"/>
    <n v="92185"/>
    <n v="3779"/>
    <n v="6121.98"/>
    <n v="82"/>
    <n v="11861.33"/>
    <n v="4.0993654065194986E-2"/>
    <n v="1.6199999999999999"/>
    <n v="74.658292682926827"/>
    <n v="1.9374989790884649"/>
  </r>
  <r>
    <x v="316"/>
    <x v="2"/>
    <x v="0"/>
    <x v="4"/>
    <x v="6"/>
    <n v="136637"/>
    <n v="4399"/>
    <n v="5762.69"/>
    <n v="254"/>
    <n v="21909.38"/>
    <n v="3.2194793503955738E-2"/>
    <n v="1.3099999999999998"/>
    <n v="22.687755905511811"/>
    <n v="3.8019362485228259"/>
  </r>
  <r>
    <x v="100"/>
    <x v="2"/>
    <x v="3"/>
    <x v="4"/>
    <x v="5"/>
    <n v="56986"/>
    <n v="1270"/>
    <n v="1181.0999999999999"/>
    <n v="13"/>
    <n v="3679.26"/>
    <n v="2.2286175551889938E-2"/>
    <n v="0.92999999999999994"/>
    <n v="90.853846153846149"/>
    <n v="3.1151130302260608"/>
  </r>
  <r>
    <x v="50"/>
    <x v="2"/>
    <x v="3"/>
    <x v="3"/>
    <x v="1"/>
    <n v="148859"/>
    <n v="3840"/>
    <n v="6912"/>
    <n v="250"/>
    <n v="22027.39"/>
    <n v="2.5796223271686628E-2"/>
    <n v="1.8"/>
    <n v="27.648"/>
    <n v="3.1868330439814816"/>
  </r>
  <r>
    <x v="220"/>
    <x v="0"/>
    <x v="0"/>
    <x v="1"/>
    <x v="2"/>
    <n v="151900"/>
    <n v="5270"/>
    <n v="5849.7"/>
    <n v="291"/>
    <n v="47553.46"/>
    <n v="3.4693877551020408E-2"/>
    <n v="1.1099999999999999"/>
    <n v="20.102061855670101"/>
    <n v="8.1292134639383224"/>
  </r>
  <r>
    <x v="60"/>
    <x v="2"/>
    <x v="2"/>
    <x v="1"/>
    <x v="0"/>
    <n v="155555"/>
    <n v="4588"/>
    <n v="7111.4"/>
    <n v="332"/>
    <n v="12719.4"/>
    <n v="2.9494391051396611E-2"/>
    <n v="1.5499999999999998"/>
    <n v="21.419879518072289"/>
    <n v="1.7885929634108615"/>
  </r>
  <r>
    <x v="279"/>
    <x v="2"/>
    <x v="3"/>
    <x v="3"/>
    <x v="3"/>
    <n v="198979"/>
    <n v="2089"/>
    <n v="3551.3"/>
    <n v="66"/>
    <n v="7694.86"/>
    <n v="1.0498595329155338E-2"/>
    <n v="1.7000000000000002"/>
    <n v="53.807575757575762"/>
    <n v="2.16677273111255"/>
  </r>
  <r>
    <x v="46"/>
    <x v="2"/>
    <x v="0"/>
    <x v="4"/>
    <x v="5"/>
    <n v="186740"/>
    <n v="4182"/>
    <n v="2341.92"/>
    <n v="47"/>
    <n v="8643.08"/>
    <n v="2.2394773481846417E-2"/>
    <n v="0.56000000000000005"/>
    <n v="49.828085106382979"/>
    <n v="3.6905957504953197"/>
  </r>
  <r>
    <x v="18"/>
    <x v="0"/>
    <x v="2"/>
    <x v="0"/>
    <x v="6"/>
    <n v="126246"/>
    <n v="4203"/>
    <n v="8616.15"/>
    <n v="290"/>
    <n v="31939.46"/>
    <n v="3.3292143909510005E-2"/>
    <n v="2.0499999999999998"/>
    <n v="29.710862068965515"/>
    <n v="3.7069294290373311"/>
  </r>
  <r>
    <x v="199"/>
    <x v="0"/>
    <x v="0"/>
    <x v="0"/>
    <x v="3"/>
    <n v="30835"/>
    <n v="925"/>
    <n v="1813"/>
    <n v="14"/>
    <n v="3805.56"/>
    <n v="2.9998378466028864E-2"/>
    <n v="1.96"/>
    <n v="129.5"/>
    <n v="2.0990402647545503"/>
  </r>
  <r>
    <x v="129"/>
    <x v="1"/>
    <x v="1"/>
    <x v="1"/>
    <x v="4"/>
    <n v="112938"/>
    <n v="3263"/>
    <n v="1272.57"/>
    <n v="80"/>
    <n v="22895.07"/>
    <n v="2.8891958419663886E-2"/>
    <n v="0.38999999999999996"/>
    <n v="15.907124999999999"/>
    <n v="17.991206770550932"/>
  </r>
  <r>
    <x v="171"/>
    <x v="0"/>
    <x v="3"/>
    <x v="3"/>
    <x v="4"/>
    <n v="143573"/>
    <n v="3474"/>
    <n v="5662.62"/>
    <n v="131"/>
    <n v="11434.82"/>
    <n v="2.419675008532245E-2"/>
    <n v="1.63"/>
    <n v="43.22610687022901"/>
    <n v="2.0193514662823921"/>
  </r>
  <r>
    <x v="72"/>
    <x v="1"/>
    <x v="3"/>
    <x v="4"/>
    <x v="4"/>
    <n v="113621"/>
    <n v="10112"/>
    <n v="10010.879999999999"/>
    <n v="472"/>
    <n v="84899.73"/>
    <n v="8.8997632479911284E-2"/>
    <n v="0.98999999999999988"/>
    <n v="21.209491525423726"/>
    <n v="8.4807459484081313"/>
  </r>
  <r>
    <x v="184"/>
    <x v="2"/>
    <x v="0"/>
    <x v="2"/>
    <x v="1"/>
    <n v="125155"/>
    <n v="5256"/>
    <n v="5623.92"/>
    <n v="247"/>
    <n v="26802.91"/>
    <n v="4.1995925052934362E-2"/>
    <n v="1.07"/>
    <n v="22.768906882591093"/>
    <n v="4.7658768261283946"/>
  </r>
  <r>
    <x v="249"/>
    <x v="2"/>
    <x v="2"/>
    <x v="0"/>
    <x v="2"/>
    <n v="52940"/>
    <n v="1281"/>
    <n v="1921.5"/>
    <n v="37"/>
    <n v="8409.06"/>
    <n v="2.4197204382319606E-2"/>
    <n v="1.5"/>
    <n v="51.932432432432435"/>
    <n v="4.3762997658079623"/>
  </r>
  <r>
    <x v="218"/>
    <x v="1"/>
    <x v="3"/>
    <x v="3"/>
    <x v="2"/>
    <n v="106069"/>
    <n v="3139"/>
    <n v="1569.5"/>
    <n v="78"/>
    <n v="6648.74"/>
    <n v="2.9593943565037854E-2"/>
    <n v="0.5"/>
    <n v="20.121794871794872"/>
    <n v="4.2362153552086648"/>
  </r>
  <r>
    <x v="229"/>
    <x v="0"/>
    <x v="1"/>
    <x v="1"/>
    <x v="4"/>
    <n v="185523"/>
    <n v="6029"/>
    <n v="8320.02"/>
    <n v="252"/>
    <n v="12404.91"/>
    <n v="3.2497318391789695E-2"/>
    <n v="1.3800000000000001"/>
    <n v="33.015952380952385"/>
    <n v="1.4909711755500588"/>
  </r>
  <r>
    <x v="317"/>
    <x v="1"/>
    <x v="2"/>
    <x v="1"/>
    <x v="5"/>
    <n v="184969"/>
    <n v="15407"/>
    <n v="20645.38"/>
    <n v="352"/>
    <n v="52669.94"/>
    <n v="8.3295038628094439E-2"/>
    <n v="1.34"/>
    <n v="58.651647727272731"/>
    <n v="2.5511731922589944"/>
  </r>
  <r>
    <x v="112"/>
    <x v="0"/>
    <x v="1"/>
    <x v="2"/>
    <x v="4"/>
    <n v="118005"/>
    <n v="5003"/>
    <n v="9005.4"/>
    <n v="63"/>
    <n v="6740.12"/>
    <n v="4.2396508622515997E-2"/>
    <n v="1.7999999999999998"/>
    <n v="142.94285714285715"/>
    <n v="0.74845315033202298"/>
  </r>
  <r>
    <x v="82"/>
    <x v="0"/>
    <x v="1"/>
    <x v="3"/>
    <x v="5"/>
    <n v="47176"/>
    <n v="1278"/>
    <n v="1827.54"/>
    <n v="62"/>
    <n v="2278.75"/>
    <n v="2.7090045785992879E-2"/>
    <n v="1.43"/>
    <n v="29.476451612903226"/>
    <n v="1.2468947328102258"/>
  </r>
  <r>
    <x v="315"/>
    <x v="2"/>
    <x v="1"/>
    <x v="0"/>
    <x v="1"/>
    <n v="8512"/>
    <n v="251"/>
    <n v="160.63999999999999"/>
    <n v="11"/>
    <n v="1671.09"/>
    <n v="2.9487781954887219E-2"/>
    <n v="0.6399999999999999"/>
    <n v="14.603636363636362"/>
    <n v="10.402701693227092"/>
  </r>
  <r>
    <x v="152"/>
    <x v="2"/>
    <x v="2"/>
    <x v="1"/>
    <x v="6"/>
    <n v="83591"/>
    <n v="2499"/>
    <n v="4198.32"/>
    <n v="84"/>
    <n v="18620.43"/>
    <n v="2.9895562919453052E-2"/>
    <n v="1.68"/>
    <n v="49.98"/>
    <n v="4.4352097982049967"/>
  </r>
  <r>
    <x v="166"/>
    <x v="0"/>
    <x v="0"/>
    <x v="4"/>
    <x v="0"/>
    <n v="88323"/>
    <n v="3965"/>
    <n v="9357.4"/>
    <n v="95"/>
    <n v="8337.4"/>
    <n v="4.489204397495556E-2"/>
    <n v="2.36"/>
    <n v="98.498947368421042"/>
    <n v="0.89099536195951867"/>
  </r>
  <r>
    <x v="258"/>
    <x v="0"/>
    <x v="1"/>
    <x v="2"/>
    <x v="3"/>
    <n v="24755"/>
    <n v="811"/>
    <n v="2011.28"/>
    <n v="8"/>
    <n v="1786.84"/>
    <n v="3.2761058372046049E-2"/>
    <n v="2.48"/>
    <n v="251.41"/>
    <n v="0.88840937114673235"/>
  </r>
  <r>
    <x v="318"/>
    <x v="0"/>
    <x v="1"/>
    <x v="4"/>
    <x v="0"/>
    <n v="99410"/>
    <n v="4195"/>
    <n v="3481.85"/>
    <n v="196"/>
    <n v="56004.19"/>
    <n v="4.2198973946283073E-2"/>
    <n v="0.83"/>
    <n v="17.76454081632653"/>
    <n v="16.08460732082083"/>
  </r>
  <r>
    <x v="31"/>
    <x v="2"/>
    <x v="1"/>
    <x v="3"/>
    <x v="6"/>
    <n v="176250"/>
    <n v="6204"/>
    <n v="4032.6"/>
    <n v="312"/>
    <n v="84311.3"/>
    <n v="3.5200000000000002E-2"/>
    <n v="0.65"/>
    <n v="12.924999999999999"/>
    <n v="20.907429449982644"/>
  </r>
  <r>
    <x v="144"/>
    <x v="2"/>
    <x v="2"/>
    <x v="1"/>
    <x v="1"/>
    <n v="184729"/>
    <n v="2586"/>
    <n v="2327.4"/>
    <n v="201"/>
    <n v="16864.93"/>
    <n v="1.3998884852946749E-2"/>
    <n v="0.9"/>
    <n v="11.57910447761194"/>
    <n v="7.246253329896021"/>
  </r>
  <r>
    <x v="214"/>
    <x v="0"/>
    <x v="0"/>
    <x v="2"/>
    <x v="1"/>
    <n v="175381"/>
    <n v="4226"/>
    <n v="3845.66"/>
    <n v="204"/>
    <n v="11471.83"/>
    <n v="2.4096110753160264E-2"/>
    <n v="0.90999999999999992"/>
    <n v="18.851274509803922"/>
    <n v="2.9830588247530985"/>
  </r>
  <r>
    <x v="121"/>
    <x v="0"/>
    <x v="1"/>
    <x v="3"/>
    <x v="1"/>
    <n v="174741"/>
    <n v="7129"/>
    <n v="15469.93"/>
    <n v="326"/>
    <n v="58786.78"/>
    <n v="4.0797523191466227E-2"/>
    <n v="2.17"/>
    <n v="47.453773006134973"/>
    <n v="3.8000676150441532"/>
  </r>
  <r>
    <x v="148"/>
    <x v="2"/>
    <x v="2"/>
    <x v="4"/>
    <x v="3"/>
    <n v="62033"/>
    <n v="2667"/>
    <n v="2933.7"/>
    <n v="135"/>
    <n v="14288.2"/>
    <n v="4.2993245530604678E-2"/>
    <n v="1.0999999999999999"/>
    <n v="21.731111111111108"/>
    <n v="4.8703684766676902"/>
  </r>
  <r>
    <x v="141"/>
    <x v="1"/>
    <x v="0"/>
    <x v="0"/>
    <x v="4"/>
    <n v="6067"/>
    <n v="201"/>
    <n v="126.63"/>
    <n v="12"/>
    <n v="2449.2800000000002"/>
    <n v="3.3130047799571453E-2"/>
    <n v="0.63"/>
    <n v="10.5525"/>
    <n v="19.342020058437971"/>
  </r>
  <r>
    <x v="319"/>
    <x v="0"/>
    <x v="0"/>
    <x v="3"/>
    <x v="0"/>
    <n v="187941"/>
    <n v="9303"/>
    <n v="21675.99"/>
    <n v="528"/>
    <n v="92564.99"/>
    <n v="4.9499576994907979E-2"/>
    <n v="2.33"/>
    <n v="41.053011363636365"/>
    <n v="4.270392724853628"/>
  </r>
  <r>
    <x v="114"/>
    <x v="1"/>
    <x v="2"/>
    <x v="1"/>
    <x v="0"/>
    <n v="16094"/>
    <n v="535"/>
    <n v="968.35"/>
    <n v="8"/>
    <n v="469.8"/>
    <n v="3.3242202062880574E-2"/>
    <n v="1.81"/>
    <n v="121.04375"/>
    <n v="0.48515516084060517"/>
  </r>
  <r>
    <x v="73"/>
    <x v="2"/>
    <x v="3"/>
    <x v="1"/>
    <x v="5"/>
    <n v="8599"/>
    <n v="258"/>
    <n v="167.7"/>
    <n v="6"/>
    <n v="594.69000000000005"/>
    <n v="3.0003488777764858E-2"/>
    <n v="0.64999999999999991"/>
    <n v="27.95"/>
    <n v="3.5461538461538469"/>
  </r>
  <r>
    <x v="79"/>
    <x v="0"/>
    <x v="1"/>
    <x v="0"/>
    <x v="0"/>
    <n v="32476"/>
    <n v="1136"/>
    <n v="1863.04"/>
    <n v="86"/>
    <n v="21754.11"/>
    <n v="3.497967730016012E-2"/>
    <n v="1.64"/>
    <n v="21.663255813953487"/>
    <n v="11.676673608725524"/>
  </r>
  <r>
    <x v="311"/>
    <x v="0"/>
    <x v="3"/>
    <x v="0"/>
    <x v="4"/>
    <n v="64739"/>
    <n v="1599"/>
    <n v="5212.74"/>
    <n v="109"/>
    <n v="22723.24"/>
    <n v="2.4699176694110196E-2"/>
    <n v="3.26"/>
    <n v="47.823302752293579"/>
    <n v="4.3591738701719258"/>
  </r>
  <r>
    <x v="181"/>
    <x v="0"/>
    <x v="0"/>
    <x v="1"/>
    <x v="1"/>
    <n v="51666"/>
    <n v="2965"/>
    <n v="8657.7999999999993"/>
    <n v="80"/>
    <n v="16836.59"/>
    <n v="5.7387837262416287E-2"/>
    <n v="2.92"/>
    <n v="108.2225"/>
    <n v="1.9446730116195803"/>
  </r>
  <r>
    <x v="216"/>
    <x v="2"/>
    <x v="2"/>
    <x v="3"/>
    <x v="5"/>
    <n v="39723"/>
    <n v="1116"/>
    <n v="1060.2"/>
    <n v="14"/>
    <n v="582.59"/>
    <n v="2.8094554791934144E-2"/>
    <n v="0.95000000000000007"/>
    <n v="75.728571428571428"/>
    <n v="0.54950952650443319"/>
  </r>
  <r>
    <x v="275"/>
    <x v="1"/>
    <x v="0"/>
    <x v="2"/>
    <x v="4"/>
    <n v="163984"/>
    <n v="12971"/>
    <n v="21791.279999999999"/>
    <n v="962"/>
    <n v="170813.74"/>
    <n v="7.9099180407844666E-2"/>
    <n v="1.68"/>
    <n v="22.652058212058211"/>
    <n v="7.8386281117951766"/>
  </r>
  <r>
    <x v="108"/>
    <x v="2"/>
    <x v="1"/>
    <x v="0"/>
    <x v="6"/>
    <n v="51698"/>
    <n v="1307"/>
    <n v="2561.7199999999998"/>
    <n v="91"/>
    <n v="15551.2"/>
    <n v="2.5281442222136252E-2"/>
    <n v="1.9599999999999997"/>
    <n v="28.150769230769228"/>
    <n v="6.0706088097059796"/>
  </r>
  <r>
    <x v="313"/>
    <x v="0"/>
    <x v="2"/>
    <x v="3"/>
    <x v="0"/>
    <n v="50206"/>
    <n v="2399"/>
    <n v="4845.9799999999996"/>
    <n v="163"/>
    <n v="5571.38"/>
    <n v="4.7783133490021112E-2"/>
    <n v="2.02"/>
    <n v="29.729938650306746"/>
    <n v="1.1496910841563523"/>
  </r>
  <r>
    <x v="60"/>
    <x v="0"/>
    <x v="1"/>
    <x v="0"/>
    <x v="0"/>
    <n v="194099"/>
    <n v="4774"/>
    <n v="11887.26"/>
    <n v="134"/>
    <n v="8446.2099999999991"/>
    <n v="2.4595696010798612E-2"/>
    <n v="2.4900000000000002"/>
    <n v="88.710895522388057"/>
    <n v="0.71052622723823644"/>
  </r>
  <r>
    <x v="320"/>
    <x v="1"/>
    <x v="1"/>
    <x v="4"/>
    <x v="2"/>
    <n v="11820"/>
    <n v="366"/>
    <n v="629.52"/>
    <n v="12"/>
    <n v="2301.9899999999998"/>
    <n v="3.0964467005076143E-2"/>
    <n v="1.72"/>
    <n v="52.46"/>
    <n v="3.656738467403736"/>
  </r>
  <r>
    <x v="171"/>
    <x v="1"/>
    <x v="0"/>
    <x v="3"/>
    <x v="2"/>
    <n v="56782"/>
    <n v="3264"/>
    <n v="2611.1999999999998"/>
    <n v="154"/>
    <n v="15749.58"/>
    <n v="5.7483005177697159E-2"/>
    <n v="0.79999999999999993"/>
    <n v="16.955844155844154"/>
    <n v="6.0315487132352947"/>
  </r>
  <r>
    <x v="14"/>
    <x v="1"/>
    <x v="1"/>
    <x v="3"/>
    <x v="1"/>
    <n v="191894"/>
    <n v="7138"/>
    <n v="5496.26"/>
    <n v="380"/>
    <n v="85112.1"/>
    <n v="3.7197619519109507E-2"/>
    <n v="0.77"/>
    <n v="14.463842105263158"/>
    <n v="15.485457383748223"/>
  </r>
  <r>
    <x v="93"/>
    <x v="0"/>
    <x v="2"/>
    <x v="0"/>
    <x v="1"/>
    <n v="55075"/>
    <n v="3056"/>
    <n v="7212.16"/>
    <n v="156"/>
    <n v="5145.3100000000004"/>
    <n v="5.5487970948706312E-2"/>
    <n v="2.36"/>
    <n v="46.231794871794868"/>
    <n v="0.7134214992457184"/>
  </r>
  <r>
    <x v="206"/>
    <x v="0"/>
    <x v="2"/>
    <x v="1"/>
    <x v="5"/>
    <n v="81830"/>
    <n v="4091"/>
    <n v="5931.95"/>
    <n v="49"/>
    <n v="7206.83"/>
    <n v="4.9993889771477451E-2"/>
    <n v="1.45"/>
    <n v="121.06020408163265"/>
    <n v="1.2149175229056213"/>
  </r>
  <r>
    <x v="321"/>
    <x v="2"/>
    <x v="0"/>
    <x v="1"/>
    <x v="2"/>
    <n v="87911"/>
    <n v="1116"/>
    <n v="535.67999999999995"/>
    <n v="61"/>
    <n v="16688.84"/>
    <n v="1.2694657096381567E-2"/>
    <n v="0.48"/>
    <n v="8.7816393442622935"/>
    <n v="31.154495221027481"/>
  </r>
  <r>
    <x v="118"/>
    <x v="2"/>
    <x v="0"/>
    <x v="3"/>
    <x v="4"/>
    <n v="9521"/>
    <n v="237"/>
    <n v="419.49"/>
    <n v="17"/>
    <n v="1502.31"/>
    <n v="2.4892343241256172E-2"/>
    <n v="1.77"/>
    <n v="24.675882352941176"/>
    <n v="3.5812772652506615"/>
  </r>
  <r>
    <x v="219"/>
    <x v="1"/>
    <x v="0"/>
    <x v="4"/>
    <x v="1"/>
    <n v="88115"/>
    <n v="5383"/>
    <n v="3660.44"/>
    <n v="121"/>
    <n v="28357.39"/>
    <n v="6.1090620212222661E-2"/>
    <n v="0.68"/>
    <n v="30.251570247933884"/>
    <n v="7.7469894329643427"/>
  </r>
  <r>
    <x v="69"/>
    <x v="0"/>
    <x v="2"/>
    <x v="4"/>
    <x v="3"/>
    <n v="184030"/>
    <n v="5649"/>
    <n v="12597.27"/>
    <n v="90"/>
    <n v="23192.98"/>
    <n v="3.0696082160517307E-2"/>
    <n v="2.23"/>
    <n v="139.96966666666668"/>
    <n v="1.8411116059273158"/>
  </r>
  <r>
    <x v="276"/>
    <x v="2"/>
    <x v="1"/>
    <x v="1"/>
    <x v="1"/>
    <n v="151729"/>
    <n v="4491"/>
    <n v="8308.35"/>
    <n v="228"/>
    <n v="48165.440000000002"/>
    <n v="2.9598824219496604E-2"/>
    <n v="1.85"/>
    <n v="36.440131578947373"/>
    <n v="5.7972329042469326"/>
  </r>
  <r>
    <x v="80"/>
    <x v="1"/>
    <x v="1"/>
    <x v="3"/>
    <x v="5"/>
    <n v="68176"/>
    <n v="2679"/>
    <n v="3321.96"/>
    <n v="173"/>
    <n v="19288.91"/>
    <n v="3.9295353203473361E-2"/>
    <n v="1.24"/>
    <n v="19.20208092485549"/>
    <n v="5.8064847258847188"/>
  </r>
  <r>
    <x v="120"/>
    <x v="2"/>
    <x v="2"/>
    <x v="2"/>
    <x v="0"/>
    <n v="160136"/>
    <n v="6581"/>
    <n v="2632.4"/>
    <n v="393"/>
    <n v="81942.570000000007"/>
    <n v="4.1096318129589846E-2"/>
    <n v="0.4"/>
    <n v="6.6982188295165397"/>
    <n v="31.12846451907005"/>
  </r>
  <r>
    <x v="10"/>
    <x v="0"/>
    <x v="1"/>
    <x v="2"/>
    <x v="4"/>
    <n v="164504"/>
    <n v="3322"/>
    <n v="6876.54"/>
    <n v="96"/>
    <n v="10570.76"/>
    <n v="2.0194037834946263E-2"/>
    <n v="2.0699999999999998"/>
    <n v="71.630624999999995"/>
    <n v="1.5372207534603159"/>
  </r>
  <r>
    <x v="322"/>
    <x v="1"/>
    <x v="3"/>
    <x v="2"/>
    <x v="6"/>
    <n v="111399"/>
    <n v="4155"/>
    <n v="5069.1000000000004"/>
    <n v="176"/>
    <n v="18559.099999999999"/>
    <n v="3.7298359949371182E-2"/>
    <n v="1.2200000000000002"/>
    <n v="28.801704545454548"/>
    <n v="3.6612219131601265"/>
  </r>
  <r>
    <x v="323"/>
    <x v="0"/>
    <x v="0"/>
    <x v="4"/>
    <x v="3"/>
    <n v="135011"/>
    <n v="3496"/>
    <n v="6607.44"/>
    <n v="254"/>
    <n v="69461.440000000002"/>
    <n v="2.5894186399626696E-2"/>
    <n v="1.89"/>
    <n v="26.013543307086614"/>
    <n v="10.51261002748417"/>
  </r>
  <r>
    <x v="246"/>
    <x v="0"/>
    <x v="3"/>
    <x v="2"/>
    <x v="2"/>
    <n v="24359"/>
    <n v="1461"/>
    <n v="3418.74"/>
    <n v="35"/>
    <n v="4110.3900000000003"/>
    <n v="5.9977831602282525E-2"/>
    <n v="2.34"/>
    <n v="97.678285714285707"/>
    <n v="1.2023113778760597"/>
  </r>
  <r>
    <x v="26"/>
    <x v="2"/>
    <x v="2"/>
    <x v="2"/>
    <x v="1"/>
    <n v="130611"/>
    <n v="2207"/>
    <n v="1611.11"/>
    <n v="44"/>
    <n v="9567.41"/>
    <n v="1.6897504804342666E-2"/>
    <n v="0.73"/>
    <n v="36.616136363636365"/>
    <n v="5.9383965092389719"/>
  </r>
  <r>
    <x v="324"/>
    <x v="1"/>
    <x v="0"/>
    <x v="3"/>
    <x v="1"/>
    <n v="156601"/>
    <n v="8628"/>
    <n v="2674.68"/>
    <n v="362"/>
    <n v="23745.71"/>
    <n v="5.50954336179207E-2"/>
    <n v="0.31"/>
    <n v="7.3886187845303866"/>
    <n v="8.8779629712713302"/>
  </r>
  <r>
    <x v="45"/>
    <x v="2"/>
    <x v="0"/>
    <x v="3"/>
    <x v="3"/>
    <n v="172967"/>
    <n v="5016"/>
    <n v="10433.280000000001"/>
    <n v="331"/>
    <n v="75767.62"/>
    <n v="2.899975139766545E-2"/>
    <n v="2.08"/>
    <n v="31.520483383685804"/>
    <n v="7.2621093270764314"/>
  </r>
  <r>
    <x v="133"/>
    <x v="0"/>
    <x v="2"/>
    <x v="3"/>
    <x v="4"/>
    <n v="165104"/>
    <n v="7958"/>
    <n v="24590.22"/>
    <n v="105"/>
    <n v="29946.1"/>
    <n v="4.8199922473107858E-2"/>
    <n v="3.0900000000000003"/>
    <n v="234.19257142857143"/>
    <n v="1.2178052900706051"/>
  </r>
  <r>
    <x v="148"/>
    <x v="0"/>
    <x v="1"/>
    <x v="0"/>
    <x v="4"/>
    <n v="49109"/>
    <n v="1203"/>
    <n v="3921.78"/>
    <n v="25"/>
    <n v="4734.6099999999997"/>
    <n v="2.4496528131299763E-2"/>
    <n v="3.2600000000000002"/>
    <n v="156.87120000000002"/>
    <n v="1.2072604786602001"/>
  </r>
  <r>
    <x v="16"/>
    <x v="2"/>
    <x v="2"/>
    <x v="3"/>
    <x v="1"/>
    <n v="46291"/>
    <n v="1976"/>
    <n v="1442.48"/>
    <n v="74"/>
    <n v="2307.39"/>
    <n v="4.2686483333693376E-2"/>
    <n v="0.73"/>
    <n v="19.492972972972971"/>
    <n v="1.5995993012034828"/>
  </r>
  <r>
    <x v="203"/>
    <x v="0"/>
    <x v="1"/>
    <x v="0"/>
    <x v="3"/>
    <n v="33750"/>
    <n v="1410"/>
    <n v="2693.1"/>
    <n v="106"/>
    <n v="5682.79"/>
    <n v="4.1777777777777775E-2"/>
    <n v="1.91"/>
    <n v="25.406603773584905"/>
    <n v="2.110129590434815"/>
  </r>
  <r>
    <x v="117"/>
    <x v="2"/>
    <x v="0"/>
    <x v="2"/>
    <x v="2"/>
    <n v="177593"/>
    <n v="1811"/>
    <n v="1430.69"/>
    <n v="128"/>
    <n v="17092.48"/>
    <n v="1.019747399953827E-2"/>
    <n v="0.79"/>
    <n v="11.177265625"/>
    <n v="11.947018571458527"/>
  </r>
  <r>
    <x v="248"/>
    <x v="0"/>
    <x v="3"/>
    <x v="3"/>
    <x v="5"/>
    <n v="150465"/>
    <n v="5311"/>
    <n v="16623.43"/>
    <n v="295"/>
    <n v="57602.12"/>
    <n v="3.5297245206526433E-2"/>
    <n v="3.13"/>
    <n v="56.350610169491524"/>
    <n v="3.4651164049777936"/>
  </r>
  <r>
    <x v="262"/>
    <x v="1"/>
    <x v="2"/>
    <x v="3"/>
    <x v="4"/>
    <n v="25860"/>
    <n v="1569"/>
    <n v="1694.52"/>
    <n v="79"/>
    <n v="13162.62"/>
    <n v="6.0672853828306263E-2"/>
    <n v="1.08"/>
    <n v="21.449620253164557"/>
    <n v="7.7677572409885993"/>
  </r>
  <r>
    <x v="190"/>
    <x v="0"/>
    <x v="3"/>
    <x v="3"/>
    <x v="3"/>
    <n v="41375"/>
    <n v="2350"/>
    <n v="5170"/>
    <n v="148"/>
    <n v="14702.27"/>
    <n v="5.6797583081570999E-2"/>
    <n v="2.2000000000000002"/>
    <n v="34.932432432432435"/>
    <n v="2.8437659574468084"/>
  </r>
  <r>
    <x v="206"/>
    <x v="2"/>
    <x v="3"/>
    <x v="3"/>
    <x v="0"/>
    <n v="26159"/>
    <n v="782"/>
    <n v="1180.82"/>
    <n v="52"/>
    <n v="8689.2900000000009"/>
    <n v="2.9894109102029894E-2"/>
    <n v="1.51"/>
    <n v="22.708076923076923"/>
    <n v="7.3586914178282896"/>
  </r>
  <r>
    <x v="314"/>
    <x v="2"/>
    <x v="3"/>
    <x v="1"/>
    <x v="5"/>
    <n v="184541"/>
    <n v="3063"/>
    <n v="5268.36"/>
    <n v="215"/>
    <n v="16566.88"/>
    <n v="1.6597937585685566E-2"/>
    <n v="1.72"/>
    <n v="24.503999999999998"/>
    <n v="3.1445990782710371"/>
  </r>
  <r>
    <x v="184"/>
    <x v="2"/>
    <x v="1"/>
    <x v="4"/>
    <x v="0"/>
    <n v="196373"/>
    <n v="5184"/>
    <n v="4458.24"/>
    <n v="173"/>
    <n v="36583.06"/>
    <n v="2.63987411711386E-2"/>
    <n v="0.86"/>
    <n v="25.770173410404624"/>
    <n v="8.2057179514786096"/>
  </r>
  <r>
    <x v="108"/>
    <x v="0"/>
    <x v="1"/>
    <x v="2"/>
    <x v="6"/>
    <n v="131031"/>
    <n v="6092"/>
    <n v="17910.48"/>
    <n v="482"/>
    <n v="116431.98"/>
    <n v="4.6492814677442741E-2"/>
    <n v="2.94"/>
    <n v="37.158672199170127"/>
    <n v="6.5007738486070723"/>
  </r>
  <r>
    <x v="252"/>
    <x v="2"/>
    <x v="0"/>
    <x v="1"/>
    <x v="3"/>
    <n v="113269"/>
    <n v="3182"/>
    <n v="4868.46"/>
    <n v="185"/>
    <n v="53909.5"/>
    <n v="2.8092417166214939E-2"/>
    <n v="1.53"/>
    <n v="26.315999999999999"/>
    <n v="11.073214116989767"/>
  </r>
  <r>
    <x v="204"/>
    <x v="1"/>
    <x v="1"/>
    <x v="3"/>
    <x v="2"/>
    <n v="92346"/>
    <n v="6815"/>
    <n v="5588.3"/>
    <n v="469"/>
    <n v="125930.93"/>
    <n v="7.3798540272453597E-2"/>
    <n v="0.82000000000000006"/>
    <n v="11.915351812366739"/>
    <n v="22.534747597659393"/>
  </r>
  <r>
    <x v="325"/>
    <x v="0"/>
    <x v="0"/>
    <x v="0"/>
    <x v="6"/>
    <n v="143241"/>
    <n v="7133"/>
    <n v="14693.98"/>
    <n v="272"/>
    <n v="60208.51"/>
    <n v="4.9797194937203734E-2"/>
    <n v="2.06"/>
    <n v="54.021985294117648"/>
    <n v="4.0974950285763292"/>
  </r>
  <r>
    <x v="307"/>
    <x v="2"/>
    <x v="1"/>
    <x v="3"/>
    <x v="1"/>
    <n v="194137"/>
    <n v="2640"/>
    <n v="6362.4"/>
    <n v="49"/>
    <n v="6668.85"/>
    <n v="1.3598644256375652E-2"/>
    <n v="2.4099999999999997"/>
    <n v="129.84489795918367"/>
    <n v="1.0481657864956622"/>
  </r>
  <r>
    <x v="301"/>
    <x v="1"/>
    <x v="2"/>
    <x v="1"/>
    <x v="1"/>
    <n v="79967"/>
    <n v="2327"/>
    <n v="2443.35"/>
    <n v="43"/>
    <n v="11334.87"/>
    <n v="2.9099503545212402E-2"/>
    <n v="1.05"/>
    <n v="56.82209302325581"/>
    <n v="4.6390693105776908"/>
  </r>
  <r>
    <x v="184"/>
    <x v="2"/>
    <x v="1"/>
    <x v="4"/>
    <x v="0"/>
    <n v="60919"/>
    <n v="1851"/>
    <n v="3313.29"/>
    <n v="131"/>
    <n v="19210.72"/>
    <n v="3.0384609071061573E-2"/>
    <n v="1.79"/>
    <n v="25.292290076335878"/>
    <n v="5.7980798541630829"/>
  </r>
  <r>
    <x v="73"/>
    <x v="1"/>
    <x v="0"/>
    <x v="3"/>
    <x v="4"/>
    <n v="40886"/>
    <n v="1782"/>
    <n v="980.1"/>
    <n v="132"/>
    <n v="28189.38"/>
    <n v="4.3584601085946292E-2"/>
    <n v="0.55000000000000004"/>
    <n v="7.4249999999999998"/>
    <n v="28.761738598102234"/>
  </r>
  <r>
    <x v="230"/>
    <x v="1"/>
    <x v="2"/>
    <x v="3"/>
    <x v="5"/>
    <n v="37646"/>
    <n v="1874"/>
    <n v="2061.4"/>
    <n v="144"/>
    <n v="16795.87"/>
    <n v="4.9779525049142008E-2"/>
    <n v="1.1000000000000001"/>
    <n v="14.315277777777778"/>
    <n v="8.147797613272532"/>
  </r>
  <r>
    <x v="308"/>
    <x v="2"/>
    <x v="0"/>
    <x v="1"/>
    <x v="3"/>
    <n v="117529"/>
    <n v="4266"/>
    <n v="4393.9799999999996"/>
    <n v="308"/>
    <n v="62119.33"/>
    <n v="3.6297424465451082E-2"/>
    <n v="1.0299999999999998"/>
    <n v="14.26616883116883"/>
    <n v="14.137372040837693"/>
  </r>
  <r>
    <x v="61"/>
    <x v="1"/>
    <x v="1"/>
    <x v="0"/>
    <x v="5"/>
    <n v="150250"/>
    <n v="7196"/>
    <n v="4821.32"/>
    <n v="534"/>
    <n v="36153.629999999997"/>
    <n v="4.7893510815307822E-2"/>
    <n v="0.66999999999999993"/>
    <n v="9.0286891385767785"/>
    <n v="7.4986995262708138"/>
  </r>
  <r>
    <x v="213"/>
    <x v="2"/>
    <x v="1"/>
    <x v="4"/>
    <x v="3"/>
    <n v="196929"/>
    <n v="2382"/>
    <n v="3096.6"/>
    <n v="143"/>
    <n v="38447.589999999997"/>
    <n v="1.2095729933123106E-2"/>
    <n v="1.3"/>
    <n v="21.654545454545453"/>
    <n v="12.416066007879609"/>
  </r>
  <r>
    <x v="186"/>
    <x v="0"/>
    <x v="0"/>
    <x v="2"/>
    <x v="3"/>
    <n v="91491"/>
    <n v="4053"/>
    <n v="7052.22"/>
    <n v="140"/>
    <n v="19432.37"/>
    <n v="4.4299439289110405E-2"/>
    <n v="1.74"/>
    <n v="50.373000000000005"/>
    <n v="2.7554968506371043"/>
  </r>
  <r>
    <x v="46"/>
    <x v="0"/>
    <x v="1"/>
    <x v="4"/>
    <x v="1"/>
    <n v="154741"/>
    <n v="6019"/>
    <n v="6259.76"/>
    <n v="220"/>
    <n v="38586.699999999997"/>
    <n v="3.8897254121402859E-2"/>
    <n v="1.04"/>
    <n v="28.453454545454548"/>
    <n v="6.1642459135813503"/>
  </r>
  <r>
    <x v="145"/>
    <x v="1"/>
    <x v="3"/>
    <x v="4"/>
    <x v="5"/>
    <n v="72963"/>
    <n v="5618"/>
    <n v="2696.64"/>
    <n v="412"/>
    <n v="16464.009999999998"/>
    <n v="7.6997930457903319E-2"/>
    <n v="0.48"/>
    <n v="6.5452427184466018"/>
    <n v="6.105379286816186"/>
  </r>
  <r>
    <x v="118"/>
    <x v="0"/>
    <x v="1"/>
    <x v="0"/>
    <x v="2"/>
    <n v="194281"/>
    <n v="5906"/>
    <n v="14765"/>
    <n v="371"/>
    <n v="20958.57"/>
    <n v="3.0399267041038496E-2"/>
    <n v="2.5"/>
    <n v="39.797843665768191"/>
    <n v="1.4194764646122586"/>
  </r>
  <r>
    <x v="64"/>
    <x v="2"/>
    <x v="3"/>
    <x v="4"/>
    <x v="0"/>
    <n v="92844"/>
    <n v="3277"/>
    <n v="5931.37"/>
    <n v="63"/>
    <n v="10318.61"/>
    <n v="3.5295764939037529E-2"/>
    <n v="1.81"/>
    <n v="94.14873015873016"/>
    <n v="1.7396672269644282"/>
  </r>
  <r>
    <x v="150"/>
    <x v="0"/>
    <x v="1"/>
    <x v="3"/>
    <x v="0"/>
    <n v="132441"/>
    <n v="2436"/>
    <n v="5091.24"/>
    <n v="135"/>
    <n v="8958.33"/>
    <n v="1.8393095793598661E-2"/>
    <n v="2.09"/>
    <n v="37.712888888888884"/>
    <n v="1.7595575930421665"/>
  </r>
  <r>
    <x v="60"/>
    <x v="2"/>
    <x v="0"/>
    <x v="1"/>
    <x v="3"/>
    <n v="110977"/>
    <n v="2829"/>
    <n v="1867.14"/>
    <n v="48"/>
    <n v="10643.48"/>
    <n v="2.5491768564657541E-2"/>
    <n v="0.66"/>
    <n v="38.89875"/>
    <n v="5.7004188223700414"/>
  </r>
  <r>
    <x v="39"/>
    <x v="0"/>
    <x v="0"/>
    <x v="2"/>
    <x v="0"/>
    <n v="50076"/>
    <n v="2964"/>
    <n v="10077.6"/>
    <n v="94"/>
    <n v="28058.66"/>
    <n v="5.9190031152647975E-2"/>
    <n v="3.4"/>
    <n v="107.20851063829788"/>
    <n v="2.7842601413034846"/>
  </r>
  <r>
    <x v="326"/>
    <x v="0"/>
    <x v="0"/>
    <x v="3"/>
    <x v="6"/>
    <n v="180590"/>
    <n v="4857"/>
    <n v="7334.07"/>
    <n v="333"/>
    <n v="91782.77"/>
    <n v="2.6895176920095243E-2"/>
    <n v="1.51"/>
    <n v="22.024234234234232"/>
    <n v="12.514575126771357"/>
  </r>
  <r>
    <x v="237"/>
    <x v="2"/>
    <x v="0"/>
    <x v="0"/>
    <x v="0"/>
    <n v="153530"/>
    <n v="3899"/>
    <n v="9006.69"/>
    <n v="302"/>
    <n v="21392.38"/>
    <n v="2.5395688139125905E-2"/>
    <n v="2.31"/>
    <n v="29.823476821192056"/>
    <n v="2.3751655713697262"/>
  </r>
  <r>
    <x v="33"/>
    <x v="0"/>
    <x v="1"/>
    <x v="3"/>
    <x v="5"/>
    <n v="135223"/>
    <n v="3285"/>
    <n v="9920.7000000000007"/>
    <n v="201"/>
    <n v="46154.22"/>
    <n v="2.429320455839613E-2"/>
    <n v="3.02"/>
    <n v="49.356716417910448"/>
    <n v="4.6523148568145389"/>
  </r>
  <r>
    <x v="19"/>
    <x v="2"/>
    <x v="3"/>
    <x v="1"/>
    <x v="2"/>
    <n v="108152"/>
    <n v="4250"/>
    <n v="3060"/>
    <n v="160"/>
    <n v="12452.25"/>
    <n v="3.929654560248539E-2"/>
    <n v="0.72"/>
    <n v="19.125"/>
    <n v="4.0693627450980392"/>
  </r>
  <r>
    <x v="296"/>
    <x v="0"/>
    <x v="1"/>
    <x v="2"/>
    <x v="3"/>
    <n v="76442"/>
    <n v="2392"/>
    <n v="3922.88"/>
    <n v="160"/>
    <n v="14390.19"/>
    <n v="3.1291698281049683E-2"/>
    <n v="1.6400000000000001"/>
    <n v="24.518000000000001"/>
    <n v="3.6682717799167959"/>
  </r>
  <r>
    <x v="30"/>
    <x v="0"/>
    <x v="1"/>
    <x v="1"/>
    <x v="3"/>
    <n v="57335"/>
    <n v="1869"/>
    <n v="5139.75"/>
    <n v="133"/>
    <n v="11136.73"/>
    <n v="3.2597889596232665E-2"/>
    <n v="2.75"/>
    <n v="38.64473684210526"/>
    <n v="2.166784376672017"/>
  </r>
  <r>
    <x v="116"/>
    <x v="1"/>
    <x v="3"/>
    <x v="3"/>
    <x v="1"/>
    <n v="82661"/>
    <n v="4769"/>
    <n v="6342.77"/>
    <n v="271"/>
    <n v="79985.87"/>
    <n v="5.7693470923410074E-2"/>
    <n v="1.33"/>
    <n v="23.405055350553507"/>
    <n v="12.610558163073861"/>
  </r>
  <r>
    <x v="302"/>
    <x v="0"/>
    <x v="2"/>
    <x v="0"/>
    <x v="5"/>
    <n v="72902"/>
    <n v="4942"/>
    <n v="16308.6"/>
    <n v="323"/>
    <n v="33499.379999999997"/>
    <n v="6.7789635400949219E-2"/>
    <n v="3.3000000000000003"/>
    <n v="50.49102167182663"/>
    <n v="2.0540929325631874"/>
  </r>
  <r>
    <x v="225"/>
    <x v="2"/>
    <x v="0"/>
    <x v="4"/>
    <x v="1"/>
    <n v="63528"/>
    <n v="711"/>
    <n v="1059.3900000000001"/>
    <n v="23"/>
    <n v="4567.68"/>
    <n v="1.1191915375897242E-2"/>
    <n v="1.4900000000000002"/>
    <n v="46.060434782608702"/>
    <n v="4.3116132868915127"/>
  </r>
  <r>
    <x v="327"/>
    <x v="1"/>
    <x v="2"/>
    <x v="0"/>
    <x v="2"/>
    <n v="169238"/>
    <n v="6583"/>
    <n v="3488.99"/>
    <n v="507"/>
    <n v="146453.92000000001"/>
    <n v="3.8897883454070602E-2"/>
    <n v="0.52999999999999992"/>
    <n v="6.8816370808678498"/>
    <n v="41.976021714020398"/>
  </r>
  <r>
    <x v="132"/>
    <x v="2"/>
    <x v="3"/>
    <x v="3"/>
    <x v="4"/>
    <n v="14815"/>
    <n v="189"/>
    <n v="103.95"/>
    <n v="3"/>
    <n v="142.69"/>
    <n v="1.2757340533243334E-2"/>
    <n v="0.55000000000000004"/>
    <n v="34.65"/>
    <n v="1.3726791726791727"/>
  </r>
  <r>
    <x v="276"/>
    <x v="1"/>
    <x v="0"/>
    <x v="2"/>
    <x v="3"/>
    <n v="47278"/>
    <n v="2803"/>
    <n v="4737.07"/>
    <n v="201"/>
    <n v="39448.18"/>
    <n v="5.9287617919539744E-2"/>
    <n v="1.69"/>
    <n v="23.567512437810944"/>
    <n v="8.3275484635017012"/>
  </r>
  <r>
    <x v="103"/>
    <x v="0"/>
    <x v="1"/>
    <x v="0"/>
    <x v="0"/>
    <n v="15046"/>
    <n v="400"/>
    <n v="472"/>
    <n v="4"/>
    <n v="142.71"/>
    <n v="2.6585138907350789E-2"/>
    <n v="1.18"/>
    <n v="118"/>
    <n v="0.30235169491525427"/>
  </r>
  <r>
    <x v="246"/>
    <x v="2"/>
    <x v="2"/>
    <x v="3"/>
    <x v="4"/>
    <n v="58968"/>
    <n v="1715"/>
    <n v="2555.35"/>
    <n v="127"/>
    <n v="13332.87"/>
    <n v="2.9083570750237417E-2"/>
    <n v="1.49"/>
    <n v="20.120866141732282"/>
    <n v="5.2176296789089562"/>
  </r>
  <r>
    <x v="328"/>
    <x v="0"/>
    <x v="0"/>
    <x v="2"/>
    <x v="5"/>
    <n v="13083"/>
    <n v="707"/>
    <n v="1682.66"/>
    <n v="41"/>
    <n v="10442.74"/>
    <n v="5.403959336543606E-2"/>
    <n v="2.3800000000000003"/>
    <n v="41.040487804878047"/>
    <n v="6.2060903569348529"/>
  </r>
  <r>
    <x v="321"/>
    <x v="1"/>
    <x v="0"/>
    <x v="3"/>
    <x v="3"/>
    <n v="109222"/>
    <n v="7306"/>
    <n v="7963.54"/>
    <n v="124"/>
    <n v="12349.14"/>
    <n v="6.6891285638424489E-2"/>
    <n v="1.0900000000000001"/>
    <n v="64.222096774193545"/>
    <n v="1.5507098601878058"/>
  </r>
  <r>
    <x v="76"/>
    <x v="1"/>
    <x v="0"/>
    <x v="3"/>
    <x v="1"/>
    <n v="45382"/>
    <n v="2246"/>
    <n v="3571.14"/>
    <n v="46"/>
    <n v="2662.9"/>
    <n v="4.9490987616235514E-2"/>
    <n v="1.5899999999999999"/>
    <n v="77.633478260869566"/>
    <n v="0.74567225031782569"/>
  </r>
  <r>
    <x v="118"/>
    <x v="2"/>
    <x v="3"/>
    <x v="2"/>
    <x v="0"/>
    <n v="196432"/>
    <n v="6501"/>
    <n v="2600.4"/>
    <n v="462"/>
    <n v="52195.74"/>
    <n v="3.3095422334446525E-2"/>
    <n v="0.4"/>
    <n v="5.628571428571429"/>
    <n v="20.072196585140745"/>
  </r>
  <r>
    <x v="269"/>
    <x v="1"/>
    <x v="0"/>
    <x v="1"/>
    <x v="5"/>
    <n v="71470"/>
    <n v="2065"/>
    <n v="2436.6999999999998"/>
    <n v="37"/>
    <n v="10377.15"/>
    <n v="2.889324191968658E-2"/>
    <n v="1.18"/>
    <n v="65.856756756756752"/>
    <n v="4.2586900316001151"/>
  </r>
  <r>
    <x v="293"/>
    <x v="1"/>
    <x v="3"/>
    <x v="3"/>
    <x v="2"/>
    <n v="103026"/>
    <n v="9066"/>
    <n v="12964.38"/>
    <n v="278"/>
    <n v="46631"/>
    <n v="8.7997204589132835E-2"/>
    <n v="1.43"/>
    <n v="46.634460431654674"/>
    <n v="3.5968553837514792"/>
  </r>
  <r>
    <x v="329"/>
    <x v="2"/>
    <x v="3"/>
    <x v="0"/>
    <x v="5"/>
    <n v="140793"/>
    <n v="2886"/>
    <n v="4386.72"/>
    <n v="141"/>
    <n v="12104.44"/>
    <n v="2.0498178176471843E-2"/>
    <n v="1.52"/>
    <n v="31.11148936170213"/>
    <n v="2.7593372724951672"/>
  </r>
  <r>
    <x v="155"/>
    <x v="2"/>
    <x v="0"/>
    <x v="0"/>
    <x v="4"/>
    <n v="8970"/>
    <n v="306"/>
    <n v="183.6"/>
    <n v="22"/>
    <n v="4976.05"/>
    <n v="3.4113712374581939E-2"/>
    <n v="0.6"/>
    <n v="8.3454545454545457"/>
    <n v="27.102668845315907"/>
  </r>
  <r>
    <x v="327"/>
    <x v="2"/>
    <x v="3"/>
    <x v="0"/>
    <x v="3"/>
    <n v="177825"/>
    <n v="4285"/>
    <n v="3342.3"/>
    <n v="163"/>
    <n v="29602.7"/>
    <n v="2.4096724307605791E-2"/>
    <n v="0.78"/>
    <n v="20.504907975460124"/>
    <n v="8.8569847111270672"/>
  </r>
  <r>
    <x v="96"/>
    <x v="2"/>
    <x v="3"/>
    <x v="3"/>
    <x v="0"/>
    <n v="122512"/>
    <n v="4532"/>
    <n v="8338.8799999999992"/>
    <n v="61"/>
    <n v="5305.8"/>
    <n v="3.6992294632362546E-2"/>
    <n v="1.8399999999999999"/>
    <n v="136.70295081967211"/>
    <n v="0.63627249702597954"/>
  </r>
  <r>
    <x v="77"/>
    <x v="0"/>
    <x v="0"/>
    <x v="1"/>
    <x v="4"/>
    <n v="107548"/>
    <n v="4258"/>
    <n v="13625.6"/>
    <n v="145"/>
    <n v="17656.919999999998"/>
    <n v="3.9591624205006136E-2"/>
    <n v="3.2"/>
    <n v="93.969655172413795"/>
    <n v="1.2958636683889149"/>
  </r>
  <r>
    <x v="208"/>
    <x v="1"/>
    <x v="3"/>
    <x v="2"/>
    <x v="1"/>
    <n v="89224"/>
    <n v="5255"/>
    <n v="10457.450000000001"/>
    <n v="336"/>
    <n v="94667.83"/>
    <n v="5.8896709405541113E-2"/>
    <n v="1.9900000000000002"/>
    <n v="31.123363095238098"/>
    <n v="9.0526686716168854"/>
  </r>
  <r>
    <x v="145"/>
    <x v="2"/>
    <x v="3"/>
    <x v="4"/>
    <x v="1"/>
    <n v="100561"/>
    <n v="3781"/>
    <n v="5255.59"/>
    <n v="124"/>
    <n v="34626.86"/>
    <n v="3.7599069221666448E-2"/>
    <n v="1.3900000000000001"/>
    <n v="42.383790322580644"/>
    <n v="6.5885771150337069"/>
  </r>
  <r>
    <x v="213"/>
    <x v="0"/>
    <x v="0"/>
    <x v="0"/>
    <x v="0"/>
    <n v="50111"/>
    <n v="2320"/>
    <n v="6333.6"/>
    <n v="153"/>
    <n v="30016.66"/>
    <n v="4.6297220171219892E-2"/>
    <n v="2.73"/>
    <n v="41.396078431372551"/>
    <n v="4.7392730832385999"/>
  </r>
  <r>
    <x v="127"/>
    <x v="0"/>
    <x v="3"/>
    <x v="3"/>
    <x v="3"/>
    <n v="65985"/>
    <n v="1445"/>
    <n v="1184.9000000000001"/>
    <n v="63"/>
    <n v="4237.8500000000004"/>
    <n v="2.1898916420398575E-2"/>
    <n v="0.82000000000000006"/>
    <n v="18.80793650793651"/>
    <n v="3.5765465440121531"/>
  </r>
  <r>
    <x v="85"/>
    <x v="2"/>
    <x v="1"/>
    <x v="4"/>
    <x v="3"/>
    <n v="93257"/>
    <n v="1930"/>
    <n v="2547.6"/>
    <n v="102"/>
    <n v="26767.95"/>
    <n v="2.069549738893595E-2"/>
    <n v="1.32"/>
    <n v="24.976470588235294"/>
    <n v="10.507124352331607"/>
  </r>
  <r>
    <x v="112"/>
    <x v="1"/>
    <x v="0"/>
    <x v="3"/>
    <x v="5"/>
    <n v="102847"/>
    <n v="6458"/>
    <n v="7555.86"/>
    <n v="314"/>
    <n v="81199.399999999994"/>
    <n v="6.279230312989198E-2"/>
    <n v="1.17"/>
    <n v="24.063248407643311"/>
    <n v="10.746546389160201"/>
  </r>
  <r>
    <x v="106"/>
    <x v="2"/>
    <x v="0"/>
    <x v="3"/>
    <x v="0"/>
    <n v="161738"/>
    <n v="5046"/>
    <n v="8376.36"/>
    <n v="258"/>
    <n v="29417.67"/>
    <n v="3.1198605151541381E-2"/>
    <n v="1.6600000000000001"/>
    <n v="32.466511627906982"/>
    <n v="3.5119873071357959"/>
  </r>
  <r>
    <x v="239"/>
    <x v="2"/>
    <x v="2"/>
    <x v="2"/>
    <x v="6"/>
    <n v="46516"/>
    <n v="772"/>
    <n v="455.48"/>
    <n v="39"/>
    <n v="4874.74"/>
    <n v="1.6596439934646143E-2"/>
    <n v="0.59"/>
    <n v="11.67897435897436"/>
    <n v="10.702423816633001"/>
  </r>
  <r>
    <x v="143"/>
    <x v="0"/>
    <x v="1"/>
    <x v="3"/>
    <x v="4"/>
    <n v="7802"/>
    <n v="340"/>
    <n v="805.8"/>
    <n v="14"/>
    <n v="799.08"/>
    <n v="4.3578569597539092E-2"/>
    <n v="2.3699999999999997"/>
    <n v="57.557142857142857"/>
    <n v="0.99166046165301569"/>
  </r>
  <r>
    <x v="309"/>
    <x v="0"/>
    <x v="0"/>
    <x v="1"/>
    <x v="2"/>
    <n v="15960"/>
    <n v="750"/>
    <n v="1290"/>
    <n v="40"/>
    <n v="6919.55"/>
    <n v="4.6992481203007516E-2"/>
    <n v="1.72"/>
    <n v="32.25"/>
    <n v="5.3639922480620159"/>
  </r>
  <r>
    <x v="214"/>
    <x v="1"/>
    <x v="2"/>
    <x v="3"/>
    <x v="6"/>
    <n v="55701"/>
    <n v="4138"/>
    <n v="1406.92"/>
    <n v="229"/>
    <n v="20016.59"/>
    <n v="7.4289510062655967E-2"/>
    <n v="0.34"/>
    <n v="6.143755458515284"/>
    <n v="14.227241065590082"/>
  </r>
  <r>
    <x v="52"/>
    <x v="0"/>
    <x v="3"/>
    <x v="4"/>
    <x v="5"/>
    <n v="64757"/>
    <n v="3976"/>
    <n v="5685.68"/>
    <n v="58"/>
    <n v="4380.33"/>
    <n v="6.1398767700789107E-2"/>
    <n v="1.4300000000000002"/>
    <n v="98.028965517241389"/>
    <n v="0.77041444471021936"/>
  </r>
  <r>
    <x v="76"/>
    <x v="1"/>
    <x v="0"/>
    <x v="3"/>
    <x v="1"/>
    <n v="199291"/>
    <n v="16660"/>
    <n v="19325.599999999999"/>
    <n v="1016"/>
    <n v="207611.26"/>
    <n v="8.3596349057408509E-2"/>
    <n v="1.1599999999999999"/>
    <n v="19.021259842519683"/>
    <n v="10.742810572504865"/>
  </r>
  <r>
    <x v="74"/>
    <x v="1"/>
    <x v="2"/>
    <x v="1"/>
    <x v="1"/>
    <n v="116800"/>
    <n v="8351"/>
    <n v="5845.7"/>
    <n v="493"/>
    <n v="80828.759999999995"/>
    <n v="7.1498287671232882E-2"/>
    <n v="0.7"/>
    <n v="11.857403651115618"/>
    <n v="13.827045520639102"/>
  </r>
  <r>
    <x v="326"/>
    <x v="2"/>
    <x v="2"/>
    <x v="2"/>
    <x v="4"/>
    <n v="88470"/>
    <n v="2459"/>
    <n v="2434.41"/>
    <n v="165"/>
    <n v="44145"/>
    <n v="2.7794732677743867E-2"/>
    <n v="0.99"/>
    <n v="14.754"/>
    <n v="18.133757255351401"/>
  </r>
  <r>
    <x v="40"/>
    <x v="1"/>
    <x v="3"/>
    <x v="2"/>
    <x v="6"/>
    <n v="186782"/>
    <n v="14270"/>
    <n v="15411.6"/>
    <n v="931"/>
    <n v="224929.42"/>
    <n v="7.6399224764698959E-2"/>
    <n v="1.08"/>
    <n v="16.553813104189043"/>
    <n v="14.594812998001506"/>
  </r>
  <r>
    <x v="262"/>
    <x v="0"/>
    <x v="3"/>
    <x v="2"/>
    <x v="0"/>
    <n v="121832"/>
    <n v="6786"/>
    <n v="8007.48"/>
    <n v="139"/>
    <n v="28929.72"/>
    <n v="5.569965197977543E-2"/>
    <n v="1.18"/>
    <n v="57.60776978417266"/>
    <n v="3.6128369974074244"/>
  </r>
  <r>
    <x v="11"/>
    <x v="0"/>
    <x v="1"/>
    <x v="4"/>
    <x v="2"/>
    <n v="88514"/>
    <n v="1610"/>
    <n v="1384.6"/>
    <n v="77"/>
    <n v="22165.040000000001"/>
    <n v="1.8189213005852183E-2"/>
    <n v="0.86"/>
    <n v="17.981818181818181"/>
    <n v="16.008262314025714"/>
  </r>
  <r>
    <x v="35"/>
    <x v="2"/>
    <x v="3"/>
    <x v="0"/>
    <x v="5"/>
    <n v="125424"/>
    <n v="3787"/>
    <n v="1817.76"/>
    <n v="253"/>
    <n v="36320.54"/>
    <n v="3.0193583365225155E-2"/>
    <n v="0.48"/>
    <n v="7.1848221343873515"/>
    <n v="19.980932576357716"/>
  </r>
  <r>
    <x v="132"/>
    <x v="1"/>
    <x v="1"/>
    <x v="2"/>
    <x v="0"/>
    <n v="23883"/>
    <n v="1332"/>
    <n v="2077.92"/>
    <n v="66"/>
    <n v="10903.46"/>
    <n v="5.5771887953774649E-2"/>
    <n v="1.56"/>
    <n v="31.483636363636364"/>
    <n v="5.2472953722953717"/>
  </r>
  <r>
    <x v="330"/>
    <x v="2"/>
    <x v="2"/>
    <x v="4"/>
    <x v="3"/>
    <n v="49864"/>
    <n v="2074"/>
    <n v="3629.5"/>
    <n v="73"/>
    <n v="14018.44"/>
    <n v="4.1593133322637574E-2"/>
    <n v="1.75"/>
    <n v="49.719178082191782"/>
    <n v="3.862361206777793"/>
  </r>
  <r>
    <x v="167"/>
    <x v="0"/>
    <x v="1"/>
    <x v="3"/>
    <x v="0"/>
    <n v="190890"/>
    <n v="7616"/>
    <n v="8834.56"/>
    <n v="141"/>
    <n v="25751.07"/>
    <n v="3.9897323065639895E-2"/>
    <n v="1.1599999999999999"/>
    <n v="62.656453900709216"/>
    <n v="2.9148106979860913"/>
  </r>
  <r>
    <x v="143"/>
    <x v="0"/>
    <x v="3"/>
    <x v="1"/>
    <x v="1"/>
    <n v="146295"/>
    <n v="3394"/>
    <n v="11573.54"/>
    <n v="195"/>
    <n v="49666.69"/>
    <n v="2.3199699237841348E-2"/>
    <n v="3.41"/>
    <n v="59.351487179487187"/>
    <n v="4.2914000383633697"/>
  </r>
  <r>
    <x v="68"/>
    <x v="2"/>
    <x v="0"/>
    <x v="3"/>
    <x v="5"/>
    <n v="29343"/>
    <n v="346"/>
    <n v="695.46"/>
    <n v="7"/>
    <n v="672.01"/>
    <n v="1.1791568687591588E-2"/>
    <n v="2.0100000000000002"/>
    <n v="99.351428571428571"/>
    <n v="0.96628131021194597"/>
  </r>
  <r>
    <x v="136"/>
    <x v="1"/>
    <x v="3"/>
    <x v="1"/>
    <x v="6"/>
    <n v="154712"/>
    <n v="10288"/>
    <n v="11111.04"/>
    <n v="439"/>
    <n v="80440.02"/>
    <n v="6.649775065928952E-2"/>
    <n v="1.08"/>
    <n v="25.309886104783601"/>
    <n v="7.239648133748056"/>
  </r>
  <r>
    <x v="224"/>
    <x v="1"/>
    <x v="1"/>
    <x v="1"/>
    <x v="3"/>
    <n v="60438"/>
    <n v="5554"/>
    <n v="7997.76"/>
    <n v="286"/>
    <n v="35506.6"/>
    <n v="9.1895827128627691E-2"/>
    <n v="1.44"/>
    <n v="27.964195804195803"/>
    <n v="4.4395680790621368"/>
  </r>
  <r>
    <x v="331"/>
    <x v="0"/>
    <x v="2"/>
    <x v="1"/>
    <x v="6"/>
    <n v="18149"/>
    <n v="918"/>
    <n v="1487.16"/>
    <n v="14"/>
    <n v="3557.93"/>
    <n v="5.0581299245137476E-2"/>
    <n v="1.62"/>
    <n v="106.22571428571429"/>
    <n v="2.3924325560128028"/>
  </r>
  <r>
    <x v="200"/>
    <x v="1"/>
    <x v="2"/>
    <x v="3"/>
    <x v="3"/>
    <n v="39626"/>
    <n v="1172"/>
    <n v="679.76"/>
    <n v="22"/>
    <n v="1100.5899999999999"/>
    <n v="2.9576540655125421E-2"/>
    <n v="0.57999999999999996"/>
    <n v="30.898181818181818"/>
    <n v="1.6190861480522536"/>
  </r>
  <r>
    <x v="322"/>
    <x v="1"/>
    <x v="2"/>
    <x v="4"/>
    <x v="0"/>
    <n v="103730"/>
    <n v="4335"/>
    <n v="6415.8"/>
    <n v="104"/>
    <n v="27379.91"/>
    <n v="4.1791188662874769E-2"/>
    <n v="1.48"/>
    <n v="61.690384615384616"/>
    <n v="4.2675753608279559"/>
  </r>
  <r>
    <x v="332"/>
    <x v="0"/>
    <x v="3"/>
    <x v="2"/>
    <x v="2"/>
    <n v="35346"/>
    <n v="1279"/>
    <n v="3248.66"/>
    <n v="48"/>
    <n v="1649.56"/>
    <n v="3.6185141175804902E-2"/>
    <n v="2.54"/>
    <n v="67.680416666666659"/>
    <n v="0.50776627901965732"/>
  </r>
  <r>
    <x v="303"/>
    <x v="2"/>
    <x v="1"/>
    <x v="2"/>
    <x v="6"/>
    <n v="57776"/>
    <n v="1490"/>
    <n v="1758.2"/>
    <n v="107"/>
    <n v="22435.51"/>
    <n v="2.5789255054001661E-2"/>
    <n v="1.18"/>
    <n v="16.43177570093458"/>
    <n v="12.76049937436014"/>
  </r>
  <r>
    <x v="136"/>
    <x v="2"/>
    <x v="2"/>
    <x v="3"/>
    <x v="0"/>
    <n v="178916"/>
    <n v="4723"/>
    <n v="7273.42"/>
    <n v="147"/>
    <n v="29612.74"/>
    <n v="2.6397862684164636E-2"/>
    <n v="1.54"/>
    <n v="49.47904761904762"/>
    <n v="4.0713639525835168"/>
  </r>
  <r>
    <x v="91"/>
    <x v="2"/>
    <x v="0"/>
    <x v="0"/>
    <x v="4"/>
    <n v="34778"/>
    <n v="705"/>
    <n v="1099.8"/>
    <n v="35"/>
    <n v="2280.29"/>
    <n v="2.0271435965265396E-2"/>
    <n v="1.5599999999999998"/>
    <n v="31.42285714285714"/>
    <n v="2.0733678850700126"/>
  </r>
  <r>
    <x v="48"/>
    <x v="1"/>
    <x v="0"/>
    <x v="0"/>
    <x v="6"/>
    <n v="179120"/>
    <n v="8794"/>
    <n v="8442.24"/>
    <n v="646"/>
    <n v="31918.959999999999"/>
    <n v="4.9095578383206787E-2"/>
    <n v="0.96"/>
    <n v="13.068482972136223"/>
    <n v="3.7808638465620499"/>
  </r>
  <r>
    <x v="237"/>
    <x v="2"/>
    <x v="3"/>
    <x v="0"/>
    <x v="0"/>
    <n v="91706"/>
    <n v="1650"/>
    <n v="2772"/>
    <n v="80"/>
    <n v="8391.32"/>
    <n v="1.7992279676357054E-2"/>
    <n v="1.68"/>
    <n v="34.65"/>
    <n v="3.0271717171717172"/>
  </r>
  <r>
    <x v="135"/>
    <x v="2"/>
    <x v="3"/>
    <x v="1"/>
    <x v="3"/>
    <n v="7056"/>
    <n v="227"/>
    <n v="186.14"/>
    <n v="6"/>
    <n v="1653.16"/>
    <n v="3.2171201814058956E-2"/>
    <n v="0.82"/>
    <n v="31.02333333333333"/>
    <n v="8.8812721607392291"/>
  </r>
  <r>
    <x v="0"/>
    <x v="2"/>
    <x v="3"/>
    <x v="4"/>
    <x v="3"/>
    <n v="161646"/>
    <n v="5253"/>
    <n v="5253"/>
    <n v="228"/>
    <n v="43732.39"/>
    <n v="3.2496937752867376E-2"/>
    <n v="1"/>
    <n v="23.039473684210527"/>
    <n v="8.3252217780316009"/>
  </r>
  <r>
    <x v="7"/>
    <x v="0"/>
    <x v="1"/>
    <x v="3"/>
    <x v="4"/>
    <n v="177115"/>
    <n v="8005"/>
    <n v="23214.5"/>
    <n v="460"/>
    <n v="108688.43"/>
    <n v="4.5196623662592104E-2"/>
    <n v="2.9"/>
    <n v="50.466304347826089"/>
    <n v="4.6819199207391931"/>
  </r>
  <r>
    <x v="169"/>
    <x v="1"/>
    <x v="0"/>
    <x v="2"/>
    <x v="6"/>
    <n v="141087"/>
    <n v="10609"/>
    <n v="4667.96"/>
    <n v="737"/>
    <n v="190244.62"/>
    <n v="7.5194737998539901E-2"/>
    <n v="0.44"/>
    <n v="6.3337313432835822"/>
    <n v="40.75540921516037"/>
  </r>
  <r>
    <x v="216"/>
    <x v="1"/>
    <x v="1"/>
    <x v="3"/>
    <x v="6"/>
    <n v="184745"/>
    <n v="12451"/>
    <n v="20793.169999999998"/>
    <n v="404"/>
    <n v="23357.33"/>
    <n v="6.7395599339630297E-2"/>
    <n v="1.67"/>
    <n v="51.468242574257424"/>
    <n v="1.1233174162477393"/>
  </r>
  <r>
    <x v="99"/>
    <x v="0"/>
    <x v="2"/>
    <x v="4"/>
    <x v="0"/>
    <n v="104969"/>
    <n v="5773"/>
    <n v="8197.66"/>
    <n v="142"/>
    <n v="24245.52"/>
    <n v="5.4997189646467055E-2"/>
    <n v="1.42"/>
    <n v="57.73"/>
    <n v="2.9576147339606669"/>
  </r>
  <r>
    <x v="173"/>
    <x v="1"/>
    <x v="2"/>
    <x v="0"/>
    <x v="5"/>
    <n v="80885"/>
    <n v="3995"/>
    <n v="1757.8"/>
    <n v="79"/>
    <n v="10692.34"/>
    <n v="4.9391110836372626E-2"/>
    <n v="0.44"/>
    <n v="22.250632911392405"/>
    <n v="6.0827966776652636"/>
  </r>
  <r>
    <x v="78"/>
    <x v="0"/>
    <x v="1"/>
    <x v="4"/>
    <x v="4"/>
    <n v="33807"/>
    <n v="807"/>
    <n v="1638.21"/>
    <n v="25"/>
    <n v="5072.7700000000004"/>
    <n v="2.3870795988996361E-2"/>
    <n v="2.0300000000000002"/>
    <n v="65.528400000000005"/>
    <n v="3.0965321906226921"/>
  </r>
  <r>
    <x v="37"/>
    <x v="2"/>
    <x v="0"/>
    <x v="3"/>
    <x v="5"/>
    <n v="198074"/>
    <n v="5783"/>
    <n v="3527.63"/>
    <n v="263"/>
    <n v="60037.86"/>
    <n v="2.9196159011278613E-2"/>
    <n v="0.61"/>
    <n v="13.413041825095057"/>
    <n v="17.019318919501195"/>
  </r>
  <r>
    <x v="333"/>
    <x v="0"/>
    <x v="0"/>
    <x v="1"/>
    <x v="1"/>
    <n v="115282"/>
    <n v="4876"/>
    <n v="18333.759999999998"/>
    <n v="77"/>
    <n v="2427.15"/>
    <n v="4.2296282160267866E-2"/>
    <n v="3.76"/>
    <n v="238.1007792207792"/>
    <n v="0.13238691899533978"/>
  </r>
  <r>
    <x v="29"/>
    <x v="0"/>
    <x v="3"/>
    <x v="2"/>
    <x v="2"/>
    <n v="45880"/>
    <n v="2817"/>
    <n v="3211.38"/>
    <n v="62"/>
    <n v="2770.83"/>
    <n v="6.1399302528334788E-2"/>
    <n v="1.1400000000000001"/>
    <n v="51.796451612903226"/>
    <n v="0.86281598565102846"/>
  </r>
  <r>
    <x v="95"/>
    <x v="2"/>
    <x v="0"/>
    <x v="2"/>
    <x v="3"/>
    <n v="20993"/>
    <n v="583"/>
    <n v="746.24"/>
    <n v="45"/>
    <n v="4493.83"/>
    <n v="2.7771161815843378E-2"/>
    <n v="1.28"/>
    <n v="16.583111111111112"/>
    <n v="6.0219634433962259"/>
  </r>
  <r>
    <x v="334"/>
    <x v="0"/>
    <x v="1"/>
    <x v="3"/>
    <x v="4"/>
    <n v="183448"/>
    <n v="8053"/>
    <n v="16750.240000000002"/>
    <n v="351"/>
    <n v="74979.38"/>
    <n v="4.3897998342854648E-2"/>
    <n v="2.08"/>
    <n v="47.721481481481483"/>
    <n v="4.4763167572524329"/>
  </r>
  <r>
    <x v="0"/>
    <x v="1"/>
    <x v="2"/>
    <x v="1"/>
    <x v="0"/>
    <n v="119944"/>
    <n v="9331"/>
    <n v="5691.91"/>
    <n v="717"/>
    <n v="101587.49"/>
    <n v="7.7794637497498834E-2"/>
    <n v="0.61"/>
    <n v="7.9385076708507665"/>
    <n v="17.847697872945989"/>
  </r>
  <r>
    <x v="232"/>
    <x v="1"/>
    <x v="0"/>
    <x v="2"/>
    <x v="4"/>
    <n v="69198"/>
    <n v="3529"/>
    <n v="1940.95"/>
    <n v="256"/>
    <n v="15199.33"/>
    <n v="5.0998583774097515E-2"/>
    <n v="0.55000000000000004"/>
    <n v="7.5818359375000002"/>
    <n v="7.8308714804605986"/>
  </r>
  <r>
    <x v="262"/>
    <x v="2"/>
    <x v="0"/>
    <x v="2"/>
    <x v="1"/>
    <n v="46936"/>
    <n v="2234"/>
    <n v="1764.86"/>
    <n v="55"/>
    <n v="5977.87"/>
    <n v="4.7596727458667124E-2"/>
    <n v="0.78999999999999992"/>
    <n v="32.088363636363631"/>
    <n v="3.3871638543567197"/>
  </r>
  <r>
    <x v="18"/>
    <x v="1"/>
    <x v="1"/>
    <x v="1"/>
    <x v="5"/>
    <n v="21689"/>
    <n v="895"/>
    <n v="850.25"/>
    <n v="22"/>
    <n v="4747.38"/>
    <n v="4.1265157453086815E-2"/>
    <n v="0.95"/>
    <n v="38.647727272727273"/>
    <n v="5.583510732137607"/>
  </r>
  <r>
    <x v="147"/>
    <x v="1"/>
    <x v="0"/>
    <x v="1"/>
    <x v="5"/>
    <n v="24504"/>
    <n v="899"/>
    <n v="1276.58"/>
    <n v="41"/>
    <n v="3721.4"/>
    <n v="3.6687887691805421E-2"/>
    <n v="1.42"/>
    <n v="31.136097560975607"/>
    <n v="2.91513261996898"/>
  </r>
  <r>
    <x v="196"/>
    <x v="2"/>
    <x v="2"/>
    <x v="4"/>
    <x v="4"/>
    <n v="119053"/>
    <n v="4000"/>
    <n v="4040"/>
    <n v="152"/>
    <n v="25959.16"/>
    <n v="3.3598481348643044E-2"/>
    <n v="1.01"/>
    <n v="26.578947368421051"/>
    <n v="6.4255346534653466"/>
  </r>
  <r>
    <x v="0"/>
    <x v="1"/>
    <x v="0"/>
    <x v="2"/>
    <x v="4"/>
    <n v="160522"/>
    <n v="5425"/>
    <n v="6021.75"/>
    <n v="398"/>
    <n v="79057.929999999993"/>
    <n v="3.3795990580730365E-2"/>
    <n v="1.1100000000000001"/>
    <n v="15.130025125628141"/>
    <n v="13.128730020342923"/>
  </r>
  <r>
    <x v="246"/>
    <x v="0"/>
    <x v="2"/>
    <x v="1"/>
    <x v="1"/>
    <n v="158627"/>
    <n v="7725"/>
    <n v="22248"/>
    <n v="299"/>
    <n v="66700.13"/>
    <n v="4.8699149577310294E-2"/>
    <n v="2.88"/>
    <n v="74.408026755852845"/>
    <n v="2.9980281373606616"/>
  </r>
  <r>
    <x v="249"/>
    <x v="2"/>
    <x v="1"/>
    <x v="3"/>
    <x v="3"/>
    <n v="157955"/>
    <n v="2780"/>
    <n v="1723.6"/>
    <n v="202"/>
    <n v="49191.360000000001"/>
    <n v="1.7599949352663732E-2"/>
    <n v="0.62"/>
    <n v="8.5326732673267323"/>
    <n v="28.539893246692969"/>
  </r>
  <r>
    <x v="241"/>
    <x v="2"/>
    <x v="2"/>
    <x v="1"/>
    <x v="2"/>
    <n v="196112"/>
    <n v="2647"/>
    <n v="3996.97"/>
    <n v="187"/>
    <n v="16387.669999999998"/>
    <n v="1.3497389246960921E-2"/>
    <n v="1.51"/>
    <n v="21.37417112299465"/>
    <n v="4.1000232676252262"/>
  </r>
  <r>
    <x v="199"/>
    <x v="2"/>
    <x v="3"/>
    <x v="1"/>
    <x v="3"/>
    <n v="67167"/>
    <n v="1907"/>
    <n v="2727.01"/>
    <n v="114"/>
    <n v="20596.75"/>
    <n v="2.839191865052779E-2"/>
    <n v="1.4300000000000002"/>
    <n v="23.921140350877195"/>
    <n v="7.5528692597386877"/>
  </r>
  <r>
    <x v="235"/>
    <x v="0"/>
    <x v="3"/>
    <x v="2"/>
    <x v="5"/>
    <n v="90550"/>
    <n v="3966"/>
    <n v="10946.16"/>
    <n v="207"/>
    <n v="7960.57"/>
    <n v="4.3799006073992272E-2"/>
    <n v="2.76"/>
    <n v="52.88"/>
    <n v="0.72724772888391909"/>
  </r>
  <r>
    <x v="154"/>
    <x v="0"/>
    <x v="2"/>
    <x v="1"/>
    <x v="2"/>
    <n v="91150"/>
    <n v="4119"/>
    <n v="15775.77"/>
    <n v="98"/>
    <n v="4547.95"/>
    <n v="4.5189248491497531E-2"/>
    <n v="3.83"/>
    <n v="160.9772448979592"/>
    <n v="0.28828703765331265"/>
  </r>
  <r>
    <x v="322"/>
    <x v="0"/>
    <x v="3"/>
    <x v="0"/>
    <x v="5"/>
    <n v="157832"/>
    <n v="4072"/>
    <n v="9691.36"/>
    <n v="124"/>
    <n v="34560.39"/>
    <n v="2.5799584368188959E-2"/>
    <n v="2.3800000000000003"/>
    <n v="78.156129032258065"/>
    <n v="3.5661032094566703"/>
  </r>
  <r>
    <x v="73"/>
    <x v="0"/>
    <x v="1"/>
    <x v="0"/>
    <x v="5"/>
    <n v="28958"/>
    <n v="1355"/>
    <n v="3888.85"/>
    <n v="49"/>
    <n v="13909.3"/>
    <n v="4.6791905518336903E-2"/>
    <n v="2.87"/>
    <n v="79.364285714285714"/>
    <n v="3.5767129099862425"/>
  </r>
  <r>
    <x v="102"/>
    <x v="2"/>
    <x v="2"/>
    <x v="1"/>
    <x v="0"/>
    <n v="8487"/>
    <n v="271"/>
    <n v="246.61"/>
    <n v="14"/>
    <n v="4179.96"/>
    <n v="3.1931188877106165E-2"/>
    <n v="0.91"/>
    <n v="17.615000000000002"/>
    <n v="16.949677628644416"/>
  </r>
  <r>
    <x v="144"/>
    <x v="2"/>
    <x v="2"/>
    <x v="2"/>
    <x v="4"/>
    <n v="91284"/>
    <n v="2126"/>
    <n v="1955.92"/>
    <n v="132"/>
    <n v="23916.94"/>
    <n v="2.3289952236974717E-2"/>
    <n v="0.92"/>
    <n v="14.817575757575758"/>
    <n v="12.227974559286677"/>
  </r>
  <r>
    <x v="127"/>
    <x v="2"/>
    <x v="1"/>
    <x v="0"/>
    <x v="3"/>
    <n v="84737"/>
    <n v="1415"/>
    <n v="863.15"/>
    <n v="67"/>
    <n v="10044.57"/>
    <n v="1.6698726648335438E-2"/>
    <n v="0.61"/>
    <n v="12.882835820895522"/>
    <n v="11.637108266234142"/>
  </r>
  <r>
    <x v="27"/>
    <x v="2"/>
    <x v="0"/>
    <x v="1"/>
    <x v="6"/>
    <n v="31547"/>
    <n v="772"/>
    <n v="1536.28"/>
    <n v="15"/>
    <n v="4188.5"/>
    <n v="2.447142359019875E-2"/>
    <n v="1.99"/>
    <n v="102.41866666666667"/>
    <n v="2.7263910224698624"/>
  </r>
  <r>
    <x v="320"/>
    <x v="2"/>
    <x v="1"/>
    <x v="3"/>
    <x v="4"/>
    <n v="162038"/>
    <n v="2722"/>
    <n v="2095.94"/>
    <n v="71"/>
    <n v="16951.259999999998"/>
    <n v="1.6798528740172059E-2"/>
    <n v="0.77"/>
    <n v="29.520281690140845"/>
    <n v="8.0876647232268084"/>
  </r>
  <r>
    <x v="137"/>
    <x v="0"/>
    <x v="1"/>
    <x v="1"/>
    <x v="0"/>
    <n v="145119"/>
    <n v="9998"/>
    <n v="14597.08"/>
    <n v="233"/>
    <n v="60859.85"/>
    <n v="6.8895182574301092E-2"/>
    <n v="1.46"/>
    <n v="62.648412017167381"/>
    <n v="4.1693167400603404"/>
  </r>
  <r>
    <x v="259"/>
    <x v="1"/>
    <x v="3"/>
    <x v="2"/>
    <x v="4"/>
    <n v="92601"/>
    <n v="4065"/>
    <n v="2113.8000000000002"/>
    <n v="324"/>
    <n v="24076.73"/>
    <n v="4.3898014060323322E-2"/>
    <n v="0.52"/>
    <n v="6.5240740740740746"/>
    <n v="11.390259248746332"/>
  </r>
  <r>
    <x v="19"/>
    <x v="0"/>
    <x v="2"/>
    <x v="2"/>
    <x v="4"/>
    <n v="148041"/>
    <n v="8053"/>
    <n v="27943.91"/>
    <n v="98"/>
    <n v="4146.07"/>
    <n v="5.4397092697293314E-2"/>
    <n v="3.47"/>
    <n v="285.1419387755102"/>
    <n v="0.14837114777423774"/>
  </r>
  <r>
    <x v="136"/>
    <x v="0"/>
    <x v="3"/>
    <x v="4"/>
    <x v="1"/>
    <n v="25195"/>
    <n v="738"/>
    <n v="1926.18"/>
    <n v="12"/>
    <n v="432.4"/>
    <n v="2.9291526096447709E-2"/>
    <n v="2.61"/>
    <n v="160.51500000000001"/>
    <n v="0.22448576976191215"/>
  </r>
  <r>
    <x v="0"/>
    <x v="0"/>
    <x v="3"/>
    <x v="1"/>
    <x v="6"/>
    <n v="186465"/>
    <n v="8689"/>
    <n v="21027.38"/>
    <n v="367"/>
    <n v="57833.06"/>
    <n v="4.6598557370015822E-2"/>
    <n v="2.42"/>
    <n v="57.295313351498642"/>
    <n v="2.7503692804334157"/>
  </r>
  <r>
    <x v="82"/>
    <x v="0"/>
    <x v="2"/>
    <x v="0"/>
    <x v="6"/>
    <n v="136960"/>
    <n v="5382"/>
    <n v="7642.44"/>
    <n v="230"/>
    <n v="39826.629999999997"/>
    <n v="3.9296144859813087E-2"/>
    <n v="1.42"/>
    <n v="33.228000000000002"/>
    <n v="5.2112453614290724"/>
  </r>
  <r>
    <x v="254"/>
    <x v="0"/>
    <x v="1"/>
    <x v="1"/>
    <x v="2"/>
    <n v="193405"/>
    <n v="7852"/>
    <n v="7537.92"/>
    <n v="459"/>
    <n v="79715.61"/>
    <n v="4.0598743569194178E-2"/>
    <n v="0.96"/>
    <n v="16.42248366013072"/>
    <n v="10.575279387417218"/>
  </r>
  <r>
    <x v="48"/>
    <x v="2"/>
    <x v="1"/>
    <x v="2"/>
    <x v="2"/>
    <n v="118591"/>
    <n v="4043"/>
    <n v="4649.45"/>
    <n v="303"/>
    <n v="36581.129999999997"/>
    <n v="3.4091963133795991E-2"/>
    <n v="1.1499999999999999"/>
    <n v="15.344719471947194"/>
    <n v="7.8678402821839137"/>
  </r>
  <r>
    <x v="110"/>
    <x v="0"/>
    <x v="0"/>
    <x v="0"/>
    <x v="3"/>
    <n v="163349"/>
    <n v="7906"/>
    <n v="21188.080000000002"/>
    <n v="360"/>
    <n v="44353.83"/>
    <n v="4.8399439237460894E-2"/>
    <n v="2.68"/>
    <n v="58.855777777777782"/>
    <n v="2.0933388018168704"/>
  </r>
  <r>
    <x v="184"/>
    <x v="0"/>
    <x v="1"/>
    <x v="2"/>
    <x v="2"/>
    <n v="166957"/>
    <n v="5476"/>
    <n v="6680.72"/>
    <n v="137"/>
    <n v="35345.21"/>
    <n v="3.2798864378253086E-2"/>
    <n v="1.22"/>
    <n v="48.7643795620438"/>
    <n v="5.2906288543749769"/>
  </r>
  <r>
    <x v="192"/>
    <x v="2"/>
    <x v="3"/>
    <x v="3"/>
    <x v="1"/>
    <n v="169818"/>
    <n v="4992"/>
    <n v="9484.7999999999993"/>
    <n v="146"/>
    <n v="26864.23"/>
    <n v="2.9396177083701375E-2"/>
    <n v="1.9"/>
    <n v="64.964383561643828"/>
    <n v="2.832345436909582"/>
  </r>
  <r>
    <x v="231"/>
    <x v="0"/>
    <x v="3"/>
    <x v="1"/>
    <x v="5"/>
    <n v="158441"/>
    <n v="3976"/>
    <n v="10814.72"/>
    <n v="300"/>
    <n v="51868.85"/>
    <n v="2.5094514677387797E-2"/>
    <n v="2.7199999999999998"/>
    <n v="36.049066666666661"/>
    <n v="4.7961343428216354"/>
  </r>
  <r>
    <x v="16"/>
    <x v="0"/>
    <x v="3"/>
    <x v="4"/>
    <x v="1"/>
    <n v="10380"/>
    <n v="503"/>
    <n v="1006"/>
    <n v="15"/>
    <n v="1306.45"/>
    <n v="4.8458574181117535E-2"/>
    <n v="2"/>
    <n v="67.066666666666663"/>
    <n v="1.2986580516898609"/>
  </r>
  <r>
    <x v="178"/>
    <x v="0"/>
    <x v="2"/>
    <x v="3"/>
    <x v="6"/>
    <n v="27791"/>
    <n v="930"/>
    <n v="1385.7"/>
    <n v="73"/>
    <n v="10712.26"/>
    <n v="3.3464071102155372E-2"/>
    <n v="1.49"/>
    <n v="18.982191780821918"/>
    <n v="7.7305766038825139"/>
  </r>
  <r>
    <x v="211"/>
    <x v="2"/>
    <x v="2"/>
    <x v="4"/>
    <x v="6"/>
    <n v="124870"/>
    <n v="2622"/>
    <n v="4404.96"/>
    <n v="140"/>
    <n v="13095.31"/>
    <n v="2.0997837751261312E-2"/>
    <n v="1.68"/>
    <n v="31.463999999999999"/>
    <n v="2.9728555991427843"/>
  </r>
  <r>
    <x v="245"/>
    <x v="2"/>
    <x v="3"/>
    <x v="2"/>
    <x v="6"/>
    <n v="137053"/>
    <n v="5550"/>
    <n v="8436"/>
    <n v="381"/>
    <n v="43644.89"/>
    <n v="4.0495282846781902E-2"/>
    <n v="1.52"/>
    <n v="22.141732283464567"/>
    <n v="5.1736474632527267"/>
  </r>
  <r>
    <x v="254"/>
    <x v="2"/>
    <x v="0"/>
    <x v="4"/>
    <x v="0"/>
    <n v="43062"/>
    <n v="1322"/>
    <n v="925.4"/>
    <n v="23"/>
    <n v="2104.08"/>
    <n v="3.0699921044075984E-2"/>
    <n v="0.7"/>
    <n v="40.234782608695653"/>
    <n v="2.2736978603846985"/>
  </r>
  <r>
    <x v="288"/>
    <x v="0"/>
    <x v="1"/>
    <x v="3"/>
    <x v="2"/>
    <n v="177472"/>
    <n v="9210"/>
    <n v="18696.3"/>
    <n v="410"/>
    <n v="45066.38"/>
    <n v="5.1895510277677609E-2"/>
    <n v="2.0299999999999998"/>
    <n v="45.600731707317074"/>
    <n v="2.4104437776458445"/>
  </r>
  <r>
    <x v="12"/>
    <x v="0"/>
    <x v="3"/>
    <x v="2"/>
    <x v="6"/>
    <n v="25967"/>
    <n v="656"/>
    <n v="1764.64"/>
    <n v="24"/>
    <n v="1078.6199999999999"/>
    <n v="2.5262833596487851E-2"/>
    <n v="2.69"/>
    <n v="73.526666666666671"/>
    <n v="0.61124081965726706"/>
  </r>
  <r>
    <x v="136"/>
    <x v="1"/>
    <x v="2"/>
    <x v="3"/>
    <x v="4"/>
    <n v="139162"/>
    <n v="7152"/>
    <n v="9941.2800000000007"/>
    <n v="137"/>
    <n v="29124.09"/>
    <n v="5.1393340135956658E-2"/>
    <n v="1.3900000000000001"/>
    <n v="72.564087591240877"/>
    <n v="2.9296116797836897"/>
  </r>
  <r>
    <x v="129"/>
    <x v="0"/>
    <x v="3"/>
    <x v="0"/>
    <x v="1"/>
    <n v="45364"/>
    <n v="1628"/>
    <n v="2002.44"/>
    <n v="113"/>
    <n v="10930.4"/>
    <n v="3.5887487875848688E-2"/>
    <n v="1.23"/>
    <n v="17.720707964601772"/>
    <n v="5.4585405804917997"/>
  </r>
  <r>
    <x v="252"/>
    <x v="0"/>
    <x v="3"/>
    <x v="4"/>
    <x v="1"/>
    <n v="62320"/>
    <n v="3857"/>
    <n v="3895.57"/>
    <n v="158"/>
    <n v="17905.2"/>
    <n v="6.1890243902439024E-2"/>
    <n v="1.01"/>
    <n v="24.655506329113926"/>
    <n v="4.5962978460148323"/>
  </r>
  <r>
    <x v="168"/>
    <x v="2"/>
    <x v="2"/>
    <x v="3"/>
    <x v="4"/>
    <n v="141436"/>
    <n v="3026"/>
    <n v="5567.84"/>
    <n v="108"/>
    <n v="24540.41"/>
    <n v="2.1394835826805056E-2"/>
    <n v="1.84"/>
    <n v="51.554074074074073"/>
    <n v="4.4075278743642059"/>
  </r>
  <r>
    <x v="263"/>
    <x v="2"/>
    <x v="1"/>
    <x v="1"/>
    <x v="3"/>
    <n v="152318"/>
    <n v="4554"/>
    <n v="4918.32"/>
    <n v="296"/>
    <n v="64805.54"/>
    <n v="2.9897976601583529E-2"/>
    <n v="1.0799999999999998"/>
    <n v="16.615945945945946"/>
    <n v="13.176356967419771"/>
  </r>
  <r>
    <x v="218"/>
    <x v="0"/>
    <x v="0"/>
    <x v="3"/>
    <x v="2"/>
    <n v="27778"/>
    <n v="1902"/>
    <n v="2948.1"/>
    <n v="125"/>
    <n v="15444.21"/>
    <n v="6.8471452228382176E-2"/>
    <n v="1.55"/>
    <n v="23.584799999999998"/>
    <n v="5.2386995013737661"/>
  </r>
  <r>
    <x v="182"/>
    <x v="1"/>
    <x v="1"/>
    <x v="4"/>
    <x v="1"/>
    <n v="82400"/>
    <n v="3708"/>
    <n v="2966.4"/>
    <n v="139"/>
    <n v="31548.51"/>
    <n v="4.4999999999999998E-2"/>
    <n v="0.8"/>
    <n v="21.341007194244604"/>
    <n v="10.635285194174756"/>
  </r>
  <r>
    <x v="45"/>
    <x v="0"/>
    <x v="0"/>
    <x v="2"/>
    <x v="1"/>
    <n v="195606"/>
    <n v="10817"/>
    <n v="38184.01"/>
    <n v="122"/>
    <n v="7355.91"/>
    <n v="5.5299939674652104E-2"/>
    <n v="3.5300000000000002"/>
    <n v="312.98368852459021"/>
    <n v="0.19264372704700211"/>
  </r>
  <r>
    <x v="299"/>
    <x v="1"/>
    <x v="2"/>
    <x v="0"/>
    <x v="4"/>
    <n v="18181"/>
    <n v="1179"/>
    <n v="754.56"/>
    <n v="24"/>
    <n v="4581.7"/>
    <n v="6.4847918156317033E-2"/>
    <n v="0.6399999999999999"/>
    <n v="31.439999999999998"/>
    <n v="6.0720154792196777"/>
  </r>
  <r>
    <x v="244"/>
    <x v="0"/>
    <x v="1"/>
    <x v="3"/>
    <x v="2"/>
    <n v="86560"/>
    <n v="5323"/>
    <n v="4843.93"/>
    <n v="94"/>
    <n v="8283.6200000000008"/>
    <n v="6.1494916820702406E-2"/>
    <n v="0.91"/>
    <n v="51.531170212765957"/>
    <n v="1.7101031600374077"/>
  </r>
  <r>
    <x v="334"/>
    <x v="0"/>
    <x v="1"/>
    <x v="0"/>
    <x v="2"/>
    <n v="89845"/>
    <n v="2605"/>
    <n v="4532.7"/>
    <n v="155"/>
    <n v="14107.55"/>
    <n v="2.8994379208637098E-2"/>
    <n v="1.74"/>
    <n v="29.243225806451612"/>
    <n v="3.1123943786264259"/>
  </r>
  <r>
    <x v="22"/>
    <x v="2"/>
    <x v="2"/>
    <x v="0"/>
    <x v="3"/>
    <n v="194121"/>
    <n v="6270"/>
    <n v="4326.3"/>
    <n v="133"/>
    <n v="11409.44"/>
    <n v="3.2299442100545535E-2"/>
    <n v="0.69000000000000006"/>
    <n v="32.528571428571432"/>
    <n v="2.6372281164043176"/>
  </r>
  <r>
    <x v="114"/>
    <x v="2"/>
    <x v="1"/>
    <x v="3"/>
    <x v="4"/>
    <n v="81313"/>
    <n v="1089"/>
    <n v="1557.27"/>
    <n v="77"/>
    <n v="3549.91"/>
    <n v="1.3392692435403933E-2"/>
    <n v="1.43"/>
    <n v="20.224285714285713"/>
    <n v="2.2795725853577093"/>
  </r>
  <r>
    <x v="285"/>
    <x v="0"/>
    <x v="3"/>
    <x v="2"/>
    <x v="2"/>
    <n v="95153"/>
    <n v="5404"/>
    <n v="9186.7999999999993"/>
    <n v="74"/>
    <n v="20688.95"/>
    <n v="5.6792744317047283E-2"/>
    <n v="1.7"/>
    <n v="124.14594594594594"/>
    <n v="2.2520300866460579"/>
  </r>
  <r>
    <x v="103"/>
    <x v="2"/>
    <x v="3"/>
    <x v="0"/>
    <x v="3"/>
    <n v="104926"/>
    <n v="3273"/>
    <n v="4844.04"/>
    <n v="65"/>
    <n v="12449.27"/>
    <n v="3.1193412500238264E-2"/>
    <n v="1.48"/>
    <n v="74.523692307692301"/>
    <n v="2.570018001502878"/>
  </r>
  <r>
    <x v="132"/>
    <x v="2"/>
    <x v="2"/>
    <x v="3"/>
    <x v="3"/>
    <n v="16093"/>
    <n v="466"/>
    <n v="386.78"/>
    <n v="28"/>
    <n v="5468.73"/>
    <n v="2.8956689243770584E-2"/>
    <n v="0.83"/>
    <n v="13.813571428571427"/>
    <n v="14.13912301566782"/>
  </r>
  <r>
    <x v="204"/>
    <x v="0"/>
    <x v="2"/>
    <x v="1"/>
    <x v="4"/>
    <n v="155338"/>
    <n v="10718"/>
    <n v="19935.48"/>
    <n v="411"/>
    <n v="112821.78"/>
    <n v="6.8997927100902551E-2"/>
    <n v="1.8599999999999999"/>
    <n v="48.504817518248174"/>
    <n v="5.6593460503584563"/>
  </r>
  <r>
    <x v="9"/>
    <x v="0"/>
    <x v="1"/>
    <x v="1"/>
    <x v="4"/>
    <n v="179877"/>
    <n v="4317"/>
    <n v="10965.18"/>
    <n v="215"/>
    <n v="13004.03"/>
    <n v="2.3999733150986507E-2"/>
    <n v="2.54"/>
    <n v="51.000837209302325"/>
    <n v="1.1859385801236277"/>
  </r>
  <r>
    <x v="70"/>
    <x v="1"/>
    <x v="1"/>
    <x v="4"/>
    <x v="6"/>
    <n v="185510"/>
    <n v="9739"/>
    <n v="19964.95"/>
    <n v="461"/>
    <n v="116711.4"/>
    <n v="5.2498517600129371E-2"/>
    <n v="2.0500000000000003"/>
    <n v="43.307917570498915"/>
    <n v="5.8458147904202109"/>
  </r>
  <r>
    <x v="15"/>
    <x v="1"/>
    <x v="0"/>
    <x v="1"/>
    <x v="3"/>
    <n v="135992"/>
    <n v="8023"/>
    <n v="3209.2"/>
    <n v="640"/>
    <n v="50560.98"/>
    <n v="5.8996117418671688E-2"/>
    <n v="0.39999999999999997"/>
    <n v="5.0143749999999994"/>
    <n v="15.755010594540698"/>
  </r>
  <r>
    <x v="214"/>
    <x v="0"/>
    <x v="0"/>
    <x v="1"/>
    <x v="3"/>
    <n v="192593"/>
    <n v="4949"/>
    <n v="9056.67"/>
    <n v="172"/>
    <n v="20836.16"/>
    <n v="2.5696676410876824E-2"/>
    <n v="1.83"/>
    <n v="52.655058139534887"/>
    <n v="2.3006425098849799"/>
  </r>
  <r>
    <x v="19"/>
    <x v="2"/>
    <x v="0"/>
    <x v="1"/>
    <x v="0"/>
    <n v="18487"/>
    <n v="693"/>
    <n v="339.57"/>
    <n v="36"/>
    <n v="7765.15"/>
    <n v="3.7485800833017793E-2"/>
    <n v="0.49"/>
    <n v="9.4324999999999992"/>
    <n v="22.867597255352358"/>
  </r>
  <r>
    <x v="291"/>
    <x v="2"/>
    <x v="1"/>
    <x v="1"/>
    <x v="1"/>
    <n v="88452"/>
    <n v="3361"/>
    <n v="5478.43"/>
    <n v="180"/>
    <n v="8119.45"/>
    <n v="3.7998010220232442E-2"/>
    <n v="1.6300000000000001"/>
    <n v="30.435722222222225"/>
    <n v="1.4820760692388146"/>
  </r>
  <r>
    <x v="335"/>
    <x v="1"/>
    <x v="3"/>
    <x v="0"/>
    <x v="2"/>
    <n v="178714"/>
    <n v="7559"/>
    <n v="8617.26"/>
    <n v="312"/>
    <n v="39985.980000000003"/>
    <n v="4.2296630370312345E-2"/>
    <n v="1.1400000000000001"/>
    <n v="27.619423076923077"/>
    <n v="4.6402197450233604"/>
  </r>
  <r>
    <x v="191"/>
    <x v="1"/>
    <x v="3"/>
    <x v="3"/>
    <x v="1"/>
    <n v="113190"/>
    <n v="3984"/>
    <n v="5617.44"/>
    <n v="172"/>
    <n v="10269.39"/>
    <n v="3.519745560561887E-2"/>
    <n v="1.41"/>
    <n v="32.65953488372093"/>
    <n v="1.828126335127745"/>
  </r>
  <r>
    <x v="133"/>
    <x v="2"/>
    <x v="1"/>
    <x v="4"/>
    <x v="6"/>
    <n v="126103"/>
    <n v="4300"/>
    <n v="4687"/>
    <n v="313"/>
    <n v="18027.88"/>
    <n v="3.4099109458141361E-2"/>
    <n v="1.0900000000000001"/>
    <n v="14.974440894568691"/>
    <n v="3.8463580115212292"/>
  </r>
  <r>
    <x v="172"/>
    <x v="0"/>
    <x v="0"/>
    <x v="2"/>
    <x v="5"/>
    <n v="101355"/>
    <n v="4459"/>
    <n v="11370.45"/>
    <n v="122"/>
    <n v="10455.25"/>
    <n v="4.3993882886882739E-2"/>
    <n v="2.5500000000000003"/>
    <n v="93.200409836065575"/>
    <n v="0.9195106614074201"/>
  </r>
  <r>
    <x v="313"/>
    <x v="0"/>
    <x v="3"/>
    <x v="1"/>
    <x v="4"/>
    <n v="197974"/>
    <n v="4375"/>
    <n v="10631.25"/>
    <n v="347"/>
    <n v="73971.789999999994"/>
    <n v="2.2098861466657238E-2"/>
    <n v="2.4300000000000002"/>
    <n v="30.637608069164266"/>
    <n v="6.9579579071134621"/>
  </r>
  <r>
    <x v="58"/>
    <x v="2"/>
    <x v="2"/>
    <x v="0"/>
    <x v="1"/>
    <n v="49261"/>
    <n v="724"/>
    <n v="448.88"/>
    <n v="31"/>
    <n v="1397.37"/>
    <n v="1.4697224985282475E-2"/>
    <n v="0.62"/>
    <n v="14.48"/>
    <n v="3.1130146141507749"/>
  </r>
  <r>
    <x v="311"/>
    <x v="1"/>
    <x v="2"/>
    <x v="3"/>
    <x v="5"/>
    <n v="174668"/>
    <n v="10916"/>
    <n v="6877.08"/>
    <n v="310"/>
    <n v="37599.64"/>
    <n v="6.2495706139647791E-2"/>
    <n v="0.63"/>
    <n v="22.184129032258063"/>
    <n v="5.4673844131520939"/>
  </r>
  <r>
    <x v="335"/>
    <x v="0"/>
    <x v="2"/>
    <x v="0"/>
    <x v="2"/>
    <n v="163178"/>
    <n v="5172"/>
    <n v="11430.12"/>
    <n v="325"/>
    <n v="14305.21"/>
    <n v="3.1695449141428376E-2"/>
    <n v="2.21"/>
    <n v="35.169600000000003"/>
    <n v="1.2515362918324566"/>
  </r>
  <r>
    <x v="333"/>
    <x v="1"/>
    <x v="0"/>
    <x v="1"/>
    <x v="2"/>
    <n v="105726"/>
    <n v="8542"/>
    <n v="11958.8"/>
    <n v="662"/>
    <n v="104498.78"/>
    <n v="8.0793749881769863E-2"/>
    <n v="1.4"/>
    <n v="18.064652567975831"/>
    <n v="8.7382329330702078"/>
  </r>
  <r>
    <x v="336"/>
    <x v="1"/>
    <x v="3"/>
    <x v="2"/>
    <x v="0"/>
    <n v="74285"/>
    <n v="2094"/>
    <n v="1319.22"/>
    <n v="92"/>
    <n v="18972.8"/>
    <n v="2.8188732583967153E-2"/>
    <n v="0.63"/>
    <n v="14.339347826086957"/>
    <n v="14.381831688421945"/>
  </r>
  <r>
    <x v="207"/>
    <x v="0"/>
    <x v="3"/>
    <x v="1"/>
    <x v="2"/>
    <n v="168471"/>
    <n v="6014"/>
    <n v="5833.58"/>
    <n v="117"/>
    <n v="25231.33"/>
    <n v="3.5697538448753792E-2"/>
    <n v="0.97"/>
    <n v="49.859658119658121"/>
    <n v="4.3251879634804018"/>
  </r>
  <r>
    <x v="270"/>
    <x v="1"/>
    <x v="0"/>
    <x v="4"/>
    <x v="1"/>
    <n v="128295"/>
    <n v="4695"/>
    <n v="3943.8"/>
    <n v="276"/>
    <n v="42279.01"/>
    <n v="3.6595346661989943E-2"/>
    <n v="0.84000000000000008"/>
    <n v="14.28913043478261"/>
    <n v="10.720373751204422"/>
  </r>
  <r>
    <x v="27"/>
    <x v="2"/>
    <x v="0"/>
    <x v="2"/>
    <x v="6"/>
    <n v="109777"/>
    <n v="2722"/>
    <n v="3919.68"/>
    <n v="170"/>
    <n v="47040.47"/>
    <n v="2.4795722236898441E-2"/>
    <n v="1.44"/>
    <n v="23.056941176470588"/>
    <n v="12.001099579557515"/>
  </r>
  <r>
    <x v="300"/>
    <x v="1"/>
    <x v="1"/>
    <x v="2"/>
    <x v="0"/>
    <n v="153537"/>
    <n v="7277"/>
    <n v="7277"/>
    <n v="175"/>
    <n v="48117.42"/>
    <n v="4.7395741743032627E-2"/>
    <n v="1"/>
    <n v="41.582857142857144"/>
    <n v="6.6122605469286793"/>
  </r>
  <r>
    <x v="245"/>
    <x v="0"/>
    <x v="2"/>
    <x v="0"/>
    <x v="3"/>
    <n v="20915"/>
    <n v="913"/>
    <n v="940.39"/>
    <n v="37"/>
    <n v="3637.08"/>
    <n v="4.3652880707626109E-2"/>
    <n v="1.03"/>
    <n v="25.415945945945946"/>
    <n v="3.8676293878071863"/>
  </r>
  <r>
    <x v="179"/>
    <x v="2"/>
    <x v="0"/>
    <x v="1"/>
    <x v="1"/>
    <n v="29992"/>
    <n v="605"/>
    <n v="369.05"/>
    <n v="35"/>
    <n v="5311.42"/>
    <n v="2.0172045878901042E-2"/>
    <n v="0.61"/>
    <n v="10.544285714285715"/>
    <n v="14.392141986180734"/>
  </r>
  <r>
    <x v="159"/>
    <x v="2"/>
    <x v="0"/>
    <x v="0"/>
    <x v="1"/>
    <n v="187461"/>
    <n v="2511"/>
    <n v="4268.7"/>
    <n v="189"/>
    <n v="16540.060000000001"/>
    <n v="1.3394786115512026E-2"/>
    <n v="1.7"/>
    <n v="22.585714285714285"/>
    <n v="3.8747300114789049"/>
  </r>
  <r>
    <x v="44"/>
    <x v="0"/>
    <x v="3"/>
    <x v="4"/>
    <x v="6"/>
    <n v="107885"/>
    <n v="3344"/>
    <n v="6988.96"/>
    <n v="262"/>
    <n v="51456.480000000003"/>
    <n v="3.0995967928813088E-2"/>
    <n v="2.09"/>
    <n v="26.675419847328243"/>
    <n v="7.3625374876948788"/>
  </r>
  <r>
    <x v="26"/>
    <x v="0"/>
    <x v="1"/>
    <x v="4"/>
    <x v="3"/>
    <n v="162242"/>
    <n v="5110"/>
    <n v="13643.7"/>
    <n v="118"/>
    <n v="30643.55"/>
    <n v="3.1496160057198505E-2"/>
    <n v="2.67"/>
    <n v="115.62457627118644"/>
    <n v="2.2459853265609766"/>
  </r>
  <r>
    <x v="181"/>
    <x v="2"/>
    <x v="1"/>
    <x v="1"/>
    <x v="2"/>
    <n v="34404"/>
    <n v="1204"/>
    <n v="1709.68"/>
    <n v="94"/>
    <n v="17655.16"/>
    <n v="3.4995930705731891E-2"/>
    <n v="1.4200000000000002"/>
    <n v="18.188085106382978"/>
    <n v="10.326587431566141"/>
  </r>
  <r>
    <x v="143"/>
    <x v="2"/>
    <x v="3"/>
    <x v="1"/>
    <x v="6"/>
    <n v="133773"/>
    <n v="3491"/>
    <n v="6388.53"/>
    <n v="181"/>
    <n v="21663.32"/>
    <n v="2.6096446966129189E-2"/>
    <n v="1.8299999999999998"/>
    <n v="35.295745856353591"/>
    <n v="3.3909710058495461"/>
  </r>
  <r>
    <x v="220"/>
    <x v="0"/>
    <x v="1"/>
    <x v="3"/>
    <x v="4"/>
    <n v="185948"/>
    <n v="5373"/>
    <n v="3922.29"/>
    <n v="82"/>
    <n v="15594.76"/>
    <n v="2.8895174995159936E-2"/>
    <n v="0.73"/>
    <n v="47.832804878048783"/>
    <n v="3.9759324272300112"/>
  </r>
  <r>
    <x v="329"/>
    <x v="0"/>
    <x v="2"/>
    <x v="2"/>
    <x v="6"/>
    <n v="98375"/>
    <n v="1898"/>
    <n v="6358.3"/>
    <n v="45"/>
    <n v="2253.91"/>
    <n v="1.9293519695044472E-2"/>
    <n v="3.35"/>
    <n v="141.29555555555555"/>
    <n v="0.35448311655631221"/>
  </r>
  <r>
    <x v="265"/>
    <x v="0"/>
    <x v="1"/>
    <x v="2"/>
    <x v="2"/>
    <n v="190826"/>
    <n v="12174"/>
    <n v="21304.5"/>
    <n v="933"/>
    <n v="139478.01"/>
    <n v="6.3796338025216684E-2"/>
    <n v="1.75"/>
    <n v="22.834405144694532"/>
    <n v="6.5468802365697396"/>
  </r>
  <r>
    <x v="53"/>
    <x v="2"/>
    <x v="3"/>
    <x v="2"/>
    <x v="0"/>
    <n v="105050"/>
    <n v="3077"/>
    <n v="1538.5"/>
    <n v="206"/>
    <n v="55580.46"/>
    <n v="2.9290813898143742E-2"/>
    <n v="0.5"/>
    <n v="7.4684466019417473"/>
    <n v="36.126395840103996"/>
  </r>
  <r>
    <x v="128"/>
    <x v="0"/>
    <x v="2"/>
    <x v="4"/>
    <x v="5"/>
    <n v="52547"/>
    <n v="2806"/>
    <n v="6032.9"/>
    <n v="47"/>
    <n v="13262.4"/>
    <n v="5.3399813500294976E-2"/>
    <n v="2.15"/>
    <n v="128.3595744680851"/>
    <n v="2.1983457375391602"/>
  </r>
  <r>
    <x v="284"/>
    <x v="0"/>
    <x v="0"/>
    <x v="2"/>
    <x v="5"/>
    <n v="139648"/>
    <n v="4398"/>
    <n v="13194"/>
    <n v="347"/>
    <n v="82597.149999999994"/>
    <n v="3.149346929422548E-2"/>
    <n v="3"/>
    <n v="38.023054755043226"/>
    <n v="6.2602053963922994"/>
  </r>
  <r>
    <x v="170"/>
    <x v="1"/>
    <x v="0"/>
    <x v="0"/>
    <x v="3"/>
    <n v="186434"/>
    <n v="8743"/>
    <n v="14425.95"/>
    <n v="87"/>
    <n v="21530.58"/>
    <n v="4.6895952455024301E-2"/>
    <n v="1.6500000000000001"/>
    <n v="165.81551724137933"/>
    <n v="1.4924895760764456"/>
  </r>
  <r>
    <x v="323"/>
    <x v="0"/>
    <x v="0"/>
    <x v="0"/>
    <x v="3"/>
    <n v="63001"/>
    <n v="3181"/>
    <n v="4707.88"/>
    <n v="94"/>
    <n v="3324.55"/>
    <n v="5.0491262043459627E-2"/>
    <n v="1.48"/>
    <n v="50.083829787234045"/>
    <n v="0.70616710706305175"/>
  </r>
  <r>
    <x v="337"/>
    <x v="2"/>
    <x v="2"/>
    <x v="4"/>
    <x v="1"/>
    <n v="132343"/>
    <n v="3507"/>
    <n v="3997.98"/>
    <n v="238"/>
    <n v="17184.939999999999"/>
    <n v="2.649932372698216E-2"/>
    <n v="1.1399999999999999"/>
    <n v="16.798235294117646"/>
    <n v="4.2984056948759122"/>
  </r>
  <r>
    <x v="237"/>
    <x v="0"/>
    <x v="2"/>
    <x v="2"/>
    <x v="1"/>
    <n v="172570"/>
    <n v="3692"/>
    <n v="7974.72"/>
    <n v="53"/>
    <n v="15699.11"/>
    <n v="2.1394216839543373E-2"/>
    <n v="2.16"/>
    <n v="150.46641509433962"/>
    <n v="1.9686095561975845"/>
  </r>
  <r>
    <x v="21"/>
    <x v="0"/>
    <x v="1"/>
    <x v="0"/>
    <x v="0"/>
    <n v="196510"/>
    <n v="10316"/>
    <n v="20632"/>
    <n v="282"/>
    <n v="66245.27"/>
    <n v="5.2496056180347056E-2"/>
    <n v="2"/>
    <n v="73.163120567375884"/>
    <n v="3.2108021519968983"/>
  </r>
  <r>
    <x v="59"/>
    <x v="0"/>
    <x v="3"/>
    <x v="1"/>
    <x v="4"/>
    <n v="140875"/>
    <n v="6818"/>
    <n v="15340.5"/>
    <n v="142"/>
    <n v="28774.25"/>
    <n v="4.8397515527950311E-2"/>
    <n v="2.25"/>
    <n v="108.03169014084507"/>
    <n v="1.8757048336103777"/>
  </r>
  <r>
    <x v="203"/>
    <x v="1"/>
    <x v="2"/>
    <x v="3"/>
    <x v="2"/>
    <n v="50955"/>
    <n v="3892"/>
    <n v="4942.84"/>
    <n v="224"/>
    <n v="60995.17"/>
    <n v="7.6381120596604846E-2"/>
    <n v="1.27"/>
    <n v="22.06625"/>
    <n v="12.340106092853501"/>
  </r>
  <r>
    <x v="292"/>
    <x v="0"/>
    <x v="0"/>
    <x v="0"/>
    <x v="2"/>
    <n v="103991"/>
    <n v="3067"/>
    <n v="7943.53"/>
    <n v="142"/>
    <n v="36045.300000000003"/>
    <n v="2.9492936888769219E-2"/>
    <n v="2.59"/>
    <n v="55.940352112676052"/>
    <n v="4.537692940040511"/>
  </r>
  <r>
    <x v="146"/>
    <x v="0"/>
    <x v="1"/>
    <x v="1"/>
    <x v="3"/>
    <n v="22637"/>
    <n v="876"/>
    <n v="1068.72"/>
    <n v="16"/>
    <n v="2623.14"/>
    <n v="3.8697707293369264E-2"/>
    <n v="1.22"/>
    <n v="66.795000000000002"/>
    <n v="2.4544688973725575"/>
  </r>
  <r>
    <x v="140"/>
    <x v="2"/>
    <x v="3"/>
    <x v="0"/>
    <x v="4"/>
    <n v="86099"/>
    <n v="2910"/>
    <n v="6372.9"/>
    <n v="194"/>
    <n v="39485.519999999997"/>
    <n v="3.3798301954726537E-2"/>
    <n v="2.19"/>
    <n v="32.85"/>
    <n v="6.1958480440615729"/>
  </r>
  <r>
    <x v="142"/>
    <x v="2"/>
    <x v="3"/>
    <x v="0"/>
    <x v="0"/>
    <n v="181950"/>
    <n v="2401"/>
    <n v="1608.67"/>
    <n v="168"/>
    <n v="30028.61"/>
    <n v="1.3195932948612257E-2"/>
    <n v="0.67"/>
    <n v="9.5754166666666674"/>
    <n v="18.666730901925192"/>
  </r>
  <r>
    <x v="338"/>
    <x v="2"/>
    <x v="1"/>
    <x v="4"/>
    <x v="6"/>
    <n v="102229"/>
    <n v="2146"/>
    <n v="1309.06"/>
    <n v="52"/>
    <n v="14121.79"/>
    <n v="2.0992086394271685E-2"/>
    <n v="0.61"/>
    <n v="25.174230769230768"/>
    <n v="10.787733182589035"/>
  </r>
  <r>
    <x v="84"/>
    <x v="1"/>
    <x v="1"/>
    <x v="3"/>
    <x v="3"/>
    <n v="53167"/>
    <n v="2536"/>
    <n v="1115.8399999999999"/>
    <n v="145"/>
    <n v="11216.46"/>
    <n v="4.7698760509338502E-2"/>
    <n v="0.43999999999999995"/>
    <n v="7.6954482758620681"/>
    <n v="10.052032549469457"/>
  </r>
  <r>
    <x v="181"/>
    <x v="2"/>
    <x v="2"/>
    <x v="3"/>
    <x v="4"/>
    <n v="10177"/>
    <n v="413"/>
    <n v="764.05"/>
    <n v="16"/>
    <n v="4058.36"/>
    <n v="4.0581703841996657E-2"/>
    <n v="1.8499999999999999"/>
    <n v="47.753124999999997"/>
    <n v="5.3116419082520778"/>
  </r>
  <r>
    <x v="262"/>
    <x v="2"/>
    <x v="2"/>
    <x v="4"/>
    <x v="4"/>
    <n v="67714"/>
    <n v="738"/>
    <n v="819.18"/>
    <n v="17"/>
    <n v="1445.84"/>
    <n v="1.0898780163629383E-2"/>
    <n v="1.1099999999999999"/>
    <n v="48.187058823529412"/>
    <n v="1.7649844966918138"/>
  </r>
  <r>
    <x v="114"/>
    <x v="0"/>
    <x v="2"/>
    <x v="0"/>
    <x v="1"/>
    <n v="51032"/>
    <n v="3036"/>
    <n v="6770.28"/>
    <n v="195"/>
    <n v="18761.36"/>
    <n v="5.9492083398651828E-2"/>
    <n v="2.23"/>
    <n v="34.719384615384612"/>
    <n v="2.7711350195265192"/>
  </r>
  <r>
    <x v="193"/>
    <x v="1"/>
    <x v="3"/>
    <x v="3"/>
    <x v="2"/>
    <n v="68474"/>
    <n v="4923"/>
    <n v="2313.81"/>
    <n v="198"/>
    <n v="32574.400000000001"/>
    <n v="7.1895902094225542E-2"/>
    <n v="0.47"/>
    <n v="11.685909090909091"/>
    <n v="14.078251887579361"/>
  </r>
  <r>
    <x v="47"/>
    <x v="1"/>
    <x v="1"/>
    <x v="3"/>
    <x v="6"/>
    <n v="12838"/>
    <n v="784"/>
    <n v="329.28"/>
    <n v="56"/>
    <n v="2887.05"/>
    <n v="6.1068702290076333E-2"/>
    <n v="0.42"/>
    <n v="5.88"/>
    <n v="8.7677660349854243"/>
  </r>
  <r>
    <x v="48"/>
    <x v="0"/>
    <x v="3"/>
    <x v="2"/>
    <x v="1"/>
    <n v="151595"/>
    <n v="9262"/>
    <n v="16301.12"/>
    <n v="572"/>
    <n v="85249.68"/>
    <n v="6.1097001880009237E-2"/>
    <n v="1.76"/>
    <n v="28.498461538461541"/>
    <n v="5.229682377652578"/>
  </r>
  <r>
    <x v="88"/>
    <x v="1"/>
    <x v="1"/>
    <x v="4"/>
    <x v="3"/>
    <n v="38799"/>
    <n v="1303"/>
    <n v="429.99"/>
    <n v="51"/>
    <n v="4095.81"/>
    <n v="3.3583339776798372E-2"/>
    <n v="0.33"/>
    <n v="8.4311764705882357"/>
    <n v="9.5253610549082541"/>
  </r>
  <r>
    <x v="54"/>
    <x v="0"/>
    <x v="1"/>
    <x v="3"/>
    <x v="6"/>
    <n v="121565"/>
    <n v="2601"/>
    <n v="5306.04"/>
    <n v="176"/>
    <n v="34156.839999999997"/>
    <n v="2.1395961008513965E-2"/>
    <n v="2.04"/>
    <n v="30.147954545454546"/>
    <n v="6.4373506419099735"/>
  </r>
  <r>
    <x v="11"/>
    <x v="2"/>
    <x v="3"/>
    <x v="4"/>
    <x v="4"/>
    <n v="38762"/>
    <n v="1007"/>
    <n v="684.76"/>
    <n v="16"/>
    <n v="3871.2"/>
    <n v="2.597905164852175E-2"/>
    <n v="0.67999999999999994"/>
    <n v="42.797499999999999"/>
    <n v="5.6533676032478528"/>
  </r>
  <r>
    <x v="106"/>
    <x v="2"/>
    <x v="0"/>
    <x v="4"/>
    <x v="5"/>
    <n v="32410"/>
    <n v="693"/>
    <n v="1240.47"/>
    <n v="21"/>
    <n v="678.51"/>
    <n v="2.1382289416846653E-2"/>
    <n v="1.79"/>
    <n v="59.07"/>
    <n v="0.54697816150330114"/>
  </r>
  <r>
    <x v="197"/>
    <x v="1"/>
    <x v="1"/>
    <x v="1"/>
    <x v="6"/>
    <n v="134132"/>
    <n v="4694"/>
    <n v="3849.08"/>
    <n v="306"/>
    <n v="52932.5"/>
    <n v="3.4995377687650972E-2"/>
    <n v="0.82"/>
    <n v="12.578692810457516"/>
    <n v="13.751987487919191"/>
  </r>
  <r>
    <x v="105"/>
    <x v="0"/>
    <x v="3"/>
    <x v="4"/>
    <x v="6"/>
    <n v="38005"/>
    <n v="1489"/>
    <n v="2248.39"/>
    <n v="79"/>
    <n v="23043.93"/>
    <n v="3.9179055387449022E-2"/>
    <n v="1.51"/>
    <n v="28.460632911392402"/>
    <n v="10.249080453124236"/>
  </r>
  <r>
    <x v="252"/>
    <x v="0"/>
    <x v="0"/>
    <x v="4"/>
    <x v="5"/>
    <n v="91348"/>
    <n v="2914"/>
    <n v="5041.22"/>
    <n v="98"/>
    <n v="14981.67"/>
    <n v="3.1899986863423394E-2"/>
    <n v="1.73"/>
    <n v="51.441020408163268"/>
    <n v="2.9718341988645602"/>
  </r>
  <r>
    <x v="257"/>
    <x v="0"/>
    <x v="3"/>
    <x v="4"/>
    <x v="1"/>
    <n v="87607"/>
    <n v="3661"/>
    <n v="11532.15"/>
    <n v="106"/>
    <n v="31383.75"/>
    <n v="4.1788898147408313E-2"/>
    <n v="3.15"/>
    <n v="108.7938679245283"/>
    <n v="2.7214136132464457"/>
  </r>
  <r>
    <x v="225"/>
    <x v="1"/>
    <x v="2"/>
    <x v="0"/>
    <x v="5"/>
    <n v="95288"/>
    <n v="7108"/>
    <n v="3625.08"/>
    <n v="454"/>
    <n v="132401.60999999999"/>
    <n v="7.4594912265972632E-2"/>
    <n v="0.51"/>
    <n v="7.9847577092511015"/>
    <n v="36.523776027011813"/>
  </r>
  <r>
    <x v="64"/>
    <x v="1"/>
    <x v="1"/>
    <x v="2"/>
    <x v="1"/>
    <n v="68620"/>
    <n v="3602"/>
    <n v="1728.96"/>
    <n v="134"/>
    <n v="22980.94"/>
    <n v="5.2491984844068786E-2"/>
    <n v="0.48000000000000004"/>
    <n v="12.90268656716418"/>
    <n v="13.291770775495094"/>
  </r>
  <r>
    <x v="208"/>
    <x v="1"/>
    <x v="1"/>
    <x v="2"/>
    <x v="6"/>
    <n v="95975"/>
    <n v="3848"/>
    <n v="6849.44"/>
    <n v="66"/>
    <n v="6246.82"/>
    <n v="4.0093774420421988E-2"/>
    <n v="1.7799999999999998"/>
    <n v="103.77939393939393"/>
    <n v="0.91201908477189375"/>
  </r>
  <r>
    <x v="275"/>
    <x v="0"/>
    <x v="2"/>
    <x v="3"/>
    <x v="4"/>
    <n v="162064"/>
    <n v="5607"/>
    <n v="13568.94"/>
    <n v="77"/>
    <n v="8174.03"/>
    <n v="3.4597442985487212E-2"/>
    <n v="2.42"/>
    <n v="176.22"/>
    <n v="0.60240740986399821"/>
  </r>
  <r>
    <x v="267"/>
    <x v="2"/>
    <x v="0"/>
    <x v="0"/>
    <x v="2"/>
    <n v="57712"/>
    <n v="848"/>
    <n v="763.2"/>
    <n v="64"/>
    <n v="2136.83"/>
    <n v="1.4693651233712227E-2"/>
    <n v="0.9"/>
    <n v="11.925000000000001"/>
    <n v="2.7998296645702303"/>
  </r>
  <r>
    <x v="332"/>
    <x v="2"/>
    <x v="2"/>
    <x v="0"/>
    <x v="3"/>
    <n v="147412"/>
    <n v="3670"/>
    <n v="4293.8999999999996"/>
    <n v="162"/>
    <n v="38717.46"/>
    <n v="2.489620926383198E-2"/>
    <n v="1.17"/>
    <n v="26.505555555555553"/>
    <n v="9.0168518130370998"/>
  </r>
  <r>
    <x v="314"/>
    <x v="0"/>
    <x v="3"/>
    <x v="4"/>
    <x v="0"/>
    <n v="79525"/>
    <n v="2298"/>
    <n v="3630.84"/>
    <n v="119"/>
    <n v="21777.03"/>
    <n v="2.8896573404589752E-2"/>
    <n v="1.58"/>
    <n v="30.511260504201683"/>
    <n v="5.9977938989324775"/>
  </r>
  <r>
    <x v="141"/>
    <x v="2"/>
    <x v="2"/>
    <x v="4"/>
    <x v="1"/>
    <n v="78480"/>
    <n v="1389"/>
    <n v="2347.41"/>
    <n v="19"/>
    <n v="2972.32"/>
    <n v="1.7698776758409786E-2"/>
    <n v="1.69"/>
    <n v="123.5478947368421"/>
    <n v="1.2662125491499143"/>
  </r>
  <r>
    <x v="334"/>
    <x v="1"/>
    <x v="3"/>
    <x v="3"/>
    <x v="1"/>
    <n v="165232"/>
    <n v="7617"/>
    <n v="5865.09"/>
    <n v="601"/>
    <n v="102707.85"/>
    <n v="4.6098818630773697E-2"/>
    <n v="0.77"/>
    <n v="9.7588851913477548"/>
    <n v="17.511726162769882"/>
  </r>
  <r>
    <x v="267"/>
    <x v="0"/>
    <x v="3"/>
    <x v="3"/>
    <x v="0"/>
    <n v="13294"/>
    <n v="583"/>
    <n v="804.54"/>
    <n v="46"/>
    <n v="11553.7"/>
    <n v="4.385437039265834E-2"/>
    <n v="1.38"/>
    <n v="17.489999999999998"/>
    <n v="14.3606284336391"/>
  </r>
  <r>
    <x v="28"/>
    <x v="2"/>
    <x v="1"/>
    <x v="1"/>
    <x v="1"/>
    <n v="55333"/>
    <n v="852"/>
    <n v="894.6"/>
    <n v="66"/>
    <n v="12295.52"/>
    <n v="1.5397683118573003E-2"/>
    <n v="1.05"/>
    <n v="13.554545454545455"/>
    <n v="13.744153811759446"/>
  </r>
  <r>
    <x v="228"/>
    <x v="2"/>
    <x v="3"/>
    <x v="0"/>
    <x v="1"/>
    <n v="177027"/>
    <n v="6160"/>
    <n v="7576.8"/>
    <n v="220"/>
    <n v="59390.91"/>
    <n v="3.4796951877397231E-2"/>
    <n v="1.23"/>
    <n v="34.44"/>
    <n v="7.838521539436174"/>
  </r>
  <r>
    <x v="251"/>
    <x v="2"/>
    <x v="0"/>
    <x v="4"/>
    <x v="2"/>
    <n v="21679"/>
    <n v="448"/>
    <n v="398.72"/>
    <n v="31"/>
    <n v="3556.66"/>
    <n v="2.0665159832095575E-2"/>
    <n v="0.89"/>
    <n v="12.861935483870969"/>
    <n v="8.9201946227929358"/>
  </r>
  <r>
    <x v="101"/>
    <x v="0"/>
    <x v="0"/>
    <x v="2"/>
    <x v="1"/>
    <n v="18601"/>
    <n v="706"/>
    <n v="1412"/>
    <n v="54"/>
    <n v="3302.39"/>
    <n v="3.7954948658674263E-2"/>
    <n v="2"/>
    <n v="26.148148148148149"/>
    <n v="2.3388031161473086"/>
  </r>
  <r>
    <x v="45"/>
    <x v="0"/>
    <x v="2"/>
    <x v="2"/>
    <x v="0"/>
    <n v="146583"/>
    <n v="2990"/>
    <n v="4813.8999999999996"/>
    <n v="114"/>
    <n v="8660.2800000000007"/>
    <n v="2.0397999768049502E-2"/>
    <n v="1.6099999999999999"/>
    <n v="42.227192982456138"/>
    <n v="1.7990153513783007"/>
  </r>
  <r>
    <x v="333"/>
    <x v="0"/>
    <x v="2"/>
    <x v="0"/>
    <x v="6"/>
    <n v="46745"/>
    <n v="2140"/>
    <n v="7361.6"/>
    <n v="38"/>
    <n v="5289.97"/>
    <n v="4.5780297358006206E-2"/>
    <n v="3.4400000000000004"/>
    <n v="193.72631578947369"/>
    <n v="0.71858970875896544"/>
  </r>
  <r>
    <x v="339"/>
    <x v="0"/>
    <x v="3"/>
    <x v="4"/>
    <x v="4"/>
    <n v="39505"/>
    <n v="2251"/>
    <n v="6888.06"/>
    <n v="149"/>
    <n v="30920.99"/>
    <n v="5.6980129097582585E-2"/>
    <n v="3.06"/>
    <n v="46.228590604026849"/>
    <n v="4.4890709430521802"/>
  </r>
  <r>
    <x v="334"/>
    <x v="0"/>
    <x v="2"/>
    <x v="2"/>
    <x v="3"/>
    <n v="179342"/>
    <n v="4071"/>
    <n v="9200.4599999999991"/>
    <n v="195"/>
    <n v="30682.52"/>
    <n v="2.2699646485485832E-2"/>
    <n v="2.2599999999999998"/>
    <n v="47.181846153846152"/>
    <n v="3.3348897772502681"/>
  </r>
  <r>
    <x v="145"/>
    <x v="0"/>
    <x v="1"/>
    <x v="0"/>
    <x v="0"/>
    <n v="75410"/>
    <n v="3039"/>
    <n v="2887.05"/>
    <n v="239"/>
    <n v="29467.42"/>
    <n v="4.0299695000663042E-2"/>
    <n v="0.95000000000000007"/>
    <n v="12.079707112970713"/>
    <n v="10.206757763114597"/>
  </r>
  <r>
    <x v="192"/>
    <x v="0"/>
    <x v="0"/>
    <x v="2"/>
    <x v="0"/>
    <n v="83488"/>
    <n v="4049"/>
    <n v="4656.3500000000004"/>
    <n v="45"/>
    <n v="2103"/>
    <n v="4.8497987734764277E-2"/>
    <n v="1.1500000000000001"/>
    <n v="103.47444444444446"/>
    <n v="0.45164130703233213"/>
  </r>
  <r>
    <x v="25"/>
    <x v="1"/>
    <x v="3"/>
    <x v="3"/>
    <x v="2"/>
    <n v="149143"/>
    <n v="5175"/>
    <n v="2742.75"/>
    <n v="140"/>
    <n v="11705.28"/>
    <n v="3.4698242626204384E-2"/>
    <n v="0.53"/>
    <n v="19.591071428571428"/>
    <n v="4.2677167076838938"/>
  </r>
  <r>
    <x v="253"/>
    <x v="2"/>
    <x v="2"/>
    <x v="0"/>
    <x v="6"/>
    <n v="52743"/>
    <n v="1207"/>
    <n v="2329.5100000000002"/>
    <n v="90"/>
    <n v="11281.65"/>
    <n v="2.2884553400451244E-2"/>
    <n v="1.9300000000000002"/>
    <n v="25.883444444444446"/>
    <n v="4.8429283411532893"/>
  </r>
  <r>
    <x v="123"/>
    <x v="2"/>
    <x v="2"/>
    <x v="2"/>
    <x v="1"/>
    <n v="92091"/>
    <n v="3342"/>
    <n v="4946.16"/>
    <n v="145"/>
    <n v="37976.42"/>
    <n v="3.6290191223898101E-2"/>
    <n v="1.48"/>
    <n v="34.111448275862067"/>
    <n v="7.6779602762547103"/>
  </r>
  <r>
    <x v="219"/>
    <x v="1"/>
    <x v="1"/>
    <x v="2"/>
    <x v="2"/>
    <n v="118687"/>
    <n v="10586"/>
    <n v="7939.5"/>
    <n v="635"/>
    <n v="88046.75"/>
    <n v="8.9192582169909093E-2"/>
    <n v="0.75"/>
    <n v="12.503149606299212"/>
    <n v="11.089709679450847"/>
  </r>
  <r>
    <x v="146"/>
    <x v="0"/>
    <x v="1"/>
    <x v="1"/>
    <x v="0"/>
    <n v="195664"/>
    <n v="6378"/>
    <n v="16582.8"/>
    <n v="312"/>
    <n v="33814.660000000003"/>
    <n v="3.2596696377463409E-2"/>
    <n v="2.6"/>
    <n v="53.15"/>
    <n v="2.0391405552741397"/>
  </r>
  <r>
    <x v="273"/>
    <x v="1"/>
    <x v="0"/>
    <x v="1"/>
    <x v="5"/>
    <n v="89946"/>
    <n v="5162"/>
    <n v="3252.06"/>
    <n v="349"/>
    <n v="87393.19"/>
    <n v="5.7389989549285127E-2"/>
    <n v="0.63"/>
    <n v="9.3182234957020054"/>
    <n v="26.873178846638748"/>
  </r>
  <r>
    <x v="269"/>
    <x v="1"/>
    <x v="0"/>
    <x v="1"/>
    <x v="5"/>
    <n v="170529"/>
    <n v="11766"/>
    <n v="17413.68"/>
    <n v="695"/>
    <n v="102403.13"/>
    <n v="6.8997062083282018E-2"/>
    <n v="1.48"/>
    <n v="25.055654676258992"/>
    <n v="5.8806139770571182"/>
  </r>
  <r>
    <x v="240"/>
    <x v="2"/>
    <x v="3"/>
    <x v="0"/>
    <x v="4"/>
    <n v="129750"/>
    <n v="2452"/>
    <n v="2672.68"/>
    <n v="93"/>
    <n v="23770.39"/>
    <n v="1.8897880539499038E-2"/>
    <n v="1.0899999999999999"/>
    <n v="28.738494623655914"/>
    <n v="8.8938406393582472"/>
  </r>
  <r>
    <x v="1"/>
    <x v="2"/>
    <x v="3"/>
    <x v="2"/>
    <x v="2"/>
    <n v="197882"/>
    <n v="5144"/>
    <n v="4166.6400000000003"/>
    <n v="299"/>
    <n v="68061.759999999995"/>
    <n v="2.5995290122396174E-2"/>
    <n v="0.81"/>
    <n v="13.935250836120403"/>
    <n v="16.334926943532437"/>
  </r>
  <r>
    <x v="319"/>
    <x v="0"/>
    <x v="3"/>
    <x v="4"/>
    <x v="6"/>
    <n v="58266"/>
    <n v="2651"/>
    <n v="3234.22"/>
    <n v="103"/>
    <n v="3487.43"/>
    <n v="4.5498232245220198E-2"/>
    <n v="1.22"/>
    <n v="31.400194174757278"/>
    <n v="1.0782909016702635"/>
  </r>
  <r>
    <x v="218"/>
    <x v="2"/>
    <x v="0"/>
    <x v="4"/>
    <x v="2"/>
    <n v="98699"/>
    <n v="2171"/>
    <n v="4819.62"/>
    <n v="92"/>
    <n v="5066.63"/>
    <n v="2.1996170173963263E-2"/>
    <n v="2.2199999999999998"/>
    <n v="52.387173913043476"/>
    <n v="1.0512509284964375"/>
  </r>
  <r>
    <x v="221"/>
    <x v="1"/>
    <x v="1"/>
    <x v="1"/>
    <x v="1"/>
    <n v="172820"/>
    <n v="5512"/>
    <n v="8268"/>
    <n v="229"/>
    <n v="38190.22"/>
    <n v="3.1894456660108782E-2"/>
    <n v="1.5"/>
    <n v="36.104803493449779"/>
    <n v="4.6190396710208033"/>
  </r>
  <r>
    <x v="188"/>
    <x v="0"/>
    <x v="2"/>
    <x v="1"/>
    <x v="1"/>
    <n v="61902"/>
    <n v="2599"/>
    <n v="7589.08"/>
    <n v="160"/>
    <n v="43994.91"/>
    <n v="4.1985719362863883E-2"/>
    <n v="2.92"/>
    <n v="47.431750000000001"/>
    <n v="5.7971335128895731"/>
  </r>
  <r>
    <x v="340"/>
    <x v="1"/>
    <x v="2"/>
    <x v="1"/>
    <x v="0"/>
    <n v="148573"/>
    <n v="8706"/>
    <n v="15409.62"/>
    <n v="643"/>
    <n v="163989.09"/>
    <n v="5.8597457142280228E-2"/>
    <n v="1.77"/>
    <n v="23.965194401244169"/>
    <n v="10.641994416474903"/>
  </r>
  <r>
    <x v="290"/>
    <x v="2"/>
    <x v="2"/>
    <x v="1"/>
    <x v="3"/>
    <n v="149654"/>
    <n v="6689"/>
    <n v="8628.81"/>
    <n v="262"/>
    <n v="10578.46"/>
    <n v="4.4696433105697139E-2"/>
    <n v="1.2899999999999998"/>
    <n v="32.934389312977096"/>
    <n v="1.2259465673713987"/>
  </r>
  <r>
    <x v="301"/>
    <x v="2"/>
    <x v="0"/>
    <x v="2"/>
    <x v="5"/>
    <n v="191478"/>
    <n v="6414"/>
    <n v="10069.98"/>
    <n v="236"/>
    <n v="56534.15"/>
    <n v="3.3497320841036571E-2"/>
    <n v="1.5699999999999998"/>
    <n v="42.669406779661017"/>
    <n v="5.6141273368963995"/>
  </r>
  <r>
    <x v="107"/>
    <x v="2"/>
    <x v="0"/>
    <x v="4"/>
    <x v="4"/>
    <n v="7196"/>
    <n v="287"/>
    <n v="634.27"/>
    <n v="10"/>
    <n v="693.26"/>
    <n v="3.9883268482490269E-2"/>
    <n v="2.21"/>
    <n v="63.427"/>
    <n v="1.0930045564191906"/>
  </r>
  <r>
    <x v="266"/>
    <x v="0"/>
    <x v="3"/>
    <x v="2"/>
    <x v="5"/>
    <n v="30757"/>
    <n v="1202"/>
    <n v="3918.52"/>
    <n v="60"/>
    <n v="5647"/>
    <n v="3.9080534512468706E-2"/>
    <n v="3.26"/>
    <n v="65.308666666666667"/>
    <n v="1.4411053152720925"/>
  </r>
  <r>
    <x v="88"/>
    <x v="0"/>
    <x v="3"/>
    <x v="2"/>
    <x v="4"/>
    <n v="17578"/>
    <n v="330"/>
    <n v="1013.1"/>
    <n v="20"/>
    <n v="3553.78"/>
    <n v="1.8773466833541929E-2"/>
    <n v="3.0700000000000003"/>
    <n v="50.655000000000001"/>
    <n v="3.5078274602704571"/>
  </r>
  <r>
    <x v="341"/>
    <x v="0"/>
    <x v="3"/>
    <x v="4"/>
    <x v="2"/>
    <n v="65530"/>
    <n v="2018"/>
    <n v="5670.58"/>
    <n v="117"/>
    <n v="12114.63"/>
    <n v="3.0795055699679535E-2"/>
    <n v="2.81"/>
    <n v="48.466495726495722"/>
    <n v="2.1364005092953455"/>
  </r>
  <r>
    <x v="74"/>
    <x v="1"/>
    <x v="0"/>
    <x v="3"/>
    <x v="1"/>
    <n v="89403"/>
    <n v="5578"/>
    <n v="8255.44"/>
    <n v="414"/>
    <n v="80503.149999999994"/>
    <n v="6.239164233862398E-2"/>
    <n v="1.48"/>
    <n v="19.940676328502416"/>
    <n v="9.7515274776389855"/>
  </r>
  <r>
    <x v="77"/>
    <x v="1"/>
    <x v="2"/>
    <x v="4"/>
    <x v="6"/>
    <n v="161904"/>
    <n v="4339"/>
    <n v="4555.95"/>
    <n v="178"/>
    <n v="22405.85"/>
    <n v="2.6799831999209409E-2"/>
    <n v="1.05"/>
    <n v="25.595224719101122"/>
    <n v="4.9179314961753313"/>
  </r>
  <r>
    <x v="342"/>
    <x v="2"/>
    <x v="1"/>
    <x v="1"/>
    <x v="4"/>
    <n v="27036"/>
    <n v="708"/>
    <n v="1182.3599999999999"/>
    <n v="12"/>
    <n v="1538.26"/>
    <n v="2.6187305814469597E-2"/>
    <n v="1.67"/>
    <n v="98.529999999999987"/>
    <n v="1.3010081531851552"/>
  </r>
  <r>
    <x v="22"/>
    <x v="2"/>
    <x v="2"/>
    <x v="3"/>
    <x v="1"/>
    <n v="12712"/>
    <n v="212"/>
    <n v="360.4"/>
    <n v="9"/>
    <n v="375.03"/>
    <n v="1.6677155443675269E-2"/>
    <n v="1.7"/>
    <n v="40.044444444444444"/>
    <n v="1.0405937846836848"/>
  </r>
  <r>
    <x v="280"/>
    <x v="0"/>
    <x v="2"/>
    <x v="4"/>
    <x v="0"/>
    <n v="24198"/>
    <n v="1214"/>
    <n v="1638.9"/>
    <n v="60"/>
    <n v="11611.94"/>
    <n v="5.0169435490536408E-2"/>
    <n v="1.35"/>
    <n v="27.315000000000001"/>
    <n v="7.0852034901458296"/>
  </r>
  <r>
    <x v="298"/>
    <x v="0"/>
    <x v="3"/>
    <x v="3"/>
    <x v="5"/>
    <n v="80324"/>
    <n v="2337"/>
    <n v="6987.63"/>
    <n v="50"/>
    <n v="12463.37"/>
    <n v="2.9094666600268913E-2"/>
    <n v="2.99"/>
    <n v="139.7526"/>
    <n v="1.7836333635295516"/>
  </r>
  <r>
    <x v="10"/>
    <x v="0"/>
    <x v="0"/>
    <x v="3"/>
    <x v="3"/>
    <n v="160525"/>
    <n v="6003"/>
    <n v="10025.01"/>
    <n v="106"/>
    <n v="12306.27"/>
    <n v="3.7396044229870737E-2"/>
    <n v="1.67"/>
    <n v="94.575566037735854"/>
    <n v="1.2275568802425134"/>
  </r>
  <r>
    <x v="29"/>
    <x v="0"/>
    <x v="3"/>
    <x v="0"/>
    <x v="3"/>
    <n v="104821"/>
    <n v="4224"/>
    <n v="5744.64"/>
    <n v="307"/>
    <n v="89314.07"/>
    <n v="4.0297268677078064E-2"/>
    <n v="1.36"/>
    <n v="18.712182410423456"/>
    <n v="15.547374596145277"/>
  </r>
  <r>
    <x v="169"/>
    <x v="0"/>
    <x v="1"/>
    <x v="2"/>
    <x v="5"/>
    <n v="48118"/>
    <n v="1616"/>
    <n v="5914.56"/>
    <n v="129"/>
    <n v="28604.240000000002"/>
    <n v="3.3584105740055693E-2"/>
    <n v="3.66"/>
    <n v="45.849302325581398"/>
    <n v="4.8362414110263483"/>
  </r>
  <r>
    <x v="314"/>
    <x v="1"/>
    <x v="3"/>
    <x v="3"/>
    <x v="6"/>
    <n v="53709"/>
    <n v="2868"/>
    <n v="2552.52"/>
    <n v="222"/>
    <n v="47503.54"/>
    <n v="5.3398871697480872E-2"/>
    <n v="0.89"/>
    <n v="11.497837837837837"/>
    <n v="18.610447714415557"/>
  </r>
  <r>
    <x v="71"/>
    <x v="0"/>
    <x v="3"/>
    <x v="2"/>
    <x v="1"/>
    <n v="25497"/>
    <n v="1142"/>
    <n v="2101.2800000000002"/>
    <n v="75"/>
    <n v="18551.009999999998"/>
    <n v="4.4789583088206457E-2"/>
    <n v="1.84"/>
    <n v="28.017066666666668"/>
    <n v="8.8284331455113065"/>
  </r>
  <r>
    <x v="153"/>
    <x v="1"/>
    <x v="3"/>
    <x v="0"/>
    <x v="0"/>
    <n v="178782"/>
    <n v="7705"/>
    <n v="9862.4"/>
    <n v="352"/>
    <n v="30909.61"/>
    <n v="4.3097179805573267E-2"/>
    <n v="1.28"/>
    <n v="28.018181818181816"/>
    <n v="3.1340860236859185"/>
  </r>
  <r>
    <x v="343"/>
    <x v="2"/>
    <x v="1"/>
    <x v="2"/>
    <x v="5"/>
    <n v="189221"/>
    <n v="7587"/>
    <n v="6904.17"/>
    <n v="80"/>
    <n v="2769.22"/>
    <n v="4.0095972434349252E-2"/>
    <n v="0.91"/>
    <n v="86.302125000000004"/>
    <n v="0.40109383169881385"/>
  </r>
  <r>
    <x v="25"/>
    <x v="2"/>
    <x v="0"/>
    <x v="0"/>
    <x v="3"/>
    <n v="138704"/>
    <n v="1803"/>
    <n v="1550.58"/>
    <n v="119"/>
    <n v="10297.42"/>
    <n v="1.2998904141192756E-2"/>
    <n v="0.86"/>
    <n v="13.030084033613445"/>
    <n v="6.6410117504417707"/>
  </r>
  <r>
    <x v="60"/>
    <x v="0"/>
    <x v="1"/>
    <x v="1"/>
    <x v="1"/>
    <n v="120475"/>
    <n v="7794"/>
    <n v="6079.32"/>
    <n v="530"/>
    <n v="143639.1"/>
    <n v="6.4693919900394276E-2"/>
    <n v="0.77999999999999992"/>
    <n v="11.470415094339621"/>
    <n v="23.627494522413691"/>
  </r>
  <r>
    <x v="182"/>
    <x v="0"/>
    <x v="2"/>
    <x v="2"/>
    <x v="3"/>
    <n v="125019"/>
    <n v="8251"/>
    <n v="31106.27"/>
    <n v="609"/>
    <n v="135443.82"/>
    <n v="6.5997968308817059E-2"/>
    <n v="3.77"/>
    <n v="51.077619047619045"/>
    <n v="4.354228906262307"/>
  </r>
  <r>
    <x v="189"/>
    <x v="2"/>
    <x v="0"/>
    <x v="1"/>
    <x v="2"/>
    <n v="198775"/>
    <n v="3637"/>
    <n v="7237.63"/>
    <n v="235"/>
    <n v="18520.23"/>
    <n v="1.8297069550999873E-2"/>
    <n v="1.99"/>
    <n v="30.798425531914894"/>
    <n v="2.5588804622507642"/>
  </r>
  <r>
    <x v="33"/>
    <x v="1"/>
    <x v="1"/>
    <x v="1"/>
    <x v="6"/>
    <n v="52059"/>
    <n v="2956"/>
    <n v="1684.92"/>
    <n v="29"/>
    <n v="5633.14"/>
    <n v="5.6781728423519466E-2"/>
    <n v="0.57000000000000006"/>
    <n v="58.100689655172417"/>
    <n v="3.3432685231346295"/>
  </r>
  <r>
    <x v="213"/>
    <x v="0"/>
    <x v="3"/>
    <x v="3"/>
    <x v="2"/>
    <n v="183373"/>
    <n v="7169"/>
    <n v="11111.95"/>
    <n v="342"/>
    <n v="18314.28"/>
    <n v="3.9095177588848957E-2"/>
    <n v="1.55"/>
    <n v="32.491081871345031"/>
    <n v="1.6481607638623281"/>
  </r>
  <r>
    <x v="274"/>
    <x v="2"/>
    <x v="0"/>
    <x v="4"/>
    <x v="2"/>
    <n v="114844"/>
    <n v="3307"/>
    <n v="6944.7"/>
    <n v="123"/>
    <n v="36552.89"/>
    <n v="2.8795583574239839E-2"/>
    <n v="2.1"/>
    <n v="56.460975609756098"/>
    <n v="5.2634224660532496"/>
  </r>
  <r>
    <x v="126"/>
    <x v="2"/>
    <x v="0"/>
    <x v="4"/>
    <x v="2"/>
    <n v="53865"/>
    <n v="1098"/>
    <n v="1405.44"/>
    <n v="67"/>
    <n v="2545.35"/>
    <n v="2.0384294068504595E-2"/>
    <n v="1.28"/>
    <n v="20.976716417910449"/>
    <n v="1.8110698428961747"/>
  </r>
  <r>
    <x v="79"/>
    <x v="0"/>
    <x v="1"/>
    <x v="4"/>
    <x v="3"/>
    <n v="25080"/>
    <n v="1113"/>
    <n v="2916.06"/>
    <n v="49"/>
    <n v="2232.61"/>
    <n v="4.4377990430622009E-2"/>
    <n v="2.62"/>
    <n v="59.511428571428567"/>
    <n v="0.76562553582573756"/>
  </r>
  <r>
    <x v="198"/>
    <x v="1"/>
    <x v="0"/>
    <x v="4"/>
    <x v="5"/>
    <n v="95853"/>
    <n v="4658"/>
    <n v="1443.98"/>
    <n v="92"/>
    <n v="27317.08"/>
    <n v="4.8595244801936298E-2"/>
    <n v="0.31"/>
    <n v="15.695434782608697"/>
    <n v="18.917907450241692"/>
  </r>
  <r>
    <x v="12"/>
    <x v="0"/>
    <x v="1"/>
    <x v="3"/>
    <x v="4"/>
    <n v="27593"/>
    <n v="896"/>
    <n v="2141.44"/>
    <n v="48"/>
    <n v="8087.57"/>
    <n v="3.2472003769071868E-2"/>
    <n v="2.39"/>
    <n v="44.613333333333337"/>
    <n v="3.7766969889420201"/>
  </r>
  <r>
    <x v="11"/>
    <x v="2"/>
    <x v="1"/>
    <x v="1"/>
    <x v="2"/>
    <n v="34949"/>
    <n v="1324"/>
    <n v="2369.96"/>
    <n v="86"/>
    <n v="9084.2199999999993"/>
    <n v="3.7883773498526424E-2"/>
    <n v="1.79"/>
    <n v="27.557674418604652"/>
    <n v="3.8330689125554858"/>
  </r>
  <r>
    <x v="44"/>
    <x v="1"/>
    <x v="2"/>
    <x v="4"/>
    <x v="2"/>
    <n v="72986"/>
    <n v="3379"/>
    <n v="5980.83"/>
    <n v="188"/>
    <n v="17387.72"/>
    <n v="4.6296550023292138E-2"/>
    <n v="1.77"/>
    <n v="31.812925531914892"/>
    <n v="2.9072419714320592"/>
  </r>
  <r>
    <x v="341"/>
    <x v="0"/>
    <x v="2"/>
    <x v="2"/>
    <x v="0"/>
    <n v="149848"/>
    <n v="9290"/>
    <n v="18301.3"/>
    <n v="537"/>
    <n v="106414.01"/>
    <n v="6.1996156104852915E-2"/>
    <n v="1.97"/>
    <n v="34.080633147113595"/>
    <n v="5.8145601678569285"/>
  </r>
  <r>
    <x v="288"/>
    <x v="0"/>
    <x v="1"/>
    <x v="3"/>
    <x v="6"/>
    <n v="143235"/>
    <n v="3981"/>
    <n v="7285.23"/>
    <n v="125"/>
    <n v="27104.75"/>
    <n v="2.7793486228924493E-2"/>
    <n v="1.8299999999999998"/>
    <n v="58.281839999999995"/>
    <n v="3.7205071082175856"/>
  </r>
  <r>
    <x v="306"/>
    <x v="1"/>
    <x v="1"/>
    <x v="1"/>
    <x v="5"/>
    <n v="157625"/>
    <n v="9457"/>
    <n v="4539.3599999999997"/>
    <n v="534"/>
    <n v="147520.79999999999"/>
    <n v="5.9996827914353686E-2"/>
    <n v="0.48"/>
    <n v="8.5006741573033704"/>
    <n v="32.498149518874911"/>
  </r>
  <r>
    <x v="258"/>
    <x v="2"/>
    <x v="0"/>
    <x v="0"/>
    <x v="5"/>
    <n v="172816"/>
    <n v="3819"/>
    <n v="8172.66"/>
    <n v="193"/>
    <n v="41926.28"/>
    <n v="2.2098648273308028E-2"/>
    <n v="2.14"/>
    <n v="42.345388601036269"/>
    <n v="5.1300653642755236"/>
  </r>
  <r>
    <x v="20"/>
    <x v="1"/>
    <x v="1"/>
    <x v="4"/>
    <x v="1"/>
    <n v="56529"/>
    <n v="4494"/>
    <n v="6785.94"/>
    <n v="104"/>
    <n v="9525.68"/>
    <n v="7.9499018203046223E-2"/>
    <n v="1.51"/>
    <n v="65.24942307692308"/>
    <n v="1.4037377283029324"/>
  </r>
  <r>
    <x v="133"/>
    <x v="1"/>
    <x v="2"/>
    <x v="1"/>
    <x v="2"/>
    <n v="176030"/>
    <n v="13079"/>
    <n v="19749.29"/>
    <n v="200"/>
    <n v="41247.07"/>
    <n v="7.4299835255354205E-2"/>
    <n v="1.51"/>
    <n v="98.74645000000001"/>
    <n v="2.0885343219933477"/>
  </r>
  <r>
    <x v="216"/>
    <x v="2"/>
    <x v="0"/>
    <x v="3"/>
    <x v="4"/>
    <n v="128355"/>
    <n v="1758"/>
    <n v="3269.88"/>
    <n v="122"/>
    <n v="6205.33"/>
    <n v="1.369638892135094E-2"/>
    <n v="1.86"/>
    <n v="26.802295081967213"/>
    <n v="1.8977240755012414"/>
  </r>
  <r>
    <x v="136"/>
    <x v="0"/>
    <x v="1"/>
    <x v="0"/>
    <x v="2"/>
    <n v="14096"/>
    <n v="476"/>
    <n v="614.04"/>
    <n v="34"/>
    <n v="3175.83"/>
    <n v="3.3768444948921679E-2"/>
    <n v="1.2899999999999998"/>
    <n v="18.059999999999999"/>
    <n v="5.1720246238030096"/>
  </r>
  <r>
    <x v="81"/>
    <x v="0"/>
    <x v="1"/>
    <x v="3"/>
    <x v="2"/>
    <n v="31855"/>
    <n v="1411"/>
    <n v="2398.6999999999998"/>
    <n v="60"/>
    <n v="3201.45"/>
    <n v="4.4294459268560668E-2"/>
    <n v="1.7"/>
    <n v="39.978333333333332"/>
    <n v="1.3346604410722476"/>
  </r>
  <r>
    <x v="176"/>
    <x v="0"/>
    <x v="0"/>
    <x v="1"/>
    <x v="0"/>
    <n v="95218"/>
    <n v="2199"/>
    <n v="5255.61"/>
    <n v="103"/>
    <n v="17399.72"/>
    <n v="2.3094372912684576E-2"/>
    <n v="2.3899999999999997"/>
    <n v="51.02533980582524"/>
    <n v="3.3106946672222639"/>
  </r>
  <r>
    <x v="314"/>
    <x v="0"/>
    <x v="2"/>
    <x v="4"/>
    <x v="3"/>
    <n v="102409"/>
    <n v="3389"/>
    <n v="12132.62"/>
    <n v="149"/>
    <n v="31253.87"/>
    <n v="3.3092794578601488E-2"/>
    <n v="3.58"/>
    <n v="81.426979865771813"/>
    <n v="2.5760198539144881"/>
  </r>
  <r>
    <x v="294"/>
    <x v="0"/>
    <x v="0"/>
    <x v="4"/>
    <x v="5"/>
    <n v="31049"/>
    <n v="1021"/>
    <n v="3379.51"/>
    <n v="31"/>
    <n v="7117.65"/>
    <n v="3.2883506715192114E-2"/>
    <n v="3.31"/>
    <n v="109.01645161290324"/>
    <n v="2.1061189344017324"/>
  </r>
  <r>
    <x v="344"/>
    <x v="1"/>
    <x v="0"/>
    <x v="2"/>
    <x v="3"/>
    <n v="129077"/>
    <n v="4065"/>
    <n v="4959.3"/>
    <n v="295"/>
    <n v="44193.52"/>
    <n v="3.1492829861245616E-2"/>
    <n v="1.22"/>
    <n v="16.811186440677968"/>
    <n v="8.9112415058576797"/>
  </r>
  <r>
    <x v="256"/>
    <x v="2"/>
    <x v="2"/>
    <x v="4"/>
    <x v="3"/>
    <n v="166874"/>
    <n v="6641"/>
    <n v="4515.88"/>
    <n v="200"/>
    <n v="17225.95"/>
    <n v="3.9796493162505844E-2"/>
    <n v="0.68"/>
    <n v="22.5794"/>
    <n v="3.8145278439639672"/>
  </r>
  <r>
    <x v="272"/>
    <x v="0"/>
    <x v="0"/>
    <x v="3"/>
    <x v="6"/>
    <n v="153865"/>
    <n v="5785"/>
    <n v="9834.5"/>
    <n v="139"/>
    <n v="16979.34"/>
    <n v="3.7597894257953401E-2"/>
    <n v="1.7"/>
    <n v="70.751798561151077"/>
    <n v="1.7265077024759774"/>
  </r>
  <r>
    <x v="345"/>
    <x v="1"/>
    <x v="3"/>
    <x v="2"/>
    <x v="1"/>
    <n v="187199"/>
    <n v="12036"/>
    <n v="16007.88"/>
    <n v="946"/>
    <n v="165825.37"/>
    <n v="6.4295215252218221E-2"/>
    <n v="1.3299999999999998"/>
    <n v="16.921649048625792"/>
    <n v="10.358983825465959"/>
  </r>
  <r>
    <x v="222"/>
    <x v="2"/>
    <x v="1"/>
    <x v="3"/>
    <x v="1"/>
    <n v="117696"/>
    <n v="4531"/>
    <n v="4938.79"/>
    <n v="325"/>
    <n v="19270.73"/>
    <n v="3.8497485046220775E-2"/>
    <n v="1.0900000000000001"/>
    <n v="15.196276923076923"/>
    <n v="3.901913221659556"/>
  </r>
  <r>
    <x v="292"/>
    <x v="2"/>
    <x v="0"/>
    <x v="2"/>
    <x v="4"/>
    <n v="147324"/>
    <n v="1325"/>
    <n v="2279"/>
    <n v="96"/>
    <n v="10356.84"/>
    <n v="8.9937824115554829E-3"/>
    <n v="1.72"/>
    <n v="23.739583333333332"/>
    <n v="4.5444668714348397"/>
  </r>
  <r>
    <x v="246"/>
    <x v="0"/>
    <x v="1"/>
    <x v="0"/>
    <x v="6"/>
    <n v="39001"/>
    <n v="1450"/>
    <n v="3799"/>
    <n v="18"/>
    <n v="5256.07"/>
    <n v="3.7178533883746569E-2"/>
    <n v="2.62"/>
    <n v="211.05555555555554"/>
    <n v="1.3835404053698341"/>
  </r>
  <r>
    <x v="240"/>
    <x v="1"/>
    <x v="0"/>
    <x v="2"/>
    <x v="2"/>
    <n v="69277"/>
    <n v="5057"/>
    <n v="5360.42"/>
    <n v="268"/>
    <n v="57608.77"/>
    <n v="7.2996809908050297E-2"/>
    <n v="1.06"/>
    <n v="20.001567164179104"/>
    <n v="10.747062730159204"/>
  </r>
  <r>
    <x v="346"/>
    <x v="0"/>
    <x v="0"/>
    <x v="4"/>
    <x v="2"/>
    <n v="166687"/>
    <n v="11384"/>
    <n v="8310.32"/>
    <n v="899"/>
    <n v="139644.20000000001"/>
    <n v="6.8295667928512716E-2"/>
    <n v="0.73"/>
    <n v="9.2439599555061172"/>
    <n v="16.803709123114395"/>
  </r>
  <r>
    <x v="347"/>
    <x v="2"/>
    <x v="1"/>
    <x v="4"/>
    <x v="4"/>
    <n v="173898"/>
    <n v="5321"/>
    <n v="2820.13"/>
    <n v="239"/>
    <n v="52181.09"/>
    <n v="3.0598396761319854E-2"/>
    <n v="0.53"/>
    <n v="11.799707112970712"/>
    <n v="18.503079645264577"/>
  </r>
  <r>
    <x v="213"/>
    <x v="0"/>
    <x v="3"/>
    <x v="3"/>
    <x v="4"/>
    <n v="117000"/>
    <n v="7979"/>
    <n v="11729.13"/>
    <n v="366"/>
    <n v="14373.81"/>
    <n v="6.8196581196581202E-2"/>
    <n v="1.47"/>
    <n v="32.046803278688522"/>
    <n v="1.2254796391548222"/>
  </r>
  <r>
    <x v="146"/>
    <x v="2"/>
    <x v="2"/>
    <x v="3"/>
    <x v="1"/>
    <n v="55697"/>
    <n v="957"/>
    <n v="870.87"/>
    <n v="12"/>
    <n v="1673.31"/>
    <n v="1.718225398136345E-2"/>
    <n v="0.91"/>
    <n v="72.572500000000005"/>
    <n v="1.9214234041820248"/>
  </r>
  <r>
    <x v="247"/>
    <x v="0"/>
    <x v="3"/>
    <x v="0"/>
    <x v="1"/>
    <n v="46585"/>
    <n v="1504"/>
    <n v="3308.8"/>
    <n v="85"/>
    <n v="13372.82"/>
    <n v="3.2285070301599224E-2"/>
    <n v="2.2000000000000002"/>
    <n v="38.927058823529414"/>
    <n v="4.0415921179883947"/>
  </r>
  <r>
    <x v="6"/>
    <x v="1"/>
    <x v="0"/>
    <x v="4"/>
    <x v="3"/>
    <n v="97345"/>
    <n v="5178"/>
    <n v="3158.58"/>
    <n v="289"/>
    <n v="44113.49"/>
    <n v="5.319225435307412E-2"/>
    <n v="0.61"/>
    <n v="10.929342560553634"/>
    <n v="13.96624115900183"/>
  </r>
  <r>
    <x v="297"/>
    <x v="1"/>
    <x v="1"/>
    <x v="4"/>
    <x v="5"/>
    <n v="143519"/>
    <n v="10519"/>
    <n v="9046.34"/>
    <n v="673"/>
    <n v="28878.71"/>
    <n v="7.3293431531713568E-2"/>
    <n v="0.86"/>
    <n v="13.44181277860327"/>
    <n v="3.1923087126948575"/>
  </r>
  <r>
    <x v="107"/>
    <x v="2"/>
    <x v="3"/>
    <x v="4"/>
    <x v="4"/>
    <n v="68843"/>
    <n v="633"/>
    <n v="563.37"/>
    <n v="25"/>
    <n v="2441.19"/>
    <n v="9.1948346237090191E-3"/>
    <n v="0.89"/>
    <n v="22.534800000000001"/>
    <n v="4.3331913307417862"/>
  </r>
  <r>
    <x v="104"/>
    <x v="0"/>
    <x v="3"/>
    <x v="0"/>
    <x v="2"/>
    <n v="129679"/>
    <n v="5848"/>
    <n v="8655.0400000000009"/>
    <n v="158"/>
    <n v="32419.87"/>
    <n v="4.5095967735716655E-2"/>
    <n v="1.4800000000000002"/>
    <n v="54.778734177215192"/>
    <n v="3.7457793378193509"/>
  </r>
  <r>
    <x v="311"/>
    <x v="2"/>
    <x v="0"/>
    <x v="0"/>
    <x v="1"/>
    <n v="153157"/>
    <n v="5498"/>
    <n v="9896.4"/>
    <n v="401"/>
    <n v="90694.52"/>
    <n v="3.5897804213976509E-2"/>
    <n v="1.8"/>
    <n v="24.679301745635911"/>
    <n v="9.1643951335839304"/>
  </r>
  <r>
    <x v="276"/>
    <x v="2"/>
    <x v="3"/>
    <x v="4"/>
    <x v="4"/>
    <n v="138074"/>
    <n v="3313"/>
    <n v="6327.83"/>
    <n v="209"/>
    <n v="16533.53"/>
    <n v="2.3994379825311066E-2"/>
    <n v="1.91"/>
    <n v="30.2766985645933"/>
    <n v="2.6128277782430942"/>
  </r>
  <r>
    <x v="28"/>
    <x v="0"/>
    <x v="2"/>
    <x v="3"/>
    <x v="3"/>
    <n v="119132"/>
    <n v="3466"/>
    <n v="7590.54"/>
    <n v="261"/>
    <n v="30598.06"/>
    <n v="2.9093778329919752E-2"/>
    <n v="2.19"/>
    <n v="29.082528735632184"/>
    <n v="4.0310781578122246"/>
  </r>
  <r>
    <x v="131"/>
    <x v="0"/>
    <x v="1"/>
    <x v="4"/>
    <x v="4"/>
    <n v="43634"/>
    <n v="1937"/>
    <n v="4610.0600000000004"/>
    <n v="58"/>
    <n v="15065.19"/>
    <n v="4.4391987899344551E-2"/>
    <n v="2.3800000000000003"/>
    <n v="79.483793103448278"/>
    <n v="3.2678945610252361"/>
  </r>
  <r>
    <x v="222"/>
    <x v="2"/>
    <x v="2"/>
    <x v="0"/>
    <x v="2"/>
    <n v="198899"/>
    <n v="2923"/>
    <n v="5758.31"/>
    <n v="95"/>
    <n v="3750"/>
    <n v="1.4695900934645222E-2"/>
    <n v="1.9700000000000002"/>
    <n v="60.613789473684214"/>
    <n v="0.65123274016160992"/>
  </r>
  <r>
    <x v="284"/>
    <x v="2"/>
    <x v="1"/>
    <x v="3"/>
    <x v="3"/>
    <n v="143383"/>
    <n v="3412"/>
    <n v="3480.24"/>
    <n v="117"/>
    <n v="19100.2"/>
    <n v="2.3796405431606257E-2"/>
    <n v="1.02"/>
    <n v="29.745641025641024"/>
    <n v="5.488184722892675"/>
  </r>
  <r>
    <x v="314"/>
    <x v="2"/>
    <x v="1"/>
    <x v="4"/>
    <x v="0"/>
    <n v="92469"/>
    <n v="2487"/>
    <n v="1492.2"/>
    <n v="48"/>
    <n v="14164.35"/>
    <n v="2.689550011355157E-2"/>
    <n v="0.6"/>
    <n v="31.087500000000002"/>
    <n v="9.4922597507036581"/>
  </r>
  <r>
    <x v="102"/>
    <x v="0"/>
    <x v="2"/>
    <x v="3"/>
    <x v="3"/>
    <n v="30852"/>
    <n v="684"/>
    <n v="1087.56"/>
    <n v="11"/>
    <n v="2813.84"/>
    <n v="2.2170361726954493E-2"/>
    <n v="1.5899999999999999"/>
    <n v="98.8690909090909"/>
    <n v="2.5872963330758765"/>
  </r>
  <r>
    <x v="28"/>
    <x v="2"/>
    <x v="0"/>
    <x v="2"/>
    <x v="3"/>
    <n v="87565"/>
    <n v="3213"/>
    <n v="7068.6"/>
    <n v="106"/>
    <n v="13715.98"/>
    <n v="3.6692742534117515E-2"/>
    <n v="2.2000000000000002"/>
    <n v="66.684905660377368"/>
    <n v="1.9404096992332285"/>
  </r>
  <r>
    <x v="189"/>
    <x v="0"/>
    <x v="2"/>
    <x v="1"/>
    <x v="1"/>
    <n v="154058"/>
    <n v="3728"/>
    <n v="9170.8799999999992"/>
    <n v="125"/>
    <n v="7520.81"/>
    <n v="2.4198678419815912E-2"/>
    <n v="2.46"/>
    <n v="73.367039999999989"/>
    <n v="0.82007506367982141"/>
  </r>
  <r>
    <x v="305"/>
    <x v="0"/>
    <x v="3"/>
    <x v="3"/>
    <x v="5"/>
    <n v="160579"/>
    <n v="7804"/>
    <n v="10613.44"/>
    <n v="193"/>
    <n v="9996.49"/>
    <n v="4.8599131891467751E-2"/>
    <n v="1.36"/>
    <n v="54.991917098445597"/>
    <n v="0.94187087315705365"/>
  </r>
  <r>
    <x v="348"/>
    <x v="1"/>
    <x v="0"/>
    <x v="3"/>
    <x v="0"/>
    <n v="34076"/>
    <n v="1363"/>
    <n v="1553.82"/>
    <n v="16"/>
    <n v="2219.67"/>
    <n v="3.9998826153304377E-2"/>
    <n v="1.1399999999999999"/>
    <n v="97.113749999999996"/>
    <n v="1.4285245395219524"/>
  </r>
  <r>
    <x v="349"/>
    <x v="1"/>
    <x v="2"/>
    <x v="2"/>
    <x v="3"/>
    <n v="37261"/>
    <n v="1591"/>
    <n v="1718.28"/>
    <n v="40"/>
    <n v="8930.0400000000009"/>
    <n v="4.2698800354257806E-2"/>
    <n v="1.08"/>
    <n v="42.957000000000001"/>
    <n v="5.197080801731965"/>
  </r>
  <r>
    <x v="313"/>
    <x v="2"/>
    <x v="2"/>
    <x v="0"/>
    <x v="2"/>
    <n v="178553"/>
    <n v="7213"/>
    <n v="16445.64"/>
    <n v="556"/>
    <n v="50559.85"/>
    <n v="4.0396968967197418E-2"/>
    <n v="2.2799999999999998"/>
    <n v="29.578489208633094"/>
    <n v="3.0743619585494999"/>
  </r>
  <r>
    <x v="36"/>
    <x v="2"/>
    <x v="0"/>
    <x v="2"/>
    <x v="6"/>
    <n v="132390"/>
    <n v="2780"/>
    <n v="2807.8"/>
    <n v="133"/>
    <n v="39444.5"/>
    <n v="2.0998564846287485E-2"/>
    <n v="1.01"/>
    <n v="21.111278195488723"/>
    <n v="14.04818719282"/>
  </r>
  <r>
    <x v="190"/>
    <x v="1"/>
    <x v="0"/>
    <x v="2"/>
    <x v="6"/>
    <n v="166446"/>
    <n v="7822"/>
    <n v="8995.2999999999993"/>
    <n v="218"/>
    <n v="21100.54"/>
    <n v="4.6994220347740409E-2"/>
    <n v="1.1499999999999999"/>
    <n v="41.262844036697246"/>
    <n v="2.3457294364834973"/>
  </r>
  <r>
    <x v="326"/>
    <x v="1"/>
    <x v="2"/>
    <x v="1"/>
    <x v="3"/>
    <n v="158807"/>
    <n v="5859"/>
    <n v="3339.63"/>
    <n v="73"/>
    <n v="7304.51"/>
    <n v="3.6893839692205006E-2"/>
    <n v="0.57000000000000006"/>
    <n v="45.748356164383566"/>
    <n v="2.187221338890835"/>
  </r>
  <r>
    <x v="263"/>
    <x v="2"/>
    <x v="1"/>
    <x v="1"/>
    <x v="6"/>
    <n v="66265"/>
    <n v="1881"/>
    <n v="3837.24"/>
    <n v="76"/>
    <n v="2782.02"/>
    <n v="2.8386025805478006E-2"/>
    <n v="2.04"/>
    <n v="50.489999999999995"/>
    <n v="0.72500547268349125"/>
  </r>
  <r>
    <x v="306"/>
    <x v="0"/>
    <x v="0"/>
    <x v="3"/>
    <x v="1"/>
    <n v="137156"/>
    <n v="5253"/>
    <n v="11293.95"/>
    <n v="280"/>
    <n v="75085.66"/>
    <n v="3.8299454635597419E-2"/>
    <n v="2.1500000000000004"/>
    <n v="40.335535714285719"/>
    <n v="6.6483081649909908"/>
  </r>
  <r>
    <x v="49"/>
    <x v="0"/>
    <x v="2"/>
    <x v="0"/>
    <x v="5"/>
    <n v="123292"/>
    <n v="2527"/>
    <n v="8970.85"/>
    <n v="179"/>
    <n v="36566.559999999998"/>
    <n v="2.0496058138403141E-2"/>
    <n v="3.5500000000000003"/>
    <n v="50.116480446927376"/>
    <n v="4.0761533188047947"/>
  </r>
  <r>
    <x v="235"/>
    <x v="1"/>
    <x v="3"/>
    <x v="0"/>
    <x v="1"/>
    <n v="68642"/>
    <n v="3363"/>
    <n v="1244.31"/>
    <n v="37"/>
    <n v="8887.57"/>
    <n v="4.8993327700241833E-2"/>
    <n v="0.37"/>
    <n v="33.629999999999995"/>
    <n v="7.1425689739695093"/>
  </r>
  <r>
    <x v="50"/>
    <x v="0"/>
    <x v="2"/>
    <x v="3"/>
    <x v="4"/>
    <n v="147727"/>
    <n v="7534"/>
    <n v="17554.22"/>
    <n v="206"/>
    <n v="23788.98"/>
    <n v="5.0999478768268498E-2"/>
    <n v="2.33"/>
    <n v="85.214660194174769"/>
    <n v="1.3551715769769319"/>
  </r>
  <r>
    <x v="194"/>
    <x v="1"/>
    <x v="0"/>
    <x v="4"/>
    <x v="6"/>
    <n v="179818"/>
    <n v="11724"/>
    <n v="12075.72"/>
    <n v="880"/>
    <n v="242039.99"/>
    <n v="6.5199257026549065E-2"/>
    <n v="1.03"/>
    <n v="13.722409090909091"/>
    <n v="20.043524526901916"/>
  </r>
  <r>
    <x v="146"/>
    <x v="0"/>
    <x v="3"/>
    <x v="0"/>
    <x v="6"/>
    <n v="158481"/>
    <n v="6053"/>
    <n v="9866.39"/>
    <n v="116"/>
    <n v="30091.81"/>
    <n v="3.8193852890882819E-2"/>
    <n v="1.63"/>
    <n v="85.055086206896547"/>
    <n v="3.0499311298256"/>
  </r>
  <r>
    <x v="138"/>
    <x v="1"/>
    <x v="0"/>
    <x v="0"/>
    <x v="5"/>
    <n v="12784"/>
    <n v="1055"/>
    <n v="400.9"/>
    <n v="67"/>
    <n v="12031.35"/>
    <n v="8.2525031289111386E-2"/>
    <n v="0.38"/>
    <n v="5.9835820895522387"/>
    <n v="30.010850586181096"/>
  </r>
  <r>
    <x v="189"/>
    <x v="2"/>
    <x v="1"/>
    <x v="1"/>
    <x v="6"/>
    <n v="117169"/>
    <n v="3304"/>
    <n v="4196.08"/>
    <n v="83"/>
    <n v="20949.79"/>
    <n v="2.8198584949944098E-2"/>
    <n v="1.27"/>
    <n v="50.555180722891564"/>
    <n v="4.992705096185011"/>
  </r>
  <r>
    <x v="148"/>
    <x v="2"/>
    <x v="1"/>
    <x v="1"/>
    <x v="3"/>
    <n v="190928"/>
    <n v="5078"/>
    <n v="7363.1"/>
    <n v="186"/>
    <n v="47430.11"/>
    <n v="2.6596413307634292E-2"/>
    <n v="1.4500000000000002"/>
    <n v="39.586559139784946"/>
    <n v="6.4415952519998365"/>
  </r>
  <r>
    <x v="275"/>
    <x v="0"/>
    <x v="0"/>
    <x v="4"/>
    <x v="5"/>
    <n v="38512"/>
    <n v="1840"/>
    <n v="2465.6"/>
    <n v="53"/>
    <n v="3324.76"/>
    <n v="4.7777316161196508E-2"/>
    <n v="1.3399999999999999"/>
    <n v="46.520754716981131"/>
    <n v="1.3484587929915641"/>
  </r>
  <r>
    <x v="306"/>
    <x v="2"/>
    <x v="1"/>
    <x v="3"/>
    <x v="0"/>
    <n v="92986"/>
    <n v="2082"/>
    <n v="3601.86"/>
    <n v="108"/>
    <n v="6838.55"/>
    <n v="2.2390467382186564E-2"/>
    <n v="1.73"/>
    <n v="33.350555555555559"/>
    <n v="1.8986162704824729"/>
  </r>
  <r>
    <x v="57"/>
    <x v="2"/>
    <x v="0"/>
    <x v="2"/>
    <x v="0"/>
    <n v="80589"/>
    <n v="1160"/>
    <n v="1102"/>
    <n v="75"/>
    <n v="21781.43"/>
    <n v="1.4394023998312425E-2"/>
    <n v="0.95"/>
    <n v="14.693333333333333"/>
    <n v="19.765362976406532"/>
  </r>
  <r>
    <x v="128"/>
    <x v="2"/>
    <x v="3"/>
    <x v="1"/>
    <x v="5"/>
    <n v="140475"/>
    <n v="5043"/>
    <n v="10287.719999999999"/>
    <n v="327"/>
    <n v="96504.49"/>
    <n v="3.5899626268019222E-2"/>
    <n v="2.04"/>
    <n v="31.460917431192659"/>
    <n v="9.3805517646281213"/>
  </r>
  <r>
    <x v="350"/>
    <x v="0"/>
    <x v="1"/>
    <x v="4"/>
    <x v="4"/>
    <n v="103348"/>
    <n v="1891"/>
    <n v="2912.14"/>
    <n v="30"/>
    <n v="1064.02"/>
    <n v="1.8297402949258815E-2"/>
    <n v="1.54"/>
    <n v="97.071333333333328"/>
    <n v="0.36537391746275938"/>
  </r>
  <r>
    <x v="148"/>
    <x v="2"/>
    <x v="0"/>
    <x v="1"/>
    <x v="6"/>
    <n v="100343"/>
    <n v="3461"/>
    <n v="3737.88"/>
    <n v="259"/>
    <n v="51755.16"/>
    <n v="3.4491693491324756E-2"/>
    <n v="1.08"/>
    <n v="14.431969111969112"/>
    <n v="13.846126681434397"/>
  </r>
  <r>
    <x v="260"/>
    <x v="1"/>
    <x v="3"/>
    <x v="3"/>
    <x v="0"/>
    <n v="179039"/>
    <n v="14663"/>
    <n v="19941.68"/>
    <n v="1151"/>
    <n v="281693.26"/>
    <n v="8.189835734113797E-2"/>
    <n v="1.36"/>
    <n v="17.325525629887053"/>
    <n v="14.125853990235527"/>
  </r>
  <r>
    <x v="322"/>
    <x v="2"/>
    <x v="3"/>
    <x v="3"/>
    <x v="1"/>
    <n v="13100"/>
    <n v="186"/>
    <n v="279"/>
    <n v="10"/>
    <n v="1347.41"/>
    <n v="1.4198473282442748E-2"/>
    <n v="1.5"/>
    <n v="27.9"/>
    <n v="4.8294265232974913"/>
  </r>
  <r>
    <x v="310"/>
    <x v="0"/>
    <x v="0"/>
    <x v="1"/>
    <x v="0"/>
    <n v="167198"/>
    <n v="5132"/>
    <n v="11854.92"/>
    <n v="120"/>
    <n v="19874.34"/>
    <n v="3.069414705917535E-2"/>
    <n v="2.31"/>
    <n v="98.790999999999997"/>
    <n v="1.6764634430261867"/>
  </r>
  <r>
    <x v="342"/>
    <x v="2"/>
    <x v="1"/>
    <x v="4"/>
    <x v="1"/>
    <n v="35755"/>
    <n v="672"/>
    <n v="1350.72"/>
    <n v="39"/>
    <n v="1411.24"/>
    <n v="1.8794574185428611E-2"/>
    <n v="2.0100000000000002"/>
    <n v="34.633846153846157"/>
    <n v="1.044805733238569"/>
  </r>
  <r>
    <x v="8"/>
    <x v="0"/>
    <x v="3"/>
    <x v="4"/>
    <x v="3"/>
    <n v="177420"/>
    <n v="7646"/>
    <n v="18503.32"/>
    <n v="478"/>
    <n v="110744.54"/>
    <n v="4.3095479652801263E-2"/>
    <n v="2.42"/>
    <n v="38.709874476987444"/>
    <n v="5.985117265442093"/>
  </r>
  <r>
    <x v="328"/>
    <x v="0"/>
    <x v="0"/>
    <x v="3"/>
    <x v="0"/>
    <n v="195067"/>
    <n v="9129"/>
    <n v="8672.5499999999993"/>
    <n v="128"/>
    <n v="24006.78"/>
    <n v="4.6799304854229576E-2"/>
    <n v="0.95"/>
    <n v="67.754296874999994"/>
    <n v="2.7681339398446823"/>
  </r>
  <r>
    <x v="303"/>
    <x v="0"/>
    <x v="3"/>
    <x v="1"/>
    <x v="2"/>
    <n v="44435"/>
    <n v="1453"/>
    <n v="3894.04"/>
    <n v="48"/>
    <n v="6345.04"/>
    <n v="3.2699448632834478E-2"/>
    <n v="2.68"/>
    <n v="81.125833333333333"/>
    <n v="1.6294234265698349"/>
  </r>
  <r>
    <x v="76"/>
    <x v="1"/>
    <x v="0"/>
    <x v="3"/>
    <x v="0"/>
    <n v="57448"/>
    <n v="2338"/>
    <n v="1169"/>
    <n v="143"/>
    <n v="25654.560000000001"/>
    <n v="4.0697674418604654E-2"/>
    <n v="0.5"/>
    <n v="8.174825174825175"/>
    <n v="21.945731394354151"/>
  </r>
  <r>
    <x v="34"/>
    <x v="0"/>
    <x v="1"/>
    <x v="4"/>
    <x v="1"/>
    <n v="139158"/>
    <n v="3061"/>
    <n v="3887.47"/>
    <n v="118"/>
    <n v="15835.46"/>
    <n v="2.1996579427700887E-2"/>
    <n v="1.27"/>
    <n v="32.944661016949148"/>
    <n v="4.0734616601542903"/>
  </r>
  <r>
    <x v="13"/>
    <x v="2"/>
    <x v="3"/>
    <x v="2"/>
    <x v="3"/>
    <n v="148463"/>
    <n v="4810"/>
    <n v="10149.1"/>
    <n v="286"/>
    <n v="68709.259999999995"/>
    <n v="3.2398644780180917E-2"/>
    <n v="2.11"/>
    <n v="35.486363636363635"/>
    <n v="6.769985515957079"/>
  </r>
  <r>
    <x v="232"/>
    <x v="2"/>
    <x v="0"/>
    <x v="4"/>
    <x v="6"/>
    <n v="30123"/>
    <n v="554"/>
    <n v="986.12"/>
    <n v="15"/>
    <n v="2874.83"/>
    <n v="1.8391262490455799E-2"/>
    <n v="1.78"/>
    <n v="65.74133333333333"/>
    <n v="2.9152942846712366"/>
  </r>
  <r>
    <x v="33"/>
    <x v="2"/>
    <x v="2"/>
    <x v="4"/>
    <x v="2"/>
    <n v="139257"/>
    <n v="2631"/>
    <n v="4235.91"/>
    <n v="99"/>
    <n v="9781.2800000000007"/>
    <n v="1.8893125659751396E-2"/>
    <n v="1.6099999999999999"/>
    <n v="42.786969696969699"/>
    <n v="2.3091331024502413"/>
  </r>
  <r>
    <x v="208"/>
    <x v="0"/>
    <x v="0"/>
    <x v="2"/>
    <x v="3"/>
    <n v="103053"/>
    <n v="2607"/>
    <n v="5709.33"/>
    <n v="194"/>
    <n v="39533.49"/>
    <n v="2.5297662367907776E-2"/>
    <n v="2.19"/>
    <n v="29.429536082474225"/>
    <n v="6.924365906332266"/>
  </r>
  <r>
    <x v="13"/>
    <x v="0"/>
    <x v="3"/>
    <x v="0"/>
    <x v="4"/>
    <n v="44140"/>
    <n v="2101"/>
    <n v="2206.0500000000002"/>
    <n v="55"/>
    <n v="6735.72"/>
    <n v="4.7598550067965567E-2"/>
    <n v="1.05"/>
    <n v="40.110000000000007"/>
    <n v="3.0532943496294278"/>
  </r>
  <r>
    <x v="18"/>
    <x v="2"/>
    <x v="3"/>
    <x v="3"/>
    <x v="5"/>
    <n v="88698"/>
    <n v="1073"/>
    <n v="987.16"/>
    <n v="43"/>
    <n v="5727.99"/>
    <n v="1.2097228798845521E-2"/>
    <n v="0.91999999999999993"/>
    <n v="22.95720930232558"/>
    <n v="5.8024940232586406"/>
  </r>
  <r>
    <x v="31"/>
    <x v="2"/>
    <x v="3"/>
    <x v="1"/>
    <x v="4"/>
    <n v="182011"/>
    <n v="1911"/>
    <n v="1051.05"/>
    <n v="35"/>
    <n v="3848.31"/>
    <n v="1.0499365422968941E-2"/>
    <n v="0.54999999999999993"/>
    <n v="30.029999999999998"/>
    <n v="3.6613957471100331"/>
  </r>
  <r>
    <x v="109"/>
    <x v="1"/>
    <x v="3"/>
    <x v="0"/>
    <x v="5"/>
    <n v="29180"/>
    <n v="1464"/>
    <n v="775.92"/>
    <n v="59"/>
    <n v="11729.57"/>
    <n v="5.0171350239890333E-2"/>
    <n v="0.53"/>
    <n v="13.151186440677966"/>
    <n v="15.11698370966079"/>
  </r>
  <r>
    <x v="175"/>
    <x v="2"/>
    <x v="1"/>
    <x v="4"/>
    <x v="1"/>
    <n v="138686"/>
    <n v="2621"/>
    <n v="3983.92"/>
    <n v="195"/>
    <n v="52398.49"/>
    <n v="1.8898807377817517E-2"/>
    <n v="1.52"/>
    <n v="20.430358974358974"/>
    <n v="13.152495532038795"/>
  </r>
  <r>
    <x v="84"/>
    <x v="0"/>
    <x v="0"/>
    <x v="0"/>
    <x v="5"/>
    <n v="181976"/>
    <n v="7752"/>
    <n v="13333.44"/>
    <n v="255"/>
    <n v="75491.87"/>
    <n v="4.2599024047127093E-2"/>
    <n v="1.72"/>
    <n v="52.288000000000004"/>
    <n v="5.6618449552403574"/>
  </r>
  <r>
    <x v="315"/>
    <x v="0"/>
    <x v="2"/>
    <x v="2"/>
    <x v="1"/>
    <n v="103902"/>
    <n v="3927"/>
    <n v="4555.32"/>
    <n v="215"/>
    <n v="37434.379999999997"/>
    <n v="3.7795230120690651E-2"/>
    <n v="1.1599999999999999"/>
    <n v="21.187534883720929"/>
    <n v="8.2177278434884933"/>
  </r>
  <r>
    <x v="7"/>
    <x v="1"/>
    <x v="3"/>
    <x v="3"/>
    <x v="4"/>
    <n v="132081"/>
    <n v="10051"/>
    <n v="7136.21"/>
    <n v="229"/>
    <n v="62261.45"/>
    <n v="7.6097243358242292E-2"/>
    <n v="0.71"/>
    <n v="31.162489082969433"/>
    <n v="8.7247222265039834"/>
  </r>
  <r>
    <x v="267"/>
    <x v="2"/>
    <x v="1"/>
    <x v="4"/>
    <x v="1"/>
    <n v="25077"/>
    <n v="341"/>
    <n v="143.22"/>
    <n v="5"/>
    <n v="779.52"/>
    <n v="1.3598117797184671E-2"/>
    <n v="0.42"/>
    <n v="28.643999999999998"/>
    <n v="5.4428152492668618"/>
  </r>
  <r>
    <x v="196"/>
    <x v="2"/>
    <x v="1"/>
    <x v="4"/>
    <x v="0"/>
    <n v="113987"/>
    <n v="3579"/>
    <n v="2720.04"/>
    <n v="229"/>
    <n v="31787.48"/>
    <n v="3.1398317351978733E-2"/>
    <n v="0.76"/>
    <n v="11.877903930131005"/>
    <n v="11.686401670563669"/>
  </r>
  <r>
    <x v="351"/>
    <x v="2"/>
    <x v="2"/>
    <x v="0"/>
    <x v="4"/>
    <n v="14705"/>
    <n v="363"/>
    <n v="341.22"/>
    <n v="4"/>
    <n v="738.37"/>
    <n v="2.4685481128867731E-2"/>
    <n v="0.94000000000000006"/>
    <n v="85.305000000000007"/>
    <n v="2.1639118457300275"/>
  </r>
  <r>
    <x v="119"/>
    <x v="0"/>
    <x v="0"/>
    <x v="1"/>
    <x v="2"/>
    <n v="16955"/>
    <n v="440"/>
    <n v="800.8"/>
    <n v="30"/>
    <n v="3274.44"/>
    <n v="2.5951046888823357E-2"/>
    <n v="1.8199999999999998"/>
    <n v="26.693333333333332"/>
    <n v="4.0889610389610391"/>
  </r>
  <r>
    <x v="84"/>
    <x v="2"/>
    <x v="3"/>
    <x v="4"/>
    <x v="5"/>
    <n v="127082"/>
    <n v="2452"/>
    <n v="5345.36"/>
    <n v="53"/>
    <n v="8408.4500000000007"/>
    <n v="1.9294628664956483E-2"/>
    <n v="2.1799999999999997"/>
    <n v="100.85584905660377"/>
    <n v="1.573037176167742"/>
  </r>
  <r>
    <x v="272"/>
    <x v="2"/>
    <x v="1"/>
    <x v="4"/>
    <x v="5"/>
    <n v="57299"/>
    <n v="1186"/>
    <n v="1601.1"/>
    <n v="25"/>
    <n v="5383.27"/>
    <n v="2.069844150857781E-2"/>
    <n v="1.3499999999999999"/>
    <n v="64.043999999999997"/>
    <n v="3.3622322153519462"/>
  </r>
  <r>
    <x v="237"/>
    <x v="2"/>
    <x v="2"/>
    <x v="0"/>
    <x v="6"/>
    <n v="134986"/>
    <n v="4346"/>
    <n v="7083.98"/>
    <n v="149"/>
    <n v="28100.44"/>
    <n v="3.2195931429926064E-2"/>
    <n v="1.63"/>
    <n v="47.543489932885905"/>
    <n v="3.966758799431958"/>
  </r>
  <r>
    <x v="265"/>
    <x v="0"/>
    <x v="3"/>
    <x v="4"/>
    <x v="6"/>
    <n v="12546"/>
    <n v="725"/>
    <n v="1051.25"/>
    <n v="43"/>
    <n v="2269.7800000000002"/>
    <n v="5.7787342579308149E-2"/>
    <n v="1.45"/>
    <n v="24.447674418604652"/>
    <n v="2.1591248513674199"/>
  </r>
  <r>
    <x v="158"/>
    <x v="0"/>
    <x v="0"/>
    <x v="0"/>
    <x v="4"/>
    <n v="161554"/>
    <n v="6252"/>
    <n v="19068.599999999999"/>
    <n v="361"/>
    <n v="57767.01"/>
    <n v="3.8699134654666553E-2"/>
    <n v="3.05"/>
    <n v="52.821606648199442"/>
    <n v="3.0294311066360406"/>
  </r>
  <r>
    <x v="98"/>
    <x v="2"/>
    <x v="0"/>
    <x v="2"/>
    <x v="5"/>
    <n v="27499"/>
    <n v="728"/>
    <n v="778.96"/>
    <n v="17"/>
    <n v="3860.75"/>
    <n v="2.6473689952361903E-2"/>
    <n v="1.07"/>
    <n v="45.821176470588235"/>
    <n v="4.9562878710074969"/>
  </r>
  <r>
    <x v="140"/>
    <x v="1"/>
    <x v="3"/>
    <x v="1"/>
    <x v="5"/>
    <n v="153936"/>
    <n v="5895"/>
    <n v="5246.55"/>
    <n v="373"/>
    <n v="85268.07"/>
    <n v="3.829513564078578E-2"/>
    <n v="0.89"/>
    <n v="14.065817694369974"/>
    <n v="16.252217171283988"/>
  </r>
  <r>
    <x v="58"/>
    <x v="1"/>
    <x v="3"/>
    <x v="4"/>
    <x v="3"/>
    <n v="41232"/>
    <n v="1859"/>
    <n v="1970.54"/>
    <n v="126"/>
    <n v="22069.99"/>
    <n v="4.5086340706247577E-2"/>
    <n v="1.06"/>
    <n v="15.639206349206349"/>
    <n v="11.199970566443717"/>
  </r>
  <r>
    <x v="313"/>
    <x v="2"/>
    <x v="1"/>
    <x v="2"/>
    <x v="4"/>
    <n v="133088"/>
    <n v="5243"/>
    <n v="8808.24"/>
    <n v="226"/>
    <n v="48389.85"/>
    <n v="3.9394986775667225E-2"/>
    <n v="1.68"/>
    <n v="38.974513274336282"/>
    <n v="5.4937024876706353"/>
  </r>
  <r>
    <x v="141"/>
    <x v="2"/>
    <x v="0"/>
    <x v="3"/>
    <x v="6"/>
    <n v="33082"/>
    <n v="340"/>
    <n v="632.4"/>
    <n v="9"/>
    <n v="2116.06"/>
    <n v="1.0277492291880781E-2"/>
    <n v="1.8599999999999999"/>
    <n v="70.266666666666666"/>
    <n v="3.3460784313725491"/>
  </r>
  <r>
    <x v="196"/>
    <x v="2"/>
    <x v="3"/>
    <x v="0"/>
    <x v="3"/>
    <n v="179504"/>
    <n v="5026"/>
    <n v="5578.86"/>
    <n v="203"/>
    <n v="10121.879999999999"/>
    <n v="2.7999376058472233E-2"/>
    <n v="1.1099999999999999"/>
    <n v="27.482068965517239"/>
    <n v="1.8143276583388004"/>
  </r>
  <r>
    <x v="338"/>
    <x v="2"/>
    <x v="2"/>
    <x v="2"/>
    <x v="2"/>
    <n v="16344"/>
    <n v="534"/>
    <n v="480.6"/>
    <n v="11"/>
    <n v="465.35"/>
    <n v="3.267254038179148E-2"/>
    <n v="0.9"/>
    <n v="43.690909090909095"/>
    <n v="0.96826883062838121"/>
  </r>
  <r>
    <x v="159"/>
    <x v="1"/>
    <x v="3"/>
    <x v="4"/>
    <x v="4"/>
    <n v="196312"/>
    <n v="12642"/>
    <n v="16181.76"/>
    <n v="584"/>
    <n v="148695.91"/>
    <n v="6.4397489710257147E-2"/>
    <n v="1.28"/>
    <n v="27.70849315068493"/>
    <n v="9.1891061293703533"/>
  </r>
  <r>
    <x v="243"/>
    <x v="1"/>
    <x v="2"/>
    <x v="4"/>
    <x v="2"/>
    <n v="17626"/>
    <n v="1113"/>
    <n v="601.02"/>
    <n v="50"/>
    <n v="2568.5100000000002"/>
    <n v="6.3145353455123107E-2"/>
    <n v="0.54"/>
    <n v="12.0204"/>
    <n v="4.2735849056603774"/>
  </r>
  <r>
    <x v="115"/>
    <x v="2"/>
    <x v="2"/>
    <x v="3"/>
    <x v="3"/>
    <n v="46603"/>
    <n v="955"/>
    <n v="658.95"/>
    <n v="23"/>
    <n v="2614.4899999999998"/>
    <n v="2.0492242988648799E-2"/>
    <n v="0.69000000000000006"/>
    <n v="28.650000000000002"/>
    <n v="3.9676606722816596"/>
  </r>
  <r>
    <x v="105"/>
    <x v="2"/>
    <x v="0"/>
    <x v="1"/>
    <x v="0"/>
    <n v="113878"/>
    <n v="3678"/>
    <n v="3383.76"/>
    <n v="216"/>
    <n v="62162.63"/>
    <n v="3.2297722123676216E-2"/>
    <n v="0.92"/>
    <n v="15.665555555555557"/>
    <n v="18.370874411896821"/>
  </r>
  <r>
    <x v="32"/>
    <x v="2"/>
    <x v="3"/>
    <x v="4"/>
    <x v="4"/>
    <n v="196354"/>
    <n v="2945"/>
    <n v="3268.95"/>
    <n v="177"/>
    <n v="7478.3"/>
    <n v="1.4998421218819072E-2"/>
    <n v="1.1099999999999999"/>
    <n v="18.46864406779661"/>
    <n v="2.2876764710381012"/>
  </r>
  <r>
    <x v="85"/>
    <x v="2"/>
    <x v="1"/>
    <x v="1"/>
    <x v="6"/>
    <n v="62194"/>
    <n v="2039"/>
    <n v="3751.76"/>
    <n v="129"/>
    <n v="23854.38"/>
    <n v="3.2784512975528188E-2"/>
    <n v="1.84"/>
    <n v="29.083410852713179"/>
    <n v="6.3581838923598522"/>
  </r>
  <r>
    <x v="333"/>
    <x v="1"/>
    <x v="2"/>
    <x v="2"/>
    <x v="3"/>
    <n v="56069"/>
    <n v="2949"/>
    <n v="2506.65"/>
    <n v="150"/>
    <n v="29064.28"/>
    <n v="5.2595908612602327E-2"/>
    <n v="0.85"/>
    <n v="16.711000000000002"/>
    <n v="11.594869646739671"/>
  </r>
  <r>
    <x v="183"/>
    <x v="2"/>
    <x v="0"/>
    <x v="1"/>
    <x v="0"/>
    <n v="18706"/>
    <n v="458"/>
    <n v="201.52"/>
    <n v="35"/>
    <n v="7330.28"/>
    <n v="2.4484122741366406E-2"/>
    <n v="0.44"/>
    <n v="5.757714285714286"/>
    <n v="36.374950377133779"/>
  </r>
  <r>
    <x v="127"/>
    <x v="1"/>
    <x v="1"/>
    <x v="3"/>
    <x v="4"/>
    <n v="49390"/>
    <n v="3368"/>
    <n v="5557.2"/>
    <n v="195"/>
    <n v="57395.9"/>
    <n v="6.8191941688600932E-2"/>
    <n v="1.65"/>
    <n v="28.498461538461537"/>
    <n v="10.328204851363997"/>
  </r>
  <r>
    <x v="128"/>
    <x v="0"/>
    <x v="2"/>
    <x v="0"/>
    <x v="5"/>
    <n v="23773"/>
    <n v="461"/>
    <n v="737.6"/>
    <n v="5"/>
    <n v="642.97"/>
    <n v="1.9391746939805662E-2"/>
    <n v="1.6"/>
    <n v="147.52000000000001"/>
    <n v="0.87170553145336227"/>
  </r>
  <r>
    <x v="288"/>
    <x v="2"/>
    <x v="0"/>
    <x v="4"/>
    <x v="4"/>
    <n v="19959"/>
    <n v="586"/>
    <n v="1166.1400000000001"/>
    <n v="17"/>
    <n v="4432.12"/>
    <n v="2.9360188386191692E-2"/>
    <n v="1.9900000000000002"/>
    <n v="68.596470588235306"/>
    <n v="3.8006757336168895"/>
  </r>
  <r>
    <x v="303"/>
    <x v="2"/>
    <x v="3"/>
    <x v="0"/>
    <x v="0"/>
    <n v="166155"/>
    <n v="6048"/>
    <n v="8830.08"/>
    <n v="260"/>
    <n v="28494.38"/>
    <n v="3.639974722397761E-2"/>
    <n v="1.46"/>
    <n v="33.961846153846153"/>
    <n v="3.2269673660940787"/>
  </r>
  <r>
    <x v="66"/>
    <x v="1"/>
    <x v="2"/>
    <x v="3"/>
    <x v="0"/>
    <n v="50819"/>
    <n v="3206"/>
    <n v="3045.7"/>
    <n v="222"/>
    <n v="24319.42"/>
    <n v="6.3086640823314111E-2"/>
    <n v="0.95"/>
    <n v="13.719369369369369"/>
    <n v="7.9848376399514072"/>
  </r>
  <r>
    <x v="137"/>
    <x v="0"/>
    <x v="3"/>
    <x v="2"/>
    <x v="1"/>
    <n v="15796"/>
    <n v="301"/>
    <n v="574.91"/>
    <n v="17"/>
    <n v="1137.71"/>
    <n v="1.90554570777412E-2"/>
    <n v="1.91"/>
    <n v="33.818235294117642"/>
    <n v="1.9789358334347986"/>
  </r>
  <r>
    <x v="80"/>
    <x v="1"/>
    <x v="3"/>
    <x v="4"/>
    <x v="5"/>
    <n v="133422"/>
    <n v="8458"/>
    <n v="6935.56"/>
    <n v="663"/>
    <n v="111531.65"/>
    <n v="6.3392843758900336E-2"/>
    <n v="0.82000000000000006"/>
    <n v="10.460874811463047"/>
    <n v="16.081131155955681"/>
  </r>
  <r>
    <x v="206"/>
    <x v="2"/>
    <x v="1"/>
    <x v="1"/>
    <x v="3"/>
    <n v="181026"/>
    <n v="2769"/>
    <n v="2935.14"/>
    <n v="155"/>
    <n v="18246.009999999998"/>
    <n v="1.5296145305094296E-2"/>
    <n v="1.06"/>
    <n v="18.936387096774194"/>
    <n v="6.2164019433485285"/>
  </r>
  <r>
    <x v="180"/>
    <x v="2"/>
    <x v="2"/>
    <x v="4"/>
    <x v="3"/>
    <n v="57784"/>
    <n v="907"/>
    <n v="1097.47"/>
    <n v="54"/>
    <n v="2856.1"/>
    <n v="1.5696386542987679E-2"/>
    <n v="1.21"/>
    <n v="20.323518518518519"/>
    <n v="2.6024401578175258"/>
  </r>
  <r>
    <x v="352"/>
    <x v="2"/>
    <x v="0"/>
    <x v="4"/>
    <x v="5"/>
    <n v="81023"/>
    <n v="1944"/>
    <n v="2546.64"/>
    <n v="146"/>
    <n v="32752.99"/>
    <n v="2.3993187119706751E-2"/>
    <n v="1.3099999999999998"/>
    <n v="17.442739726027398"/>
    <n v="12.861256400590584"/>
  </r>
  <r>
    <x v="125"/>
    <x v="0"/>
    <x v="2"/>
    <x v="1"/>
    <x v="2"/>
    <n v="93623"/>
    <n v="6319"/>
    <n v="7898.75"/>
    <n v="83"/>
    <n v="20925.73"/>
    <n v="6.7494098672334787E-2"/>
    <n v="1.25"/>
    <n v="95.165662650602414"/>
    <n v="2.6492457667352429"/>
  </r>
  <r>
    <x v="236"/>
    <x v="1"/>
    <x v="0"/>
    <x v="1"/>
    <x v="3"/>
    <n v="118483"/>
    <n v="8826"/>
    <n v="14915.94"/>
    <n v="570"/>
    <n v="139364.5"/>
    <n v="7.4491699231113317E-2"/>
    <n v="1.69"/>
    <n v="26.168315789473684"/>
    <n v="9.3433266693215451"/>
  </r>
  <r>
    <x v="302"/>
    <x v="0"/>
    <x v="2"/>
    <x v="2"/>
    <x v="0"/>
    <n v="155018"/>
    <n v="9146"/>
    <n v="27072.16"/>
    <n v="495"/>
    <n v="33297.83"/>
    <n v="5.8999600046446221E-2"/>
    <n v="2.96"/>
    <n v="54.69123232323232"/>
    <n v="1.2299657655687615"/>
  </r>
  <r>
    <x v="216"/>
    <x v="0"/>
    <x v="0"/>
    <x v="1"/>
    <x v="4"/>
    <n v="13614"/>
    <n v="744"/>
    <n v="2209.6799999999998"/>
    <n v="54"/>
    <n v="11111.12"/>
    <n v="5.4649625385632436E-2"/>
    <n v="2.9699999999999998"/>
    <n v="40.919999999999995"/>
    <n v="5.0283842004272117"/>
  </r>
  <r>
    <x v="171"/>
    <x v="0"/>
    <x v="3"/>
    <x v="3"/>
    <x v="6"/>
    <n v="7594"/>
    <n v="225"/>
    <n v="267.75"/>
    <n v="7"/>
    <n v="1275.1099999999999"/>
    <n v="2.9628654200684751E-2"/>
    <n v="1.19"/>
    <n v="38.25"/>
    <n v="4.7623155929038274"/>
  </r>
  <r>
    <x v="41"/>
    <x v="1"/>
    <x v="0"/>
    <x v="4"/>
    <x v="6"/>
    <n v="161640"/>
    <n v="5916"/>
    <n v="2721.36"/>
    <n v="445"/>
    <n v="30797.18"/>
    <n v="3.6599851521900519E-2"/>
    <n v="0.46"/>
    <n v="6.1154157303370793"/>
    <n v="11.316834229943851"/>
  </r>
  <r>
    <x v="162"/>
    <x v="0"/>
    <x v="1"/>
    <x v="4"/>
    <x v="0"/>
    <n v="83845"/>
    <n v="2599"/>
    <n v="6991.31"/>
    <n v="137"/>
    <n v="29891.75"/>
    <n v="3.0997674279921283E-2"/>
    <n v="2.69"/>
    <n v="51.031459854014599"/>
    <n v="4.2755577996112315"/>
  </r>
  <r>
    <x v="44"/>
    <x v="0"/>
    <x v="3"/>
    <x v="2"/>
    <x v="3"/>
    <n v="195610"/>
    <n v="9956"/>
    <n v="23595.72"/>
    <n v="401"/>
    <n v="116291.87"/>
    <n v="5.0897193395020704E-2"/>
    <n v="2.37"/>
    <n v="58.842194513715711"/>
    <n v="4.9285154256788939"/>
  </r>
  <r>
    <x v="163"/>
    <x v="0"/>
    <x v="3"/>
    <x v="2"/>
    <x v="0"/>
    <n v="63812"/>
    <n v="2686"/>
    <n v="8004.28"/>
    <n v="84"/>
    <n v="6979.61"/>
    <n v="4.2092396414467499E-2"/>
    <n v="2.98"/>
    <n v="95.289047619047622"/>
    <n v="0.87198473816508171"/>
  </r>
  <r>
    <x v="137"/>
    <x v="0"/>
    <x v="1"/>
    <x v="0"/>
    <x v="0"/>
    <n v="33794"/>
    <n v="1030"/>
    <n v="1802.5"/>
    <n v="25"/>
    <n v="1849.39"/>
    <n v="3.0478783215955495E-2"/>
    <n v="1.75"/>
    <n v="72.099999999999994"/>
    <n v="1.0260138696255201"/>
  </r>
  <r>
    <x v="2"/>
    <x v="2"/>
    <x v="2"/>
    <x v="0"/>
    <x v="5"/>
    <n v="130056"/>
    <n v="3537"/>
    <n v="2051.46"/>
    <n v="207"/>
    <n v="27550.99"/>
    <n v="2.7195977117549362E-2"/>
    <n v="0.57999999999999996"/>
    <n v="9.9104347826086965"/>
    <n v="13.429942577481404"/>
  </r>
  <r>
    <x v="320"/>
    <x v="0"/>
    <x v="2"/>
    <x v="3"/>
    <x v="4"/>
    <n v="149438"/>
    <n v="3287"/>
    <n v="12260.51"/>
    <n v="153"/>
    <n v="8351.9500000000007"/>
    <n v="2.1995744054390448E-2"/>
    <n v="3.73"/>
    <n v="80.134052287581696"/>
    <n v="0.68120738859965868"/>
  </r>
  <r>
    <x v="148"/>
    <x v="2"/>
    <x v="2"/>
    <x v="2"/>
    <x v="4"/>
    <n v="185750"/>
    <n v="1653"/>
    <n v="2148.9"/>
    <n v="34"/>
    <n v="2916.11"/>
    <n v="8.8990578734858689E-3"/>
    <n v="1.3"/>
    <n v="63.202941176470588"/>
    <n v="1.3570245241751593"/>
  </r>
  <r>
    <x v="323"/>
    <x v="2"/>
    <x v="1"/>
    <x v="3"/>
    <x v="5"/>
    <n v="24750"/>
    <n v="747"/>
    <n v="888.93"/>
    <n v="48"/>
    <n v="1738.76"/>
    <n v="3.0181818181818181E-2"/>
    <n v="1.19"/>
    <n v="18.519375"/>
    <n v="1.9560145343277875"/>
  </r>
  <r>
    <x v="28"/>
    <x v="1"/>
    <x v="2"/>
    <x v="0"/>
    <x v="1"/>
    <n v="66262"/>
    <n v="3790"/>
    <n v="4055.3"/>
    <n v="150"/>
    <n v="24443.119999999999"/>
    <n v="5.719718692463252E-2"/>
    <n v="1.07"/>
    <n v="27.035333333333334"/>
    <n v="6.0274504968806246"/>
  </r>
  <r>
    <x v="97"/>
    <x v="1"/>
    <x v="1"/>
    <x v="4"/>
    <x v="1"/>
    <n v="126854"/>
    <n v="7243"/>
    <n v="5866.83"/>
    <n v="474"/>
    <n v="55705.279999999999"/>
    <n v="5.7097135289387799E-2"/>
    <n v="0.80999999999999994"/>
    <n v="12.377278481012658"/>
    <n v="9.4949538336716763"/>
  </r>
  <r>
    <x v="344"/>
    <x v="2"/>
    <x v="1"/>
    <x v="1"/>
    <x v="4"/>
    <n v="32559"/>
    <n v="553"/>
    <n v="392.63"/>
    <n v="6"/>
    <n v="1500.74"/>
    <n v="1.6984551122577476E-2"/>
    <n v="0.71"/>
    <n v="65.438333333333333"/>
    <n v="3.8222754247000994"/>
  </r>
  <r>
    <x v="167"/>
    <x v="0"/>
    <x v="0"/>
    <x v="3"/>
    <x v="0"/>
    <n v="85729"/>
    <n v="1757"/>
    <n v="5306.14"/>
    <n v="90"/>
    <n v="21584.82"/>
    <n v="2.0494815056748591E-2"/>
    <n v="3.02"/>
    <n v="58.957111111111118"/>
    <n v="4.0678949292706186"/>
  </r>
  <r>
    <x v="262"/>
    <x v="2"/>
    <x v="2"/>
    <x v="4"/>
    <x v="5"/>
    <n v="126432"/>
    <n v="1567"/>
    <n v="2585.5500000000002"/>
    <n v="110"/>
    <n v="31358.68"/>
    <n v="1.2394014173626931E-2"/>
    <n v="1.6500000000000001"/>
    <n v="23.505000000000003"/>
    <n v="12.128436889636633"/>
  </r>
  <r>
    <x v="211"/>
    <x v="2"/>
    <x v="0"/>
    <x v="0"/>
    <x v="1"/>
    <n v="196595"/>
    <n v="2614"/>
    <n v="993.32"/>
    <n v="28"/>
    <n v="6376.7"/>
    <n v="1.329637071136092E-2"/>
    <n v="0.38"/>
    <n v="35.47571428571429"/>
    <n v="6.4195828131921227"/>
  </r>
  <r>
    <x v="228"/>
    <x v="2"/>
    <x v="0"/>
    <x v="4"/>
    <x v="1"/>
    <n v="14028"/>
    <n v="342"/>
    <n v="646.38"/>
    <n v="7"/>
    <n v="716.51"/>
    <n v="2.4379811804961505E-2"/>
    <n v="1.89"/>
    <n v="92.34"/>
    <n v="1.1084965500170179"/>
  </r>
  <r>
    <x v="37"/>
    <x v="0"/>
    <x v="3"/>
    <x v="2"/>
    <x v="4"/>
    <n v="77964"/>
    <n v="2915"/>
    <n v="9852.7000000000007"/>
    <n v="161"/>
    <n v="14283"/>
    <n v="3.738905135703658E-2"/>
    <n v="3.3800000000000003"/>
    <n v="61.19689440993789"/>
    <n v="1.4496533945009997"/>
  </r>
  <r>
    <x v="337"/>
    <x v="0"/>
    <x v="0"/>
    <x v="0"/>
    <x v="1"/>
    <n v="102677"/>
    <n v="3131"/>
    <n v="11490.77"/>
    <n v="79"/>
    <n v="13056.26"/>
    <n v="3.0493684077251965E-2"/>
    <n v="3.67"/>
    <n v="145.45278481012659"/>
    <n v="1.1362389117526501"/>
  </r>
  <r>
    <x v="320"/>
    <x v="0"/>
    <x v="0"/>
    <x v="0"/>
    <x v="3"/>
    <n v="137737"/>
    <n v="3925"/>
    <n v="3532.5"/>
    <n v="78"/>
    <n v="11545.1"/>
    <n v="2.8496337222387595E-2"/>
    <n v="0.9"/>
    <n v="45.28846153846154"/>
    <n v="3.2682519462137298"/>
  </r>
  <r>
    <x v="131"/>
    <x v="0"/>
    <x v="2"/>
    <x v="1"/>
    <x v="2"/>
    <n v="93534"/>
    <n v="3544"/>
    <n v="3366.8"/>
    <n v="187"/>
    <n v="32280.5"/>
    <n v="3.7889965146363891E-2"/>
    <n v="0.95000000000000007"/>
    <n v="18.00427807486631"/>
    <n v="9.5878876084115472"/>
  </r>
  <r>
    <x v="152"/>
    <x v="0"/>
    <x v="1"/>
    <x v="0"/>
    <x v="6"/>
    <n v="127475"/>
    <n v="7342"/>
    <n v="17180.28"/>
    <n v="574"/>
    <n v="74747.490000000005"/>
    <n v="5.7595606981761131E-2"/>
    <n v="2.34"/>
    <n v="29.93080139372822"/>
    <n v="4.3507725136028057"/>
  </r>
  <r>
    <x v="350"/>
    <x v="0"/>
    <x v="3"/>
    <x v="3"/>
    <x v="2"/>
    <n v="82700"/>
    <n v="2679"/>
    <n v="2303.94"/>
    <n v="140"/>
    <n v="20788.45"/>
    <n v="3.2394195888754536E-2"/>
    <n v="0.86"/>
    <n v="16.456714285714288"/>
    <n v="9.0229997308957692"/>
  </r>
  <r>
    <x v="202"/>
    <x v="1"/>
    <x v="2"/>
    <x v="4"/>
    <x v="1"/>
    <n v="96432"/>
    <n v="7155"/>
    <n v="2504.25"/>
    <n v="336"/>
    <n v="47954.95"/>
    <n v="7.4197361871577897E-2"/>
    <n v="0.35"/>
    <n v="7.453125"/>
    <n v="19.149425975841069"/>
  </r>
  <r>
    <x v="132"/>
    <x v="1"/>
    <x v="2"/>
    <x v="3"/>
    <x v="2"/>
    <n v="154656"/>
    <n v="6557"/>
    <n v="2622.8"/>
    <n v="345"/>
    <n v="49646.11"/>
    <n v="4.2397320504862404E-2"/>
    <n v="0.4"/>
    <n v="7.6023188405797111"/>
    <n v="18.928667835900562"/>
  </r>
  <r>
    <x v="352"/>
    <x v="0"/>
    <x v="1"/>
    <x v="2"/>
    <x v="1"/>
    <n v="115415"/>
    <n v="3866"/>
    <n v="12719.14"/>
    <n v="280"/>
    <n v="61322.57"/>
    <n v="3.3496512585019275E-2"/>
    <n v="3.29"/>
    <n v="45.4255"/>
    <n v="4.8212827282347712"/>
  </r>
  <r>
    <x v="163"/>
    <x v="0"/>
    <x v="0"/>
    <x v="4"/>
    <x v="4"/>
    <n v="157963"/>
    <n v="5607"/>
    <n v="4934.16"/>
    <n v="205"/>
    <n v="50937.22"/>
    <n v="3.5495654045567634E-2"/>
    <n v="0.88"/>
    <n v="24.069073170731706"/>
    <n v="10.3233822981014"/>
  </r>
  <r>
    <x v="319"/>
    <x v="2"/>
    <x v="1"/>
    <x v="0"/>
    <x v="4"/>
    <n v="133684"/>
    <n v="2018"/>
    <n v="3470.96"/>
    <n v="44"/>
    <n v="11449.27"/>
    <n v="1.5095299362676161E-2"/>
    <n v="1.72"/>
    <n v="78.88545454545455"/>
    <n v="3.2985888630234865"/>
  </r>
  <r>
    <x v="33"/>
    <x v="0"/>
    <x v="2"/>
    <x v="2"/>
    <x v="0"/>
    <n v="20091"/>
    <n v="956"/>
    <n v="3259.96"/>
    <n v="36"/>
    <n v="9230.0499999999993"/>
    <n v="4.7583495097307249E-2"/>
    <n v="3.41"/>
    <n v="90.554444444444442"/>
    <n v="2.8313384213303228"/>
  </r>
  <r>
    <x v="130"/>
    <x v="0"/>
    <x v="3"/>
    <x v="4"/>
    <x v="4"/>
    <n v="126946"/>
    <n v="6728"/>
    <n v="15541.68"/>
    <n v="132"/>
    <n v="34256.99"/>
    <n v="5.2998912923605312E-2"/>
    <n v="2.31"/>
    <n v="117.74000000000001"/>
    <n v="2.204201218915844"/>
  </r>
  <r>
    <x v="19"/>
    <x v="1"/>
    <x v="0"/>
    <x v="2"/>
    <x v="3"/>
    <n v="8311"/>
    <n v="476"/>
    <n v="766.36"/>
    <n v="18"/>
    <n v="1064.02"/>
    <n v="5.7273492961135847E-2"/>
    <n v="1.61"/>
    <n v="42.575555555555553"/>
    <n v="1.3884075369278146"/>
  </r>
  <r>
    <x v="244"/>
    <x v="0"/>
    <x v="1"/>
    <x v="2"/>
    <x v="1"/>
    <n v="140091"/>
    <n v="7242"/>
    <n v="18249.84"/>
    <n v="347"/>
    <n v="24525.17"/>
    <n v="5.1694969698267555E-2"/>
    <n v="2.52"/>
    <n v="52.593198847262251"/>
    <n v="1.3438567132643353"/>
  </r>
  <r>
    <x v="51"/>
    <x v="1"/>
    <x v="2"/>
    <x v="4"/>
    <x v="4"/>
    <n v="140121"/>
    <n v="4778"/>
    <n v="4109.08"/>
    <n v="291"/>
    <n v="84859.67"/>
    <n v="3.4099100063516533E-2"/>
    <n v="0.86"/>
    <n v="14.120549828178694"/>
    <n v="20.651744429409991"/>
  </r>
  <r>
    <x v="298"/>
    <x v="2"/>
    <x v="3"/>
    <x v="0"/>
    <x v="1"/>
    <n v="159301"/>
    <n v="6738"/>
    <n v="14688.84"/>
    <n v="302"/>
    <n v="57570.61"/>
    <n v="4.2297286269389396E-2"/>
    <n v="2.1800000000000002"/>
    <n v="48.638543046357618"/>
    <n v="3.9193435288286889"/>
  </r>
  <r>
    <x v="214"/>
    <x v="1"/>
    <x v="2"/>
    <x v="3"/>
    <x v="3"/>
    <n v="88940"/>
    <n v="4384"/>
    <n v="1402.88"/>
    <n v="66"/>
    <n v="10447.120000000001"/>
    <n v="4.9291657297054196E-2"/>
    <n v="0.32"/>
    <n v="21.255757575757578"/>
    <n v="7.4469092153284668"/>
  </r>
  <r>
    <x v="246"/>
    <x v="2"/>
    <x v="0"/>
    <x v="0"/>
    <x v="4"/>
    <n v="194287"/>
    <n v="5032"/>
    <n v="4277.2"/>
    <n v="338"/>
    <n v="32920.35"/>
    <n v="2.5899828604075414E-2"/>
    <n v="0.85"/>
    <n v="12.654437869822484"/>
    <n v="7.6967057888338166"/>
  </r>
  <r>
    <x v="177"/>
    <x v="1"/>
    <x v="0"/>
    <x v="2"/>
    <x v="5"/>
    <n v="17911"/>
    <n v="1148"/>
    <n v="1320.2"/>
    <n v="52"/>
    <n v="3388.21"/>
    <n v="6.4094690413712241E-2"/>
    <n v="1.1500000000000001"/>
    <n v="25.388461538461538"/>
    <n v="2.5664369034994698"/>
  </r>
  <r>
    <x v="265"/>
    <x v="2"/>
    <x v="3"/>
    <x v="3"/>
    <x v="1"/>
    <n v="9909"/>
    <n v="170"/>
    <n v="316.2"/>
    <n v="10"/>
    <n v="1238.47"/>
    <n v="1.715612069835503E-2"/>
    <n v="1.8599999999999999"/>
    <n v="31.619999999999997"/>
    <n v="3.9167299177735613"/>
  </r>
  <r>
    <x v="221"/>
    <x v="1"/>
    <x v="0"/>
    <x v="4"/>
    <x v="5"/>
    <n v="168616"/>
    <n v="6508"/>
    <n v="6638.16"/>
    <n v="508"/>
    <n v="151081.09"/>
    <n v="3.8596574465056696E-2"/>
    <n v="1.02"/>
    <n v="13.067244094488188"/>
    <n v="22.759483049519748"/>
  </r>
  <r>
    <x v="226"/>
    <x v="2"/>
    <x v="2"/>
    <x v="2"/>
    <x v="3"/>
    <n v="139346"/>
    <n v="4096"/>
    <n v="2539.52"/>
    <n v="236"/>
    <n v="12521.54"/>
    <n v="2.9394456963242575E-2"/>
    <n v="0.62"/>
    <n v="10.760677966101694"/>
    <n v="4.9306719380040329"/>
  </r>
  <r>
    <x v="308"/>
    <x v="2"/>
    <x v="0"/>
    <x v="0"/>
    <x v="1"/>
    <n v="98740"/>
    <n v="1589"/>
    <n v="3321.01"/>
    <n v="47"/>
    <n v="5063.3100000000004"/>
    <n v="1.6092768887988659E-2"/>
    <n v="2.0900000000000003"/>
    <n v="70.659787234042554"/>
    <n v="1.5246295554665599"/>
  </r>
  <r>
    <x v="119"/>
    <x v="1"/>
    <x v="1"/>
    <x v="1"/>
    <x v="5"/>
    <n v="26471"/>
    <n v="1890"/>
    <n v="1776.6"/>
    <n v="74"/>
    <n v="21647.86"/>
    <n v="7.1398889350610104E-2"/>
    <n v="0.94"/>
    <n v="24.008108108108107"/>
    <n v="12.184993808398065"/>
  </r>
  <r>
    <x v="85"/>
    <x v="2"/>
    <x v="3"/>
    <x v="2"/>
    <x v="2"/>
    <n v="174048"/>
    <n v="3846"/>
    <n v="6692.04"/>
    <n v="75"/>
    <n v="18304.27"/>
    <n v="2.209735245449531E-2"/>
    <n v="1.74"/>
    <n v="89.227199999999996"/>
    <n v="2.7352302138062536"/>
  </r>
  <r>
    <x v="227"/>
    <x v="2"/>
    <x v="0"/>
    <x v="2"/>
    <x v="6"/>
    <n v="8877"/>
    <n v="230"/>
    <n v="174.8"/>
    <n v="9"/>
    <n v="1921.06"/>
    <n v="2.5909654162442265E-2"/>
    <n v="0.76"/>
    <n v="19.422222222222224"/>
    <n v="10.990045766590388"/>
  </r>
  <r>
    <x v="59"/>
    <x v="2"/>
    <x v="2"/>
    <x v="1"/>
    <x v="3"/>
    <n v="32488"/>
    <n v="919"/>
    <n v="1773.67"/>
    <n v="32"/>
    <n v="7341.13"/>
    <n v="2.8287367643437578E-2"/>
    <n v="1.9300000000000002"/>
    <n v="55.427187500000002"/>
    <n v="4.1389491844593413"/>
  </r>
  <r>
    <x v="251"/>
    <x v="0"/>
    <x v="0"/>
    <x v="2"/>
    <x v="2"/>
    <n v="77968"/>
    <n v="3001"/>
    <n v="8552.85"/>
    <n v="193"/>
    <n v="31448.71"/>
    <n v="3.8490149805048224E-2"/>
    <n v="2.85"/>
    <n v="44.315284974093267"/>
    <n v="3.6769860338951341"/>
  </r>
  <r>
    <x v="298"/>
    <x v="1"/>
    <x v="1"/>
    <x v="0"/>
    <x v="0"/>
    <n v="10156"/>
    <n v="474"/>
    <n v="146.94"/>
    <n v="29"/>
    <n v="1480.61"/>
    <n v="4.667191807798346E-2"/>
    <n v="0.31"/>
    <n v="5.0668965517241382"/>
    <n v="10.07628964203076"/>
  </r>
  <r>
    <x v="248"/>
    <x v="2"/>
    <x v="3"/>
    <x v="0"/>
    <x v="1"/>
    <n v="63676"/>
    <n v="1757"/>
    <n v="2038.12"/>
    <n v="137"/>
    <n v="8830.01"/>
    <n v="2.7592813618945913E-2"/>
    <n v="1.1599999999999999"/>
    <n v="14.876788321167883"/>
    <n v="4.3324289050693778"/>
  </r>
  <r>
    <x v="332"/>
    <x v="0"/>
    <x v="1"/>
    <x v="1"/>
    <x v="0"/>
    <n v="93545"/>
    <n v="2974"/>
    <n v="3449.84"/>
    <n v="58"/>
    <n v="4267.1099999999997"/>
    <n v="3.1792185579133041E-2"/>
    <n v="1.1600000000000001"/>
    <n v="59.480000000000004"/>
    <n v="1.2369008417781693"/>
  </r>
  <r>
    <x v="106"/>
    <x v="2"/>
    <x v="3"/>
    <x v="1"/>
    <x v="5"/>
    <n v="8671"/>
    <n v="156"/>
    <n v="227.76"/>
    <n v="7"/>
    <n v="1461.2"/>
    <n v="1.7991004497751123E-2"/>
    <n v="1.46"/>
    <n v="32.537142857142854"/>
    <n v="6.4155251141552512"/>
  </r>
  <r>
    <x v="224"/>
    <x v="2"/>
    <x v="1"/>
    <x v="0"/>
    <x v="2"/>
    <n v="95930"/>
    <n v="1554"/>
    <n v="1118.8800000000001"/>
    <n v="62"/>
    <n v="5774.95"/>
    <n v="1.6199311998332116E-2"/>
    <n v="0.72000000000000008"/>
    <n v="18.046451612903226"/>
    <n v="5.1613667238667231"/>
  </r>
  <r>
    <x v="353"/>
    <x v="0"/>
    <x v="3"/>
    <x v="4"/>
    <x v="6"/>
    <n v="73683"/>
    <n v="3757"/>
    <n v="12473.24"/>
    <n v="131"/>
    <n v="33721.519999999997"/>
    <n v="5.098869481427195E-2"/>
    <n v="3.32"/>
    <n v="95.215572519083963"/>
    <n v="2.7035092726508907"/>
  </r>
  <r>
    <x v="242"/>
    <x v="2"/>
    <x v="2"/>
    <x v="3"/>
    <x v="5"/>
    <n v="152932"/>
    <n v="6591"/>
    <n v="8238.75"/>
    <n v="200"/>
    <n v="14211.23"/>
    <n v="4.3097585855151312E-2"/>
    <n v="1.25"/>
    <n v="41.193750000000001"/>
    <n v="1.7249255044758003"/>
  </r>
  <r>
    <x v="124"/>
    <x v="1"/>
    <x v="2"/>
    <x v="3"/>
    <x v="0"/>
    <n v="125354"/>
    <n v="6179"/>
    <n v="2162.65"/>
    <n v="259"/>
    <n v="9238.1200000000008"/>
    <n v="4.929240391212087E-2"/>
    <n v="0.35000000000000003"/>
    <n v="8.35"/>
    <n v="4.2716667051996398"/>
  </r>
  <r>
    <x v="82"/>
    <x v="0"/>
    <x v="2"/>
    <x v="4"/>
    <x v="4"/>
    <n v="193613"/>
    <n v="9157"/>
    <n v="25548.03"/>
    <n v="458"/>
    <n v="127981.37"/>
    <n v="4.7295377893013385E-2"/>
    <n v="2.79"/>
    <n v="55.781724890829693"/>
    <n v="5.0094418238901399"/>
  </r>
  <r>
    <x v="116"/>
    <x v="0"/>
    <x v="3"/>
    <x v="1"/>
    <x v="6"/>
    <n v="158138"/>
    <n v="2846"/>
    <n v="5805.84"/>
    <n v="143"/>
    <n v="22164.01"/>
    <n v="1.7996939382058708E-2"/>
    <n v="2.04"/>
    <n v="40.600279720279723"/>
    <n v="3.8175371694707394"/>
  </r>
  <r>
    <x v="192"/>
    <x v="0"/>
    <x v="1"/>
    <x v="2"/>
    <x v="0"/>
    <n v="134814"/>
    <n v="2804"/>
    <n v="5355.64"/>
    <n v="195"/>
    <n v="46646.16"/>
    <n v="2.0799026807304881E-2"/>
    <n v="1.9100000000000001"/>
    <n v="27.464820512820513"/>
    <n v="8.7097265686267189"/>
  </r>
  <r>
    <x v="176"/>
    <x v="0"/>
    <x v="0"/>
    <x v="4"/>
    <x v="6"/>
    <n v="102366"/>
    <n v="2589"/>
    <n v="4116.51"/>
    <n v="148"/>
    <n v="35080.15"/>
    <n v="2.5291600726803823E-2"/>
    <n v="1.59"/>
    <n v="27.814256756756759"/>
    <n v="8.5218182392366355"/>
  </r>
  <r>
    <x v="32"/>
    <x v="2"/>
    <x v="3"/>
    <x v="2"/>
    <x v="4"/>
    <n v="159044"/>
    <n v="2385"/>
    <n v="3935.25"/>
    <n v="184"/>
    <n v="35387.51"/>
    <n v="1.4995850204974724E-2"/>
    <n v="1.65"/>
    <n v="21.387228260869566"/>
    <n v="8.9924426656502128"/>
  </r>
  <r>
    <x v="10"/>
    <x v="1"/>
    <x v="2"/>
    <x v="1"/>
    <x v="2"/>
    <n v="35932"/>
    <n v="1440"/>
    <n v="1310.4000000000001"/>
    <n v="68"/>
    <n v="16668.75"/>
    <n v="4.007569854168986E-2"/>
    <n v="0.91"/>
    <n v="19.27058823529412"/>
    <n v="12.720352564102564"/>
  </r>
  <r>
    <x v="227"/>
    <x v="1"/>
    <x v="3"/>
    <x v="1"/>
    <x v="6"/>
    <n v="116561"/>
    <n v="4231"/>
    <n v="4231"/>
    <n v="172"/>
    <n v="42291.58"/>
    <n v="3.6298590437624935E-2"/>
    <n v="1"/>
    <n v="24.598837209302324"/>
    <n v="9.9956464192862207"/>
  </r>
  <r>
    <x v="53"/>
    <x v="2"/>
    <x v="2"/>
    <x v="0"/>
    <x v="6"/>
    <n v="8608"/>
    <n v="100"/>
    <n v="58"/>
    <n v="3"/>
    <n v="661.12"/>
    <n v="1.1617100371747211E-2"/>
    <n v="0.57999999999999996"/>
    <n v="19.333333333333332"/>
    <n v="11.398620689655173"/>
  </r>
  <r>
    <x v="182"/>
    <x v="2"/>
    <x v="0"/>
    <x v="4"/>
    <x v="0"/>
    <n v="19284"/>
    <n v="642"/>
    <n v="1007.94"/>
    <n v="21"/>
    <n v="5907.29"/>
    <n v="3.3291848164281268E-2"/>
    <n v="1.57"/>
    <n v="47.997142857142862"/>
    <n v="5.8607556005317774"/>
  </r>
  <r>
    <x v="40"/>
    <x v="2"/>
    <x v="3"/>
    <x v="0"/>
    <x v="5"/>
    <n v="161764"/>
    <n v="2652"/>
    <n v="2625.48"/>
    <n v="76"/>
    <n v="16956.509999999998"/>
    <n v="1.6394253356741922E-2"/>
    <n v="0.99"/>
    <n v="34.545789473684209"/>
    <n v="6.4584418849124727"/>
  </r>
  <r>
    <x v="189"/>
    <x v="1"/>
    <x v="1"/>
    <x v="0"/>
    <x v="3"/>
    <n v="116045"/>
    <n v="6660"/>
    <n v="2331"/>
    <n v="467"/>
    <n v="76092.649999999994"/>
    <n v="5.7391529148175274E-2"/>
    <n v="0.35"/>
    <n v="4.9914346895074946"/>
    <n v="32.643779493779491"/>
  </r>
  <r>
    <x v="319"/>
    <x v="2"/>
    <x v="2"/>
    <x v="4"/>
    <x v="1"/>
    <n v="61395"/>
    <n v="2038"/>
    <n v="4809.68"/>
    <n v="102"/>
    <n v="16290.15"/>
    <n v="3.3194885577001385E-2"/>
    <n v="2.3600000000000003"/>
    <n v="47.153725490196081"/>
    <n v="3.3869508990203085"/>
  </r>
  <r>
    <x v="81"/>
    <x v="0"/>
    <x v="2"/>
    <x v="1"/>
    <x v="0"/>
    <n v="119183"/>
    <n v="5041"/>
    <n v="17038.580000000002"/>
    <n v="121"/>
    <n v="25438.17"/>
    <n v="4.2296300646904338E-2"/>
    <n v="3.3800000000000003"/>
    <n v="140.81471074380167"/>
    <n v="1.4929747666765656"/>
  </r>
  <r>
    <x v="149"/>
    <x v="2"/>
    <x v="0"/>
    <x v="4"/>
    <x v="0"/>
    <n v="26747"/>
    <n v="1099"/>
    <n v="1252.8599999999999"/>
    <n v="36"/>
    <n v="5626.79"/>
    <n v="4.10887202303062E-2"/>
    <n v="1.1399999999999999"/>
    <n v="34.801666666666662"/>
    <n v="4.4911562345353833"/>
  </r>
  <r>
    <x v="171"/>
    <x v="2"/>
    <x v="3"/>
    <x v="1"/>
    <x v="3"/>
    <n v="157898"/>
    <n v="3094"/>
    <n v="7394.66"/>
    <n v="245"/>
    <n v="72430.36"/>
    <n v="1.9594928371480323E-2"/>
    <n v="2.39"/>
    <n v="30.182285714285715"/>
    <n v="9.7949547376079504"/>
  </r>
  <r>
    <x v="222"/>
    <x v="2"/>
    <x v="0"/>
    <x v="2"/>
    <x v="2"/>
    <n v="49456"/>
    <n v="801"/>
    <n v="1489.86"/>
    <n v="50"/>
    <n v="4108.2"/>
    <n v="1.6196214817211257E-2"/>
    <n v="1.8599999999999999"/>
    <n v="29.797199999999997"/>
    <n v="2.757440296403689"/>
  </r>
  <r>
    <x v="103"/>
    <x v="0"/>
    <x v="1"/>
    <x v="3"/>
    <x v="4"/>
    <n v="150213"/>
    <n v="5242"/>
    <n v="16512.3"/>
    <n v="332"/>
    <n v="64497.69"/>
    <n v="3.4897112766538181E-2"/>
    <n v="3.15"/>
    <n v="49.735843373493971"/>
    <n v="3.9060391344634002"/>
  </r>
  <r>
    <x v="79"/>
    <x v="0"/>
    <x v="2"/>
    <x v="1"/>
    <x v="2"/>
    <n v="73305"/>
    <n v="3635"/>
    <n v="9014.7999999999993"/>
    <n v="47"/>
    <n v="2210.35"/>
    <n v="4.9587340563399494E-2"/>
    <n v="2.48"/>
    <n v="191.80425531914892"/>
    <n v="0.24519124107024007"/>
  </r>
  <r>
    <x v="352"/>
    <x v="1"/>
    <x v="3"/>
    <x v="0"/>
    <x v="1"/>
    <n v="187663"/>
    <n v="10790"/>
    <n v="7445.1"/>
    <n v="121"/>
    <n v="18190.79"/>
    <n v="5.7496682883679789E-2"/>
    <n v="0.69000000000000006"/>
    <n v="61.529752066115705"/>
    <n v="2.4433237968596795"/>
  </r>
  <r>
    <x v="243"/>
    <x v="1"/>
    <x v="3"/>
    <x v="2"/>
    <x v="2"/>
    <n v="85066"/>
    <n v="5903"/>
    <n v="7673.9"/>
    <n v="465"/>
    <n v="85397.14"/>
    <n v="6.9393177062516159E-2"/>
    <n v="1.3"/>
    <n v="16.503010752688173"/>
    <n v="11.128258121685192"/>
  </r>
  <r>
    <x v="217"/>
    <x v="0"/>
    <x v="2"/>
    <x v="1"/>
    <x v="2"/>
    <n v="12045"/>
    <n v="255"/>
    <n v="515.1"/>
    <n v="4"/>
    <n v="161.02000000000001"/>
    <n v="2.1170610211706103E-2"/>
    <n v="2.02"/>
    <n v="128.77500000000001"/>
    <n v="0.312599495243642"/>
  </r>
  <r>
    <x v="330"/>
    <x v="0"/>
    <x v="1"/>
    <x v="0"/>
    <x v="0"/>
    <n v="77796"/>
    <n v="3703"/>
    <n v="9887.01"/>
    <n v="182"/>
    <n v="43235.35"/>
    <n v="4.7598848269833925E-2"/>
    <n v="2.67"/>
    <n v="54.324230769230773"/>
    <n v="4.3729449044756707"/>
  </r>
  <r>
    <x v="217"/>
    <x v="1"/>
    <x v="2"/>
    <x v="0"/>
    <x v="1"/>
    <n v="90443"/>
    <n v="3789"/>
    <n v="2159.73"/>
    <n v="94"/>
    <n v="16003.58"/>
    <n v="4.1893789458554008E-2"/>
    <n v="0.56999999999999995"/>
    <n v="22.975851063829786"/>
    <n v="7.4099910636977766"/>
  </r>
  <r>
    <x v="180"/>
    <x v="2"/>
    <x v="3"/>
    <x v="4"/>
    <x v="4"/>
    <n v="52838"/>
    <n v="660"/>
    <n v="1174.8"/>
    <n v="14"/>
    <n v="2258.16"/>
    <n v="1.249101025776903E-2"/>
    <n v="1.78"/>
    <n v="83.914285714285711"/>
    <n v="1.9221654749744637"/>
  </r>
  <r>
    <x v="55"/>
    <x v="2"/>
    <x v="1"/>
    <x v="4"/>
    <x v="6"/>
    <n v="61284"/>
    <n v="1574"/>
    <n v="2392.48"/>
    <n v="32"/>
    <n v="3680.82"/>
    <n v="2.5683702108217479E-2"/>
    <n v="1.52"/>
    <n v="74.765000000000001"/>
    <n v="1.5384956196081054"/>
  </r>
  <r>
    <x v="3"/>
    <x v="2"/>
    <x v="0"/>
    <x v="2"/>
    <x v="5"/>
    <n v="163624"/>
    <n v="4368"/>
    <n v="5591.04"/>
    <n v="296"/>
    <n v="31041.33"/>
    <n v="2.669535031535716E-2"/>
    <n v="1.28"/>
    <n v="18.888648648648648"/>
    <n v="5.5519778073489015"/>
  </r>
  <r>
    <x v="22"/>
    <x v="2"/>
    <x v="3"/>
    <x v="2"/>
    <x v="1"/>
    <n v="194674"/>
    <n v="3601"/>
    <n v="5221.45"/>
    <n v="165"/>
    <n v="8945.17"/>
    <n v="1.8497590844180529E-2"/>
    <n v="1.45"/>
    <n v="31.645151515151515"/>
    <n v="1.713158222332877"/>
  </r>
  <r>
    <x v="300"/>
    <x v="2"/>
    <x v="0"/>
    <x v="2"/>
    <x v="5"/>
    <n v="15485"/>
    <n v="196"/>
    <n v="301.83999999999997"/>
    <n v="8"/>
    <n v="362.78"/>
    <n v="1.2657410397158541E-2"/>
    <n v="1.5399999999999998"/>
    <n v="37.729999999999997"/>
    <n v="1.2018950437317784"/>
  </r>
  <r>
    <x v="180"/>
    <x v="0"/>
    <x v="0"/>
    <x v="0"/>
    <x v="3"/>
    <n v="138154"/>
    <n v="9518"/>
    <n v="21129.96"/>
    <n v="534"/>
    <n v="24562.44"/>
    <n v="6.8894132634596178E-2"/>
    <n v="2.2199999999999998"/>
    <n v="39.569213483146065"/>
    <n v="1.1624461191597144"/>
  </r>
  <r>
    <x v="349"/>
    <x v="1"/>
    <x v="1"/>
    <x v="0"/>
    <x v="2"/>
    <n v="76922"/>
    <n v="2669"/>
    <n v="3523.08"/>
    <n v="110"/>
    <n v="12940.72"/>
    <n v="3.4697485764800709E-2"/>
    <n v="1.32"/>
    <n v="32.027999999999999"/>
    <n v="3.6731269230332551"/>
  </r>
  <r>
    <x v="47"/>
    <x v="0"/>
    <x v="2"/>
    <x v="1"/>
    <x v="3"/>
    <n v="13947"/>
    <n v="718"/>
    <n v="1120.08"/>
    <n v="44"/>
    <n v="11863.61"/>
    <n v="5.1480605148060514E-2"/>
    <n v="1.5599999999999998"/>
    <n v="25.456363636363633"/>
    <n v="10.591752374830371"/>
  </r>
  <r>
    <x v="142"/>
    <x v="0"/>
    <x v="3"/>
    <x v="1"/>
    <x v="3"/>
    <n v="199164"/>
    <n v="6671"/>
    <n v="21280.49"/>
    <n v="118"/>
    <n v="27461.46"/>
    <n v="3.3495009138197668E-2"/>
    <n v="3.1900000000000004"/>
    <n v="180.34313559322035"/>
    <n v="1.2904524284920129"/>
  </r>
  <r>
    <x v="178"/>
    <x v="2"/>
    <x v="2"/>
    <x v="4"/>
    <x v="4"/>
    <n v="138018"/>
    <n v="1683"/>
    <n v="1733.49"/>
    <n v="56"/>
    <n v="8635.5"/>
    <n v="1.2194061644133374E-2"/>
    <n v="1.03"/>
    <n v="30.955178571428572"/>
    <n v="4.981568973573542"/>
  </r>
  <r>
    <x v="296"/>
    <x v="2"/>
    <x v="2"/>
    <x v="0"/>
    <x v="0"/>
    <n v="161408"/>
    <n v="1581"/>
    <n v="1754.91"/>
    <n v="51"/>
    <n v="6128.54"/>
    <n v="9.7950535289452814E-3"/>
    <n v="1.1100000000000001"/>
    <n v="34.410000000000004"/>
    <n v="3.4922246724903268"/>
  </r>
  <r>
    <x v="121"/>
    <x v="1"/>
    <x v="2"/>
    <x v="4"/>
    <x v="3"/>
    <n v="130811"/>
    <n v="8895"/>
    <n v="2846.4"/>
    <n v="150"/>
    <n v="31192.02"/>
    <n v="6.7998868596677656E-2"/>
    <n v="0.32"/>
    <n v="18.975999999999999"/>
    <n v="10.958410623946037"/>
  </r>
  <r>
    <x v="222"/>
    <x v="2"/>
    <x v="3"/>
    <x v="1"/>
    <x v="0"/>
    <n v="140460"/>
    <n v="2753"/>
    <n v="1404.03"/>
    <n v="87"/>
    <n v="18763.62"/>
    <n v="1.9599886088566141E-2"/>
    <n v="0.51"/>
    <n v="16.138275862068966"/>
    <n v="13.364116151364287"/>
  </r>
  <r>
    <x v="37"/>
    <x v="2"/>
    <x v="2"/>
    <x v="1"/>
    <x v="4"/>
    <n v="119731"/>
    <n v="2969"/>
    <n v="1662.64"/>
    <n v="47"/>
    <n v="11619.48"/>
    <n v="2.4797253844033709E-2"/>
    <n v="0.56000000000000005"/>
    <n v="35.375319148936171"/>
    <n v="6.9885723908964055"/>
  </r>
  <r>
    <x v="120"/>
    <x v="2"/>
    <x v="0"/>
    <x v="4"/>
    <x v="2"/>
    <n v="61437"/>
    <n v="1087"/>
    <n v="2424.0100000000002"/>
    <n v="80"/>
    <n v="11780.01"/>
    <n v="1.7692921203834824E-2"/>
    <n v="2.23"/>
    <n v="30.300125000000001"/>
    <n v="4.859720050659857"/>
  </r>
  <r>
    <x v="23"/>
    <x v="0"/>
    <x v="0"/>
    <x v="4"/>
    <x v="0"/>
    <n v="37827"/>
    <n v="2072"/>
    <n v="1678.32"/>
    <n v="133"/>
    <n v="19268.21"/>
    <n v="5.4775689322441645E-2"/>
    <n v="0.80999999999999994"/>
    <n v="12.618947368421052"/>
    <n v="11.480653272319939"/>
  </r>
  <r>
    <x v="69"/>
    <x v="0"/>
    <x v="3"/>
    <x v="3"/>
    <x v="3"/>
    <n v="180848"/>
    <n v="5515"/>
    <n v="18309.8"/>
    <n v="362"/>
    <n v="84316.14"/>
    <n v="3.0495222507298948E-2"/>
    <n v="3.32"/>
    <n v="50.57955801104972"/>
    <n v="4.6049732929906391"/>
  </r>
  <r>
    <x v="176"/>
    <x v="0"/>
    <x v="1"/>
    <x v="0"/>
    <x v="0"/>
    <n v="30545"/>
    <n v="1728"/>
    <n v="2989.44"/>
    <n v="51"/>
    <n v="3408.09"/>
    <n v="5.6572270420690782E-2"/>
    <n v="1.73"/>
    <n v="58.616470588235295"/>
    <n v="1.1400429511881824"/>
  </r>
  <r>
    <x v="179"/>
    <x v="1"/>
    <x v="2"/>
    <x v="0"/>
    <x v="0"/>
    <n v="21643"/>
    <n v="1142"/>
    <n v="1176.26"/>
    <n v="81"/>
    <n v="18823.45"/>
    <n v="5.2765328281661507E-2"/>
    <n v="1.03"/>
    <n v="14.521728395061729"/>
    <n v="16.002797000663119"/>
  </r>
  <r>
    <x v="314"/>
    <x v="2"/>
    <x v="3"/>
    <x v="2"/>
    <x v="1"/>
    <n v="58164"/>
    <n v="936"/>
    <n v="823.68"/>
    <n v="13"/>
    <n v="1791.65"/>
    <n v="1.6092428306168763E-2"/>
    <n v="0.87999999999999989"/>
    <n v="63.36"/>
    <n v="2.1751772533022535"/>
  </r>
  <r>
    <x v="21"/>
    <x v="2"/>
    <x v="2"/>
    <x v="0"/>
    <x v="0"/>
    <n v="69102"/>
    <n v="1354"/>
    <n v="2179.94"/>
    <n v="89"/>
    <n v="14410.72"/>
    <n v="1.9594223032618447E-2"/>
    <n v="1.61"/>
    <n v="24.493707865168538"/>
    <n v="6.6106039615769241"/>
  </r>
  <r>
    <x v="174"/>
    <x v="1"/>
    <x v="2"/>
    <x v="0"/>
    <x v="1"/>
    <n v="164852"/>
    <n v="6445"/>
    <n v="10569.8"/>
    <n v="471"/>
    <n v="43233.91"/>
    <n v="3.9095673695193262E-2"/>
    <n v="1.64"/>
    <n v="22.441188959660295"/>
    <n v="4.0903243202331172"/>
  </r>
  <r>
    <x v="348"/>
    <x v="0"/>
    <x v="2"/>
    <x v="0"/>
    <x v="5"/>
    <n v="149064"/>
    <n v="5724"/>
    <n v="7555.68"/>
    <n v="369"/>
    <n v="107029.4"/>
    <n v="3.8399613588794075E-2"/>
    <n v="1.32"/>
    <n v="20.47609756097561"/>
    <n v="14.165422569510618"/>
  </r>
  <r>
    <x v="208"/>
    <x v="2"/>
    <x v="2"/>
    <x v="4"/>
    <x v="1"/>
    <n v="80888"/>
    <n v="2070"/>
    <n v="1531.8"/>
    <n v="71"/>
    <n v="19601.22"/>
    <n v="2.559094055978637E-2"/>
    <n v="0.74"/>
    <n v="21.574647887323945"/>
    <n v="12.796200548374463"/>
  </r>
  <r>
    <x v="171"/>
    <x v="2"/>
    <x v="3"/>
    <x v="3"/>
    <x v="2"/>
    <n v="21471"/>
    <n v="753"/>
    <n v="1347.87"/>
    <n v="28"/>
    <n v="7559"/>
    <n v="3.5070560290624567E-2"/>
    <n v="1.7899999999999998"/>
    <n v="48.138214285714284"/>
    <n v="5.6081076068166817"/>
  </r>
  <r>
    <x v="131"/>
    <x v="2"/>
    <x v="2"/>
    <x v="2"/>
    <x v="5"/>
    <n v="160182"/>
    <n v="4901"/>
    <n v="4999.0200000000004"/>
    <n v="88"/>
    <n v="22338.67"/>
    <n v="3.0596446542058408E-2"/>
    <n v="1.02"/>
    <n v="56.80704545454546"/>
    <n v="4.4686098475301153"/>
  </r>
  <r>
    <x v="227"/>
    <x v="1"/>
    <x v="3"/>
    <x v="1"/>
    <x v="4"/>
    <n v="30226"/>
    <n v="1196"/>
    <n v="1746.16"/>
    <n v="12"/>
    <n v="2625.21"/>
    <n v="3.956858333884735E-2"/>
    <n v="1.46"/>
    <n v="145.51333333333335"/>
    <n v="1.5034189306821826"/>
  </r>
  <r>
    <x v="198"/>
    <x v="0"/>
    <x v="0"/>
    <x v="3"/>
    <x v="6"/>
    <n v="146677"/>
    <n v="7597"/>
    <n v="10787.74"/>
    <n v="186"/>
    <n v="35941.14"/>
    <n v="5.1794078144494368E-2"/>
    <n v="1.42"/>
    <n v="57.998602150537636"/>
    <n v="3.3316653905266533"/>
  </r>
  <r>
    <x v="69"/>
    <x v="2"/>
    <x v="2"/>
    <x v="2"/>
    <x v="0"/>
    <n v="74859"/>
    <n v="1661"/>
    <n v="2242.35"/>
    <n v="101"/>
    <n v="6046.11"/>
    <n v="2.218838082261318E-2"/>
    <n v="1.3499999999999999"/>
    <n v="22.201485148514852"/>
    <n v="2.6963275135460565"/>
  </r>
  <r>
    <x v="255"/>
    <x v="0"/>
    <x v="3"/>
    <x v="3"/>
    <x v="6"/>
    <n v="127232"/>
    <n v="3867"/>
    <n v="11407.65"/>
    <n v="177"/>
    <n v="6676.28"/>
    <n v="3.0393297283702214E-2"/>
    <n v="2.9499999999999997"/>
    <n v="64.45"/>
    <n v="0.5852458657129207"/>
  </r>
  <r>
    <x v="172"/>
    <x v="0"/>
    <x v="1"/>
    <x v="3"/>
    <x v="1"/>
    <n v="83243"/>
    <n v="2821"/>
    <n v="8547.6299999999992"/>
    <n v="181"/>
    <n v="43894.09"/>
    <n v="3.3888735389161852E-2"/>
    <n v="3.03"/>
    <n v="47.224475138121541"/>
    <n v="5.135235147052458"/>
  </r>
  <r>
    <x v="92"/>
    <x v="2"/>
    <x v="2"/>
    <x v="1"/>
    <x v="0"/>
    <n v="85846"/>
    <n v="2274"/>
    <n v="977.82"/>
    <n v="113"/>
    <n v="8382.57"/>
    <n v="2.6489294783682407E-2"/>
    <n v="0.43000000000000005"/>
    <n v="8.6532743362831859"/>
    <n v="8.5727127692213276"/>
  </r>
  <r>
    <x v="304"/>
    <x v="1"/>
    <x v="3"/>
    <x v="2"/>
    <x v="2"/>
    <n v="150227"/>
    <n v="8683"/>
    <n v="14761.1"/>
    <n v="315"/>
    <n v="86296.01"/>
    <n v="5.7799197214881477E-2"/>
    <n v="1.7"/>
    <n v="46.860634920634922"/>
    <n v="5.8461774528998509"/>
  </r>
  <r>
    <x v="354"/>
    <x v="0"/>
    <x v="3"/>
    <x v="2"/>
    <x v="4"/>
    <n v="50411"/>
    <n v="1320"/>
    <n v="3537.6"/>
    <n v="49"/>
    <n v="12873.07"/>
    <n v="2.6184761262422883E-2"/>
    <n v="2.6799999999999997"/>
    <n v="72.195918367346934"/>
    <n v="3.6389275214834917"/>
  </r>
  <r>
    <x v="148"/>
    <x v="0"/>
    <x v="2"/>
    <x v="0"/>
    <x v="1"/>
    <n v="100552"/>
    <n v="3861"/>
    <n v="7374.51"/>
    <n v="57"/>
    <n v="14567.86"/>
    <n v="3.8398042803723449E-2"/>
    <n v="1.9100000000000001"/>
    <n v="129.37736842105264"/>
    <n v="1.9754343000416299"/>
  </r>
  <r>
    <x v="295"/>
    <x v="0"/>
    <x v="3"/>
    <x v="0"/>
    <x v="0"/>
    <n v="32428"/>
    <n v="603"/>
    <n v="970.83"/>
    <n v="47"/>
    <n v="11645.06"/>
    <n v="1.859504132231405E-2"/>
    <n v="1.61"/>
    <n v="20.655957446808511"/>
    <n v="11.994952772370032"/>
  </r>
  <r>
    <x v="9"/>
    <x v="0"/>
    <x v="0"/>
    <x v="2"/>
    <x v="2"/>
    <n v="84517"/>
    <n v="1664"/>
    <n v="3993.6"/>
    <n v="91"/>
    <n v="21828"/>
    <n v="1.9688346723144456E-2"/>
    <n v="2.4"/>
    <n v="43.885714285714286"/>
    <n v="5.4657451923076925"/>
  </r>
  <r>
    <x v="37"/>
    <x v="2"/>
    <x v="2"/>
    <x v="1"/>
    <x v="3"/>
    <n v="160091"/>
    <n v="4210"/>
    <n v="4504.7"/>
    <n v="322"/>
    <n v="62914.38"/>
    <n v="2.6297543272263899E-2"/>
    <n v="1.07"/>
    <n v="13.989751552795031"/>
    <n v="13.966386218838103"/>
  </r>
  <r>
    <x v="54"/>
    <x v="0"/>
    <x v="0"/>
    <x v="1"/>
    <x v="1"/>
    <n v="158778"/>
    <n v="7256"/>
    <n v="10884"/>
    <n v="431"/>
    <n v="17905.23"/>
    <n v="4.5699026313469122E-2"/>
    <n v="1.5"/>
    <n v="25.252900232018561"/>
    <n v="1.6450964718853363"/>
  </r>
  <r>
    <x v="196"/>
    <x v="0"/>
    <x v="0"/>
    <x v="2"/>
    <x v="3"/>
    <n v="145284"/>
    <n v="8121"/>
    <n v="21601.86"/>
    <n v="503"/>
    <n v="135453.16"/>
    <n v="5.589741471875774E-2"/>
    <n v="2.66"/>
    <n v="42.946043737574556"/>
    <n v="6.2704396751020512"/>
  </r>
  <r>
    <x v="310"/>
    <x v="2"/>
    <x v="2"/>
    <x v="4"/>
    <x v="3"/>
    <n v="82665"/>
    <n v="2521"/>
    <n v="1613.44"/>
    <n v="182"/>
    <n v="48413.75"/>
    <n v="3.0496582592390974E-2"/>
    <n v="0.64"/>
    <n v="8.8650549450549452"/>
    <n v="30.006538823879414"/>
  </r>
  <r>
    <x v="260"/>
    <x v="1"/>
    <x v="2"/>
    <x v="0"/>
    <x v="1"/>
    <n v="157973"/>
    <n v="12227"/>
    <n v="6480.31"/>
    <n v="540"/>
    <n v="99930.16"/>
    <n v="7.7399302412437573E-2"/>
    <n v="0.53"/>
    <n v="12.000574074074075"/>
    <n v="15.420583274565567"/>
  </r>
  <r>
    <x v="21"/>
    <x v="1"/>
    <x v="3"/>
    <x v="0"/>
    <x v="5"/>
    <n v="48898"/>
    <n v="3193"/>
    <n v="2841.77"/>
    <n v="179"/>
    <n v="27594.33"/>
    <n v="6.529919424107325E-2"/>
    <n v="0.89"/>
    <n v="15.875810055865921"/>
    <n v="9.7102615623361501"/>
  </r>
  <r>
    <x v="205"/>
    <x v="0"/>
    <x v="0"/>
    <x v="3"/>
    <x v="2"/>
    <n v="185923"/>
    <n v="7827"/>
    <n v="28803.360000000001"/>
    <n v="215"/>
    <n v="61106.18"/>
    <n v="4.2098072858118681E-2"/>
    <n v="3.68"/>
    <n v="133.96911627906977"/>
    <n v="2.1214948533782167"/>
  </r>
  <r>
    <x v="15"/>
    <x v="1"/>
    <x v="0"/>
    <x v="2"/>
    <x v="4"/>
    <n v="89688"/>
    <n v="6583"/>
    <n v="2238.2199999999998"/>
    <n v="273"/>
    <n v="36559.47"/>
    <n v="7.3398893943448396E-2"/>
    <n v="0.33999999999999997"/>
    <n v="8.1986080586080572"/>
    <n v="16.334171797231729"/>
  </r>
  <r>
    <x v="285"/>
    <x v="1"/>
    <x v="0"/>
    <x v="0"/>
    <x v="4"/>
    <n v="15273"/>
    <n v="464"/>
    <n v="357.28"/>
    <n v="24"/>
    <n v="871.3"/>
    <n v="3.0380409873633208E-2"/>
    <n v="0.76999999999999991"/>
    <n v="14.886666666666665"/>
    <n v="2.438703537841469"/>
  </r>
  <r>
    <x v="194"/>
    <x v="0"/>
    <x v="2"/>
    <x v="3"/>
    <x v="6"/>
    <n v="71107"/>
    <n v="2936"/>
    <n v="7839.12"/>
    <n v="215"/>
    <n v="26952.54"/>
    <n v="4.1289887071596323E-2"/>
    <n v="2.67"/>
    <n v="36.461023255813956"/>
    <n v="3.4382099011113496"/>
  </r>
  <r>
    <x v="52"/>
    <x v="0"/>
    <x v="2"/>
    <x v="3"/>
    <x v="0"/>
    <n v="79681"/>
    <n v="2916"/>
    <n v="6823.44"/>
    <n v="184"/>
    <n v="46327.26"/>
    <n v="3.6595926255945585E-2"/>
    <n v="2.34"/>
    <n v="37.083913043478262"/>
    <n v="6.7894287925152126"/>
  </r>
  <r>
    <x v="289"/>
    <x v="2"/>
    <x v="1"/>
    <x v="2"/>
    <x v="1"/>
    <n v="102148"/>
    <n v="1205"/>
    <n v="1578.55"/>
    <n v="59"/>
    <n v="17697.95"/>
    <n v="1.1796608842072287E-2"/>
    <n v="1.31"/>
    <n v="26.755084745762712"/>
    <n v="11.21152323334706"/>
  </r>
  <r>
    <x v="222"/>
    <x v="2"/>
    <x v="0"/>
    <x v="0"/>
    <x v="1"/>
    <n v="115540"/>
    <n v="1686"/>
    <n v="2663.88"/>
    <n v="87"/>
    <n v="20354.07"/>
    <n v="1.459234897005366E-2"/>
    <n v="1.58"/>
    <n v="30.619310344827589"/>
    <n v="7.6407608450831113"/>
  </r>
  <r>
    <x v="55"/>
    <x v="0"/>
    <x v="1"/>
    <x v="4"/>
    <x v="0"/>
    <n v="16766"/>
    <n v="846"/>
    <n v="2081.16"/>
    <n v="34"/>
    <n v="7254.65"/>
    <n v="5.0459262793749252E-2"/>
    <n v="2.46"/>
    <n v="61.210588235294111"/>
    <n v="3.4858684579753598"/>
  </r>
  <r>
    <x v="110"/>
    <x v="0"/>
    <x v="3"/>
    <x v="4"/>
    <x v="3"/>
    <n v="96931"/>
    <n v="5844"/>
    <n v="6545.28"/>
    <n v="297"/>
    <n v="47765.4"/>
    <n v="6.0290309601675418E-2"/>
    <n v="1.1199999999999999"/>
    <n v="22.037979797979798"/>
    <n v="7.2976862716339106"/>
  </r>
  <r>
    <x v="108"/>
    <x v="2"/>
    <x v="0"/>
    <x v="3"/>
    <x v="1"/>
    <n v="175574"/>
    <n v="6935"/>
    <n v="4785.1499999999996"/>
    <n v="515"/>
    <n v="69264.33"/>
    <n v="3.9499014660485041E-2"/>
    <n v="0.69"/>
    <n v="9.2915533980582516"/>
    <n v="14.474850318171846"/>
  </r>
  <r>
    <x v="262"/>
    <x v="1"/>
    <x v="2"/>
    <x v="1"/>
    <x v="6"/>
    <n v="175330"/>
    <n v="8766"/>
    <n v="6399.18"/>
    <n v="302"/>
    <n v="35245.68"/>
    <n v="4.9997148234757316E-2"/>
    <n v="0.73"/>
    <n v="21.189337748344371"/>
    <n v="5.5078431924090276"/>
  </r>
  <r>
    <x v="19"/>
    <x v="0"/>
    <x v="2"/>
    <x v="4"/>
    <x v="0"/>
    <n v="45225"/>
    <n v="2211"/>
    <n v="2012.01"/>
    <n v="156"/>
    <n v="38495.980000000003"/>
    <n v="4.8888888888888891E-2"/>
    <n v="0.91"/>
    <n v="12.897499999999999"/>
    <n v="19.133095759961432"/>
  </r>
  <r>
    <x v="156"/>
    <x v="2"/>
    <x v="2"/>
    <x v="0"/>
    <x v="5"/>
    <n v="79992"/>
    <n v="1055"/>
    <n v="1603.6"/>
    <n v="21"/>
    <n v="4912.79"/>
    <n v="1.3188818881888189E-2"/>
    <n v="1.52"/>
    <n v="76.361904761904754"/>
    <n v="3.0636006485407834"/>
  </r>
  <r>
    <x v="300"/>
    <x v="2"/>
    <x v="3"/>
    <x v="1"/>
    <x v="6"/>
    <n v="23113"/>
    <n v="228"/>
    <n v="136.80000000000001"/>
    <n v="17"/>
    <n v="2097.34"/>
    <n v="9.8645783758058228E-3"/>
    <n v="0.60000000000000009"/>
    <n v="8.0470588235294116"/>
    <n v="15.331432748538012"/>
  </r>
  <r>
    <x v="298"/>
    <x v="2"/>
    <x v="0"/>
    <x v="1"/>
    <x v="3"/>
    <n v="39754"/>
    <n v="1164"/>
    <n v="1571.4"/>
    <n v="72"/>
    <n v="9221.61"/>
    <n v="2.9280072445540071E-2"/>
    <n v="1.35"/>
    <n v="21.825000000000003"/>
    <n v="5.8684039709812907"/>
  </r>
  <r>
    <x v="41"/>
    <x v="0"/>
    <x v="2"/>
    <x v="3"/>
    <x v="0"/>
    <n v="89383"/>
    <n v="5631"/>
    <n v="20665.77"/>
    <n v="163"/>
    <n v="35918.239999999998"/>
    <n v="6.299855677254064E-2"/>
    <n v="3.67"/>
    <n v="126.78386503067485"/>
    <n v="1.7380547639889536"/>
  </r>
  <r>
    <x v="177"/>
    <x v="1"/>
    <x v="0"/>
    <x v="1"/>
    <x v="2"/>
    <n v="128900"/>
    <n v="10273"/>
    <n v="8629.32"/>
    <n v="238"/>
    <n v="11417.91"/>
    <n v="7.9697439875872772E-2"/>
    <n v="0.84"/>
    <n v="36.25764705882353"/>
    <n v="1.3231529251435803"/>
  </r>
  <r>
    <x v="83"/>
    <x v="0"/>
    <x v="3"/>
    <x v="1"/>
    <x v="4"/>
    <n v="179159"/>
    <n v="6593"/>
    <n v="14702.39"/>
    <n v="459"/>
    <n v="76527.740000000005"/>
    <n v="3.6799714220329426E-2"/>
    <n v="2.23"/>
    <n v="32.031350762527232"/>
    <n v="5.2051224324752647"/>
  </r>
  <r>
    <x v="230"/>
    <x v="1"/>
    <x v="3"/>
    <x v="3"/>
    <x v="5"/>
    <n v="15739"/>
    <n v="1205"/>
    <n v="554.29999999999995"/>
    <n v="60"/>
    <n v="6092.69"/>
    <n v="7.6561407967469339E-2"/>
    <n v="0.45999999999999996"/>
    <n v="9.2383333333333333"/>
    <n v="10.991683204041133"/>
  </r>
  <r>
    <x v="351"/>
    <x v="2"/>
    <x v="2"/>
    <x v="0"/>
    <x v="6"/>
    <n v="25243"/>
    <n v="580"/>
    <n v="1148.4000000000001"/>
    <n v="13"/>
    <n v="3883.09"/>
    <n v="2.2976666798716475E-2"/>
    <n v="1.9800000000000002"/>
    <n v="88.338461538461544"/>
    <n v="3.3813044235458025"/>
  </r>
  <r>
    <x v="63"/>
    <x v="1"/>
    <x v="1"/>
    <x v="0"/>
    <x v="4"/>
    <n v="196745"/>
    <n v="13240"/>
    <n v="21581.200000000001"/>
    <n v="761"/>
    <n v="195233.42"/>
    <n v="6.7295229866070297E-2"/>
    <n v="1.6300000000000001"/>
    <n v="28.359001314060446"/>
    <n v="9.0464580282838778"/>
  </r>
  <r>
    <x v="134"/>
    <x v="2"/>
    <x v="0"/>
    <x v="4"/>
    <x v="3"/>
    <n v="23186"/>
    <n v="512"/>
    <n v="1080.32"/>
    <n v="26"/>
    <n v="2663.68"/>
    <n v="2.208229103769516E-2"/>
    <n v="2.11"/>
    <n v="41.550769230769227"/>
    <n v="2.4656398104265405"/>
  </r>
  <r>
    <x v="89"/>
    <x v="0"/>
    <x v="2"/>
    <x v="3"/>
    <x v="2"/>
    <n v="189480"/>
    <n v="6290"/>
    <n v="22329.5"/>
    <n v="204"/>
    <n v="44620.04"/>
    <n v="3.3196115685032723E-2"/>
    <n v="3.55"/>
    <n v="109.45833333333333"/>
    <n v="1.9982552229113952"/>
  </r>
  <r>
    <x v="317"/>
    <x v="2"/>
    <x v="1"/>
    <x v="0"/>
    <x v="1"/>
    <n v="112518"/>
    <n v="1597"/>
    <n v="1724.76"/>
    <n v="105"/>
    <n v="25379.08"/>
    <n v="1.4193284630014753E-2"/>
    <n v="1.08"/>
    <n v="16.426285714285715"/>
    <n v="14.714557387694521"/>
  </r>
  <r>
    <x v="47"/>
    <x v="0"/>
    <x v="1"/>
    <x v="4"/>
    <x v="2"/>
    <n v="116789"/>
    <n v="6586"/>
    <n v="17716.34"/>
    <n v="220"/>
    <n v="34309.56"/>
    <n v="5.639229721977241E-2"/>
    <n v="2.69"/>
    <n v="80.528818181818181"/>
    <n v="1.9366054162428581"/>
  </r>
  <r>
    <x v="244"/>
    <x v="1"/>
    <x v="0"/>
    <x v="3"/>
    <x v="3"/>
    <n v="42575"/>
    <n v="2188"/>
    <n v="3938.4"/>
    <n v="63"/>
    <n v="13519.27"/>
    <n v="5.139166177334116E-2"/>
    <n v="1.8"/>
    <n v="62.514285714285712"/>
    <n v="3.4326807840747513"/>
  </r>
  <r>
    <x v="353"/>
    <x v="1"/>
    <x v="1"/>
    <x v="0"/>
    <x v="4"/>
    <n v="51557"/>
    <n v="2882"/>
    <n v="3602.5"/>
    <n v="135"/>
    <n v="6028.08"/>
    <n v="5.5899295924898659E-2"/>
    <n v="1.25"/>
    <n v="26.685185185185187"/>
    <n v="1.6733046495489243"/>
  </r>
  <r>
    <x v="34"/>
    <x v="2"/>
    <x v="1"/>
    <x v="2"/>
    <x v="6"/>
    <n v="131681"/>
    <n v="1725"/>
    <n v="1362.75"/>
    <n v="108"/>
    <n v="31291.1"/>
    <n v="1.3099839764278825E-2"/>
    <n v="0.79"/>
    <n v="12.618055555555555"/>
    <n v="22.96173179233168"/>
  </r>
  <r>
    <x v="150"/>
    <x v="0"/>
    <x v="0"/>
    <x v="3"/>
    <x v="4"/>
    <n v="89833"/>
    <n v="4536"/>
    <n v="16964.64"/>
    <n v="166"/>
    <n v="42497.440000000002"/>
    <n v="5.0493693854151589E-2"/>
    <n v="3.7399999999999998"/>
    <n v="102.19662650602409"/>
    <n v="2.5050599364324855"/>
  </r>
  <r>
    <x v="339"/>
    <x v="2"/>
    <x v="2"/>
    <x v="0"/>
    <x v="2"/>
    <n v="116161"/>
    <n v="4379"/>
    <n v="7750.83"/>
    <n v="264"/>
    <n v="18090.29"/>
    <n v="3.7697678222467092E-2"/>
    <n v="1.77"/>
    <n v="29.359204545454546"/>
    <n v="2.3339810059051742"/>
  </r>
  <r>
    <x v="312"/>
    <x v="0"/>
    <x v="0"/>
    <x v="3"/>
    <x v="6"/>
    <n v="53544"/>
    <n v="1670"/>
    <n v="2354.6999999999998"/>
    <n v="20"/>
    <n v="4659.21"/>
    <n v="3.1189302256088451E-2"/>
    <n v="1.41"/>
    <n v="117.73499999999999"/>
    <n v="1.9786851828258378"/>
  </r>
  <r>
    <x v="94"/>
    <x v="2"/>
    <x v="2"/>
    <x v="0"/>
    <x v="4"/>
    <n v="107126"/>
    <n v="3631"/>
    <n v="3921.48"/>
    <n v="260"/>
    <n v="19151.86"/>
    <n v="3.3894666094132143E-2"/>
    <n v="1.08"/>
    <n v="15.082615384615385"/>
    <n v="4.8838346746636478"/>
  </r>
  <r>
    <x v="121"/>
    <x v="0"/>
    <x v="2"/>
    <x v="1"/>
    <x v="2"/>
    <n v="182395"/>
    <n v="8517"/>
    <n v="29383.65"/>
    <n v="517"/>
    <n v="27133.78"/>
    <n v="4.6695358973656079E-2"/>
    <n v="3.45"/>
    <n v="56.83491295938105"/>
    <n v="0.92343122791075982"/>
  </r>
  <r>
    <x v="5"/>
    <x v="2"/>
    <x v="1"/>
    <x v="3"/>
    <x v="2"/>
    <n v="39253"/>
    <n v="1122"/>
    <n v="1402.5"/>
    <n v="81"/>
    <n v="15452.61"/>
    <n v="2.8583802511909919E-2"/>
    <n v="1.25"/>
    <n v="17.314814814814813"/>
    <n v="11.017903743315509"/>
  </r>
  <r>
    <x v="238"/>
    <x v="1"/>
    <x v="0"/>
    <x v="4"/>
    <x v="4"/>
    <n v="109794"/>
    <n v="3886"/>
    <n v="6256.46"/>
    <n v="73"/>
    <n v="9808.76"/>
    <n v="3.5393555203380875E-2"/>
    <n v="1.61"/>
    <n v="85.70493150684932"/>
    <n v="1.5677811414122362"/>
  </r>
  <r>
    <x v="102"/>
    <x v="0"/>
    <x v="1"/>
    <x v="4"/>
    <x v="0"/>
    <n v="27612"/>
    <n v="963"/>
    <n v="3177.9"/>
    <n v="75"/>
    <n v="12575.02"/>
    <n v="3.4876140808344197E-2"/>
    <n v="3.3000000000000003"/>
    <n v="42.372"/>
    <n v="3.9570219327228675"/>
  </r>
  <r>
    <x v="215"/>
    <x v="2"/>
    <x v="0"/>
    <x v="4"/>
    <x v="5"/>
    <n v="61994"/>
    <n v="1847"/>
    <n v="1477.6"/>
    <n v="147"/>
    <n v="5622.21"/>
    <n v="2.9793205794109108E-2"/>
    <n v="0.79999999999999993"/>
    <n v="10.051700680272107"/>
    <n v="3.8049607471575531"/>
  </r>
  <r>
    <x v="325"/>
    <x v="0"/>
    <x v="0"/>
    <x v="4"/>
    <x v="0"/>
    <n v="48953"/>
    <n v="2447"/>
    <n v="2716.17"/>
    <n v="144"/>
    <n v="17526.62"/>
    <n v="4.9986721957796257E-2"/>
    <n v="1.1100000000000001"/>
    <n v="18.862291666666668"/>
    <n v="6.4526962598070075"/>
  </r>
  <r>
    <x v="141"/>
    <x v="0"/>
    <x v="0"/>
    <x v="4"/>
    <x v="3"/>
    <n v="13484"/>
    <n v="382"/>
    <n v="511.88"/>
    <n v="23"/>
    <n v="1623.76"/>
    <n v="2.8329872441412045E-2"/>
    <n v="1.34"/>
    <n v="22.255652173913042"/>
    <n v="3.1721497225912323"/>
  </r>
  <r>
    <x v="28"/>
    <x v="1"/>
    <x v="3"/>
    <x v="1"/>
    <x v="1"/>
    <n v="13255"/>
    <n v="709"/>
    <n v="935.88"/>
    <n v="37"/>
    <n v="11059.11"/>
    <n v="5.3489249339871744E-2"/>
    <n v="1.32"/>
    <n v="25.294054054054055"/>
    <n v="11.816803436337993"/>
  </r>
  <r>
    <x v="142"/>
    <x v="2"/>
    <x v="1"/>
    <x v="1"/>
    <x v="6"/>
    <n v="162889"/>
    <n v="4658"/>
    <n v="5170.38"/>
    <n v="332"/>
    <n v="57094.6"/>
    <n v="2.85961605756067E-2"/>
    <n v="1.1100000000000001"/>
    <n v="15.57343373493976"/>
    <n v="11.042631295958904"/>
  </r>
  <r>
    <x v="113"/>
    <x v="1"/>
    <x v="2"/>
    <x v="2"/>
    <x v="0"/>
    <n v="21972"/>
    <n v="1915"/>
    <n v="2010.75"/>
    <n v="36"/>
    <n v="2412.15"/>
    <n v="8.7156380848352449E-2"/>
    <n v="1.05"/>
    <n v="55.854166666666664"/>
    <n v="1.199627004848937"/>
  </r>
  <r>
    <x v="15"/>
    <x v="1"/>
    <x v="2"/>
    <x v="3"/>
    <x v="4"/>
    <n v="186136"/>
    <n v="13885"/>
    <n v="13190.75"/>
    <n v="891"/>
    <n v="133397.70000000001"/>
    <n v="7.4595994326728837E-2"/>
    <n v="0.95"/>
    <n v="14.804433221099888"/>
    <n v="10.112973106153934"/>
  </r>
  <r>
    <x v="206"/>
    <x v="0"/>
    <x v="3"/>
    <x v="2"/>
    <x v="0"/>
    <n v="135171"/>
    <n v="5231"/>
    <n v="9311.18"/>
    <n v="149"/>
    <n v="19918.919999999998"/>
    <n v="3.869912925109676E-2"/>
    <n v="1.78"/>
    <n v="62.491140939597315"/>
    <n v="2.1392476571175725"/>
  </r>
  <r>
    <x v="104"/>
    <x v="2"/>
    <x v="0"/>
    <x v="0"/>
    <x v="5"/>
    <n v="176656"/>
    <n v="2897"/>
    <n v="5417.39"/>
    <n v="86"/>
    <n v="23130.95"/>
    <n v="1.6399103342088578E-2"/>
    <n v="1.87"/>
    <n v="62.992906976744187"/>
    <n v="4.2697590537140577"/>
  </r>
  <r>
    <x v="314"/>
    <x v="0"/>
    <x v="3"/>
    <x v="2"/>
    <x v="2"/>
    <n v="51678"/>
    <n v="2966"/>
    <n v="7652.28"/>
    <n v="192"/>
    <n v="21240.9"/>
    <n v="5.7393861991563142E-2"/>
    <n v="2.58"/>
    <n v="39.855624999999996"/>
    <n v="2.7757609496777436"/>
  </r>
  <r>
    <x v="193"/>
    <x v="2"/>
    <x v="0"/>
    <x v="3"/>
    <x v="3"/>
    <n v="26491"/>
    <n v="423"/>
    <n v="401.85"/>
    <n v="28"/>
    <n v="3219.77"/>
    <n v="1.5967687139028349E-2"/>
    <n v="0.95000000000000007"/>
    <n v="14.351785714285715"/>
    <n v="8.0123677989299491"/>
  </r>
  <r>
    <x v="118"/>
    <x v="2"/>
    <x v="2"/>
    <x v="2"/>
    <x v="1"/>
    <n v="174862"/>
    <n v="3846"/>
    <n v="1730.7"/>
    <n v="299"/>
    <n v="67036.78"/>
    <n v="2.1994487081241208E-2"/>
    <n v="0.45"/>
    <n v="5.7882943143812708"/>
    <n v="38.733911134223142"/>
  </r>
  <r>
    <x v="215"/>
    <x v="2"/>
    <x v="1"/>
    <x v="4"/>
    <x v="3"/>
    <n v="77353"/>
    <n v="1895"/>
    <n v="3202.55"/>
    <n v="73"/>
    <n v="9316.26"/>
    <n v="2.4498080229596784E-2"/>
    <n v="1.6900000000000002"/>
    <n v="43.87054794520548"/>
    <n v="2.909013130161902"/>
  </r>
  <r>
    <x v="180"/>
    <x v="2"/>
    <x v="2"/>
    <x v="1"/>
    <x v="0"/>
    <n v="108726"/>
    <n v="2968"/>
    <n v="6885.76"/>
    <n v="49"/>
    <n v="2393.62"/>
    <n v="2.7297978404429483E-2"/>
    <n v="2.3200000000000003"/>
    <n v="140.52571428571429"/>
    <n v="0.34761885398271214"/>
  </r>
  <r>
    <x v="192"/>
    <x v="0"/>
    <x v="0"/>
    <x v="0"/>
    <x v="1"/>
    <n v="196883"/>
    <n v="10119"/>
    <n v="14976.12"/>
    <n v="636"/>
    <n v="121588.49"/>
    <n v="5.1396006765439373E-2"/>
    <n v="1.48"/>
    <n v="23.54735849056604"/>
    <n v="8.1188245019404217"/>
  </r>
  <r>
    <x v="162"/>
    <x v="0"/>
    <x v="0"/>
    <x v="1"/>
    <x v="0"/>
    <n v="180627"/>
    <n v="8074"/>
    <n v="12756.92"/>
    <n v="266"/>
    <n v="72041.279999999999"/>
    <n v="4.4699851074313367E-2"/>
    <n v="1.58"/>
    <n v="47.958345864661652"/>
    <n v="5.6472314633939851"/>
  </r>
  <r>
    <x v="209"/>
    <x v="0"/>
    <x v="1"/>
    <x v="3"/>
    <x v="5"/>
    <n v="85196"/>
    <n v="2572"/>
    <n v="5889.88"/>
    <n v="34"/>
    <n v="8900.58"/>
    <n v="3.0189210761068595E-2"/>
    <n v="2.29"/>
    <n v="173.23176470588237"/>
    <n v="1.511164913376843"/>
  </r>
  <r>
    <x v="271"/>
    <x v="0"/>
    <x v="1"/>
    <x v="4"/>
    <x v="6"/>
    <n v="74098"/>
    <n v="1911"/>
    <n v="5446.35"/>
    <n v="91"/>
    <n v="9234.9599999999991"/>
    <n v="2.5790169775162623E-2"/>
    <n v="2.85"/>
    <n v="59.85"/>
    <n v="1.6956236745710427"/>
  </r>
  <r>
    <x v="79"/>
    <x v="1"/>
    <x v="0"/>
    <x v="2"/>
    <x v="1"/>
    <n v="166711"/>
    <n v="13670"/>
    <n v="20505"/>
    <n v="592"/>
    <n v="43676.76"/>
    <n v="8.1998188481863826E-2"/>
    <n v="1.5"/>
    <n v="34.636824324324323"/>
    <n v="2.130054133138259"/>
  </r>
  <r>
    <x v="74"/>
    <x v="0"/>
    <x v="1"/>
    <x v="2"/>
    <x v="0"/>
    <n v="141501"/>
    <n v="6452"/>
    <n v="19162.439999999999"/>
    <n v="193"/>
    <n v="47970.13"/>
    <n v="4.5596850905647308E-2"/>
    <n v="2.9699999999999998"/>
    <n v="99.287253886010362"/>
    <n v="2.5033414325106822"/>
  </r>
  <r>
    <x v="230"/>
    <x v="0"/>
    <x v="1"/>
    <x v="0"/>
    <x v="0"/>
    <n v="81303"/>
    <n v="4154"/>
    <n v="8100.3"/>
    <n v="121"/>
    <n v="35667.19"/>
    <n v="5.1092825602991276E-2"/>
    <n v="1.95"/>
    <n v="66.944628099173556"/>
    <n v="4.40319370887498"/>
  </r>
  <r>
    <x v="175"/>
    <x v="1"/>
    <x v="2"/>
    <x v="3"/>
    <x v="5"/>
    <n v="83871"/>
    <n v="6382"/>
    <n v="6701.1"/>
    <n v="196"/>
    <n v="31406.57"/>
    <n v="7.6093047656520127E-2"/>
    <n v="1.05"/>
    <n v="34.189285714285717"/>
    <n v="4.6867782901314703"/>
  </r>
  <r>
    <x v="164"/>
    <x v="2"/>
    <x v="1"/>
    <x v="2"/>
    <x v="3"/>
    <n v="178013"/>
    <n v="1886"/>
    <n v="2150.04"/>
    <n v="83"/>
    <n v="22320.49"/>
    <n v="1.059473184542702E-2"/>
    <n v="1.1399999999999999"/>
    <n v="25.904096385542168"/>
    <n v="10.381430112928133"/>
  </r>
  <r>
    <x v="99"/>
    <x v="2"/>
    <x v="0"/>
    <x v="1"/>
    <x v="5"/>
    <n v="160341"/>
    <n v="2228"/>
    <n v="1916.08"/>
    <n v="70"/>
    <n v="6302.54"/>
    <n v="1.3895385459738931E-2"/>
    <n v="0.86"/>
    <n v="27.372571428571426"/>
    <n v="3.2892885474510458"/>
  </r>
  <r>
    <x v="2"/>
    <x v="0"/>
    <x v="2"/>
    <x v="4"/>
    <x v="2"/>
    <n v="138135"/>
    <n v="7721"/>
    <n v="12816.86"/>
    <n v="112"/>
    <n v="4652.6000000000004"/>
    <n v="5.5894595866362619E-2"/>
    <n v="1.6600000000000001"/>
    <n v="114.43625"/>
    <n v="0.36300622773440611"/>
  </r>
  <r>
    <x v="270"/>
    <x v="2"/>
    <x v="3"/>
    <x v="4"/>
    <x v="3"/>
    <n v="72500"/>
    <n v="1341"/>
    <n v="2078.5500000000002"/>
    <n v="30"/>
    <n v="5770.13"/>
    <n v="1.849655172413793E-2"/>
    <n v="1.55"/>
    <n v="69.285000000000011"/>
    <n v="2.776036179067138"/>
  </r>
  <r>
    <x v="105"/>
    <x v="1"/>
    <x v="3"/>
    <x v="2"/>
    <x v="5"/>
    <n v="104626"/>
    <n v="9144"/>
    <n v="10058.4"/>
    <n v="389"/>
    <n v="83739.39"/>
    <n v="8.7397014126507758E-2"/>
    <n v="1.0999999999999999"/>
    <n v="25.857069408740358"/>
    <n v="8.3253191362443335"/>
  </r>
  <r>
    <x v="231"/>
    <x v="0"/>
    <x v="2"/>
    <x v="0"/>
    <x v="5"/>
    <n v="70107"/>
    <n v="4045"/>
    <n v="11002.4"/>
    <n v="203"/>
    <n v="22267.98"/>
    <n v="5.7697519505898125E-2"/>
    <n v="2.7199999999999998"/>
    <n v="54.199014778325122"/>
    <n v="2.0239202355849635"/>
  </r>
  <r>
    <x v="4"/>
    <x v="2"/>
    <x v="0"/>
    <x v="1"/>
    <x v="2"/>
    <n v="63952"/>
    <n v="1451"/>
    <n v="3250.24"/>
    <n v="86"/>
    <n v="25126.44"/>
    <n v="2.2688891668751564E-2"/>
    <n v="2.2399999999999998"/>
    <n v="37.793488372093023"/>
    <n v="7.7306414295559716"/>
  </r>
  <r>
    <x v="7"/>
    <x v="2"/>
    <x v="2"/>
    <x v="4"/>
    <x v="1"/>
    <n v="43148"/>
    <n v="979"/>
    <n v="1086.69"/>
    <n v="71"/>
    <n v="7719.69"/>
    <n v="2.268934828960786E-2"/>
    <n v="1.1100000000000001"/>
    <n v="15.30549295774648"/>
    <n v="7.1038566656544173"/>
  </r>
  <r>
    <x v="36"/>
    <x v="0"/>
    <x v="2"/>
    <x v="3"/>
    <x v="0"/>
    <n v="193326"/>
    <n v="12334"/>
    <n v="15787.52"/>
    <n v="715"/>
    <n v="196162.94"/>
    <n v="6.3798971685132891E-2"/>
    <n v="1.28"/>
    <n v="22.080447552447552"/>
    <n v="12.425190276876926"/>
  </r>
  <r>
    <x v="1"/>
    <x v="2"/>
    <x v="0"/>
    <x v="0"/>
    <x v="2"/>
    <n v="80507"/>
    <n v="2318"/>
    <n v="1645.78"/>
    <n v="119"/>
    <n v="23887.119999999999"/>
    <n v="2.8792527357869503E-2"/>
    <n v="0.71"/>
    <n v="13.830084033613446"/>
    <n v="14.514163496943699"/>
  </r>
  <r>
    <x v="232"/>
    <x v="2"/>
    <x v="0"/>
    <x v="0"/>
    <x v="4"/>
    <n v="128556"/>
    <n v="4910"/>
    <n v="4320.8"/>
    <n v="55"/>
    <n v="10684.27"/>
    <n v="3.8193472105541554E-2"/>
    <n v="0.88"/>
    <n v="78.56"/>
    <n v="2.4727527309757451"/>
  </r>
  <r>
    <x v="42"/>
    <x v="2"/>
    <x v="0"/>
    <x v="2"/>
    <x v="1"/>
    <n v="29055"/>
    <n v="912"/>
    <n v="1340.64"/>
    <n v="41"/>
    <n v="6404.23"/>
    <n v="3.1388745482705212E-2"/>
    <n v="1.4700000000000002"/>
    <n v="32.698536585365858"/>
    <n v="4.7769945697577274"/>
  </r>
  <r>
    <x v="187"/>
    <x v="2"/>
    <x v="1"/>
    <x v="3"/>
    <x v="0"/>
    <n v="172517"/>
    <n v="3191"/>
    <n v="5775.71"/>
    <n v="96"/>
    <n v="13225.69"/>
    <n v="1.8496727858703779E-2"/>
    <n v="1.81"/>
    <n v="60.163645833333334"/>
    <n v="2.2898812440375296"/>
  </r>
  <r>
    <x v="221"/>
    <x v="2"/>
    <x v="1"/>
    <x v="0"/>
    <x v="4"/>
    <n v="84712"/>
    <n v="1473"/>
    <n v="3343.71"/>
    <n v="74"/>
    <n v="3310.43"/>
    <n v="1.7388327509679856E-2"/>
    <n v="2.27"/>
    <n v="45.185270270270273"/>
    <n v="0.99004698373961852"/>
  </r>
  <r>
    <x v="347"/>
    <x v="0"/>
    <x v="1"/>
    <x v="0"/>
    <x v="5"/>
    <n v="115760"/>
    <n v="2558"/>
    <n v="8160.02"/>
    <n v="164"/>
    <n v="37092.550000000003"/>
    <n v="2.2097442985487215E-2"/>
    <n v="3.1900000000000004"/>
    <n v="49.756219512195123"/>
    <n v="4.5456444959693725"/>
  </r>
  <r>
    <x v="196"/>
    <x v="0"/>
    <x v="0"/>
    <x v="0"/>
    <x v="3"/>
    <n v="187831"/>
    <n v="7306"/>
    <n v="10009.219999999999"/>
    <n v="321"/>
    <n v="91963.37"/>
    <n v="3.889666774920008E-2"/>
    <n v="1.3699999999999999"/>
    <n v="31.181370716510902"/>
    <n v="9.1878657877437"/>
  </r>
  <r>
    <x v="221"/>
    <x v="2"/>
    <x v="1"/>
    <x v="0"/>
    <x v="1"/>
    <n v="72278"/>
    <n v="2421"/>
    <n v="3123.09"/>
    <n v="26"/>
    <n v="5625.44"/>
    <n v="3.3495669498325907E-2"/>
    <n v="1.29"/>
    <n v="120.11884615384616"/>
    <n v="1.8012417189386152"/>
  </r>
  <r>
    <x v="355"/>
    <x v="0"/>
    <x v="0"/>
    <x v="1"/>
    <x v="2"/>
    <n v="121107"/>
    <n v="3148"/>
    <n v="7523.72"/>
    <n v="243"/>
    <n v="33241.31"/>
    <n v="2.5993542900080095E-2"/>
    <n v="2.39"/>
    <n v="30.961810699588479"/>
    <n v="4.418201368471979"/>
  </r>
  <r>
    <x v="182"/>
    <x v="0"/>
    <x v="2"/>
    <x v="0"/>
    <x v="5"/>
    <n v="112930"/>
    <n v="2427"/>
    <n v="2305.65"/>
    <n v="53"/>
    <n v="10549.62"/>
    <n v="2.1491189232267775E-2"/>
    <n v="0.95000000000000007"/>
    <n v="43.502830188679248"/>
    <n v="4.5755513629562161"/>
  </r>
  <r>
    <x v="20"/>
    <x v="0"/>
    <x v="1"/>
    <x v="3"/>
    <x v="4"/>
    <n v="94767"/>
    <n v="4662"/>
    <n v="13519.8"/>
    <n v="136"/>
    <n v="33757.519999999997"/>
    <n v="4.9194339801829752E-2"/>
    <n v="2.9"/>
    <n v="99.410294117647055"/>
    <n v="2.4968949244811314"/>
  </r>
  <r>
    <x v="113"/>
    <x v="1"/>
    <x v="3"/>
    <x v="4"/>
    <x v="5"/>
    <n v="189933"/>
    <n v="13295"/>
    <n v="13693.85"/>
    <n v="284"/>
    <n v="45485.98"/>
    <n v="6.9998367845503409E-2"/>
    <n v="1.03"/>
    <n v="48.217781690140846"/>
    <n v="3.3216356247512571"/>
  </r>
  <r>
    <x v="178"/>
    <x v="2"/>
    <x v="2"/>
    <x v="0"/>
    <x v="4"/>
    <n v="17281"/>
    <n v="793"/>
    <n v="935.74"/>
    <n v="46"/>
    <n v="12594.97"/>
    <n v="4.5888548116428445E-2"/>
    <n v="1.18"/>
    <n v="20.342173913043478"/>
    <n v="13.459903391967854"/>
  </r>
  <r>
    <x v="334"/>
    <x v="0"/>
    <x v="1"/>
    <x v="0"/>
    <x v="1"/>
    <n v="41388"/>
    <n v="964"/>
    <n v="2930.56"/>
    <n v="72"/>
    <n v="19679.400000000001"/>
    <n v="2.3291775393833963E-2"/>
    <n v="3.04"/>
    <n v="40.702222222222218"/>
    <n v="6.7152353133872031"/>
  </r>
  <r>
    <x v="102"/>
    <x v="0"/>
    <x v="2"/>
    <x v="1"/>
    <x v="2"/>
    <n v="52083"/>
    <n v="2781"/>
    <n v="7341.84"/>
    <n v="160"/>
    <n v="39686.47"/>
    <n v="5.3395541731467079E-2"/>
    <n v="2.64"/>
    <n v="45.886499999999998"/>
    <n v="5.4055209593235487"/>
  </r>
  <r>
    <x v="347"/>
    <x v="0"/>
    <x v="1"/>
    <x v="4"/>
    <x v="0"/>
    <n v="110109"/>
    <n v="2378"/>
    <n v="7585.82"/>
    <n v="41"/>
    <n v="6931.99"/>
    <n v="2.1596781371186733E-2"/>
    <n v="3.19"/>
    <n v="185.01999999999998"/>
    <n v="0.91380892243686251"/>
  </r>
  <r>
    <x v="179"/>
    <x v="1"/>
    <x v="3"/>
    <x v="0"/>
    <x v="4"/>
    <n v="73743"/>
    <n v="1991"/>
    <n v="3524.07"/>
    <n v="155"/>
    <n v="29721.14"/>
    <n v="2.6999172802842305E-2"/>
    <n v="1.77"/>
    <n v="22.735935483870968"/>
    <n v="8.4337541535781071"/>
  </r>
  <r>
    <x v="185"/>
    <x v="0"/>
    <x v="2"/>
    <x v="2"/>
    <x v="6"/>
    <n v="79189"/>
    <n v="4315"/>
    <n v="3969.8"/>
    <n v="197"/>
    <n v="21995.7"/>
    <n v="5.4489891272777785E-2"/>
    <n v="0.92"/>
    <n v="20.151269035532994"/>
    <n v="5.5407577207919791"/>
  </r>
  <r>
    <x v="94"/>
    <x v="2"/>
    <x v="0"/>
    <x v="0"/>
    <x v="2"/>
    <n v="179943"/>
    <n v="4174"/>
    <n v="9182.7999999999993"/>
    <n v="289"/>
    <n v="32129.87"/>
    <n v="2.3196234363103873E-2"/>
    <n v="2.1999999999999997"/>
    <n v="31.774394463667818"/>
    <n v="3.4989186304830771"/>
  </r>
  <r>
    <x v="205"/>
    <x v="0"/>
    <x v="0"/>
    <x v="4"/>
    <x v="4"/>
    <n v="22414"/>
    <n v="472"/>
    <n v="1184.72"/>
    <n v="34"/>
    <n v="7160.99"/>
    <n v="2.1058267154457036E-2"/>
    <n v="2.5100000000000002"/>
    <n v="34.84470588235294"/>
    <n v="6.0444577621716524"/>
  </r>
  <r>
    <x v="345"/>
    <x v="2"/>
    <x v="1"/>
    <x v="3"/>
    <x v="6"/>
    <n v="107299"/>
    <n v="2585"/>
    <n v="3412.2"/>
    <n v="110"/>
    <n v="23820.26"/>
    <n v="2.4091557237252911E-2"/>
    <n v="1.3199999999999998"/>
    <n v="31.02"/>
    <n v="6.9809096770412049"/>
  </r>
  <r>
    <x v="187"/>
    <x v="1"/>
    <x v="2"/>
    <x v="3"/>
    <x v="6"/>
    <n v="68815"/>
    <n v="3172"/>
    <n v="2505.88"/>
    <n v="76"/>
    <n v="2602.5700000000002"/>
    <n v="4.6094601467703264E-2"/>
    <n v="0.79"/>
    <n v="32.972105263157893"/>
    <n v="1.0385852474978849"/>
  </r>
  <r>
    <x v="348"/>
    <x v="0"/>
    <x v="3"/>
    <x v="1"/>
    <x v="3"/>
    <n v="164457"/>
    <n v="8321"/>
    <n v="14644.96"/>
    <n v="610"/>
    <n v="27104.12"/>
    <n v="5.0596812540664123E-2"/>
    <n v="1.7599999999999998"/>
    <n v="24.008131147540983"/>
    <n v="1.850747287804132"/>
  </r>
  <r>
    <x v="333"/>
    <x v="0"/>
    <x v="3"/>
    <x v="4"/>
    <x v="5"/>
    <n v="105477"/>
    <n v="6391"/>
    <n v="11759.44"/>
    <n v="116"/>
    <n v="17001.07"/>
    <n v="6.0591408553523518E-2"/>
    <n v="1.84"/>
    <n v="101.3744827586207"/>
    <n v="1.4457380623567109"/>
  </r>
  <r>
    <x v="269"/>
    <x v="0"/>
    <x v="1"/>
    <x v="0"/>
    <x v="1"/>
    <n v="160816"/>
    <n v="9745"/>
    <n v="11888.9"/>
    <n v="553"/>
    <n v="62922.41"/>
    <n v="6.0597204258282758E-2"/>
    <n v="1.22"/>
    <n v="21.498915009041589"/>
    <n v="5.2925342125848482"/>
  </r>
  <r>
    <x v="212"/>
    <x v="0"/>
    <x v="3"/>
    <x v="2"/>
    <x v="1"/>
    <n v="23904"/>
    <n v="609"/>
    <n v="1010.94"/>
    <n v="35"/>
    <n v="7211.31"/>
    <n v="2.5476907630522089E-2"/>
    <n v="1.6600000000000001"/>
    <n v="28.884"/>
    <n v="7.1332720042732509"/>
  </r>
  <r>
    <x v="19"/>
    <x v="2"/>
    <x v="3"/>
    <x v="3"/>
    <x v="2"/>
    <n v="60448"/>
    <n v="1493"/>
    <n v="3418.97"/>
    <n v="89"/>
    <n v="24577.78"/>
    <n v="2.4698914769719429E-2"/>
    <n v="2.29"/>
    <n v="38.415393258426967"/>
    <n v="7.1886503830100876"/>
  </r>
  <r>
    <x v="70"/>
    <x v="1"/>
    <x v="1"/>
    <x v="0"/>
    <x v="0"/>
    <n v="138332"/>
    <n v="9558"/>
    <n v="3345.3"/>
    <n v="195"/>
    <n v="26087.06"/>
    <n v="6.9094641876066273E-2"/>
    <n v="0.35000000000000003"/>
    <n v="17.155384615384616"/>
    <n v="7.7981227393656773"/>
  </r>
  <r>
    <x v="287"/>
    <x v="0"/>
    <x v="1"/>
    <x v="3"/>
    <x v="5"/>
    <n v="112399"/>
    <n v="3585"/>
    <n v="11149.35"/>
    <n v="91"/>
    <n v="20140.14"/>
    <n v="3.1895301559622419E-2"/>
    <n v="3.1100000000000003"/>
    <n v="122.52032967032967"/>
    <n v="1.8063958885495566"/>
  </r>
  <r>
    <x v="313"/>
    <x v="0"/>
    <x v="1"/>
    <x v="4"/>
    <x v="3"/>
    <n v="180069"/>
    <n v="5780"/>
    <n v="8496.6"/>
    <n v="272"/>
    <n v="74348.97"/>
    <n v="3.2098806568593152E-2"/>
    <n v="1.47"/>
    <n v="31.237500000000001"/>
    <n v="8.7504378221876991"/>
  </r>
  <r>
    <x v="73"/>
    <x v="2"/>
    <x v="2"/>
    <x v="0"/>
    <x v="2"/>
    <n v="155354"/>
    <n v="3371"/>
    <n v="4281.17"/>
    <n v="100"/>
    <n v="7916.95"/>
    <n v="2.1698829769429818E-2"/>
    <n v="1.27"/>
    <n v="42.811700000000002"/>
    <n v="1.8492491538528018"/>
  </r>
  <r>
    <x v="284"/>
    <x v="2"/>
    <x v="2"/>
    <x v="0"/>
    <x v="0"/>
    <n v="163564"/>
    <n v="1946"/>
    <n v="1284.3599999999999"/>
    <n v="72"/>
    <n v="6787.22"/>
    <n v="1.1897483553838253E-2"/>
    <n v="0.65999999999999992"/>
    <n v="17.838333333333331"/>
    <n v="5.2845152449468999"/>
  </r>
  <r>
    <x v="56"/>
    <x v="1"/>
    <x v="3"/>
    <x v="0"/>
    <x v="1"/>
    <n v="146587"/>
    <n v="5995"/>
    <n v="9112.4"/>
    <n v="161"/>
    <n v="27684.26"/>
    <n v="4.089721462339771E-2"/>
    <n v="1.52"/>
    <n v="56.598757763975151"/>
    <n v="3.0380865633642071"/>
  </r>
  <r>
    <x v="197"/>
    <x v="0"/>
    <x v="3"/>
    <x v="2"/>
    <x v="2"/>
    <n v="79843"/>
    <n v="2427"/>
    <n v="3470.61"/>
    <n v="127"/>
    <n v="27833.99"/>
    <n v="3.0397154415540497E-2"/>
    <n v="1.4300000000000002"/>
    <n v="27.327637795275592"/>
    <n v="8.0199129259697859"/>
  </r>
  <r>
    <x v="279"/>
    <x v="2"/>
    <x v="1"/>
    <x v="3"/>
    <x v="4"/>
    <n v="128245"/>
    <n v="2949"/>
    <n v="4688.91"/>
    <n v="85"/>
    <n v="8616.7199999999993"/>
    <n v="2.2995048539904091E-2"/>
    <n v="1.5899999999999999"/>
    <n v="55.163647058823528"/>
    <n v="1.8376808256076571"/>
  </r>
  <r>
    <x v="273"/>
    <x v="0"/>
    <x v="2"/>
    <x v="0"/>
    <x v="6"/>
    <n v="161252"/>
    <n v="8046"/>
    <n v="24540.3"/>
    <n v="550"/>
    <n v="130994.6"/>
    <n v="4.9897055540396397E-2"/>
    <n v="3.05"/>
    <n v="44.61872727272727"/>
    <n v="5.3379380040178814"/>
  </r>
  <r>
    <x v="301"/>
    <x v="1"/>
    <x v="2"/>
    <x v="3"/>
    <x v="3"/>
    <n v="107262"/>
    <n v="5127"/>
    <n v="6357.48"/>
    <n v="343"/>
    <n v="93405.13"/>
    <n v="4.7798847681378306E-2"/>
    <n v="1.24"/>
    <n v="18.534927113702622"/>
    <n v="14.692162617892626"/>
  </r>
  <r>
    <x v="32"/>
    <x v="2"/>
    <x v="1"/>
    <x v="3"/>
    <x v="3"/>
    <n v="22139"/>
    <n v="458"/>
    <n v="196.94"/>
    <n v="8"/>
    <n v="2367.39"/>
    <n v="2.0687474592348345E-2"/>
    <n v="0.43"/>
    <n v="24.6175"/>
    <n v="12.020869300294505"/>
  </r>
  <r>
    <x v="8"/>
    <x v="2"/>
    <x v="2"/>
    <x v="3"/>
    <x v="5"/>
    <n v="30618"/>
    <n v="719"/>
    <n v="913.13"/>
    <n v="40"/>
    <n v="6289.61"/>
    <n v="2.3482918544646941E-2"/>
    <n v="1.27"/>
    <n v="22.828250000000001"/>
    <n v="6.8879677592456714"/>
  </r>
  <r>
    <x v="275"/>
    <x v="0"/>
    <x v="0"/>
    <x v="2"/>
    <x v="4"/>
    <n v="78606"/>
    <n v="3914"/>
    <n v="4814.22"/>
    <n v="88"/>
    <n v="6101.96"/>
    <n v="4.9792636694399921E-2"/>
    <n v="1.23"/>
    <n v="54.707045454545458"/>
    <n v="1.2674867372076888"/>
  </r>
  <r>
    <x v="4"/>
    <x v="0"/>
    <x v="3"/>
    <x v="3"/>
    <x v="3"/>
    <n v="31885"/>
    <n v="1613"/>
    <n v="1629.13"/>
    <n v="67"/>
    <n v="19023.45"/>
    <n v="5.0588050807589775E-2"/>
    <n v="1.01"/>
    <n v="24.315373134328361"/>
    <n v="11.677060762492864"/>
  </r>
  <r>
    <x v="83"/>
    <x v="1"/>
    <x v="2"/>
    <x v="1"/>
    <x v="4"/>
    <n v="11713"/>
    <n v="334"/>
    <n v="487.64"/>
    <n v="13"/>
    <n v="2344.33"/>
    <n v="2.8515324852727737E-2"/>
    <n v="1.46"/>
    <n v="37.510769230769228"/>
    <n v="4.8075014354851939"/>
  </r>
  <r>
    <x v="76"/>
    <x v="2"/>
    <x v="2"/>
    <x v="4"/>
    <x v="1"/>
    <n v="26637"/>
    <n v="479"/>
    <n v="397.57"/>
    <n v="35"/>
    <n v="1488.52"/>
    <n v="1.7982505537410369E-2"/>
    <n v="0.83"/>
    <n v="11.359142857142857"/>
    <n v="3.7440450738234778"/>
  </r>
  <r>
    <x v="354"/>
    <x v="0"/>
    <x v="3"/>
    <x v="1"/>
    <x v="5"/>
    <n v="44387"/>
    <n v="1886"/>
    <n v="5299.66"/>
    <n v="112"/>
    <n v="16115.2"/>
    <n v="4.2489918219298442E-2"/>
    <n v="2.81"/>
    <n v="47.318392857142854"/>
    <n v="3.0407988436994073"/>
  </r>
  <r>
    <x v="240"/>
    <x v="2"/>
    <x v="0"/>
    <x v="4"/>
    <x v="1"/>
    <n v="91392"/>
    <n v="2705"/>
    <n v="5518.2"/>
    <n v="87"/>
    <n v="12147.08"/>
    <n v="2.9597776610644257E-2"/>
    <n v="2.04"/>
    <n v="63.427586206896549"/>
    <n v="2.2012757783335144"/>
  </r>
  <r>
    <x v="228"/>
    <x v="1"/>
    <x v="0"/>
    <x v="1"/>
    <x v="1"/>
    <n v="31727"/>
    <n v="2233"/>
    <n v="1027.18"/>
    <n v="74"/>
    <n v="9946.57"/>
    <n v="7.0381693825448358E-2"/>
    <n v="0.46"/>
    <n v="13.880810810810811"/>
    <n v="9.6833758445452585"/>
  </r>
  <r>
    <x v="75"/>
    <x v="2"/>
    <x v="2"/>
    <x v="3"/>
    <x v="3"/>
    <n v="154676"/>
    <n v="1624"/>
    <n v="2744.56"/>
    <n v="26"/>
    <n v="1813.36"/>
    <n v="1.0499366417543768E-2"/>
    <n v="1.69"/>
    <n v="105.56"/>
    <n v="0.6607106421430029"/>
  </r>
  <r>
    <x v="6"/>
    <x v="2"/>
    <x v="2"/>
    <x v="4"/>
    <x v="1"/>
    <n v="122710"/>
    <n v="5129"/>
    <n v="5231.58"/>
    <n v="157"/>
    <n v="24344.87"/>
    <n v="4.1797734495966098E-2"/>
    <n v="1.02"/>
    <n v="33.322165605095542"/>
    <n v="4.6534450395482816"/>
  </r>
  <r>
    <x v="129"/>
    <x v="1"/>
    <x v="0"/>
    <x v="1"/>
    <x v="4"/>
    <n v="194117"/>
    <n v="16422"/>
    <n v="21841.26"/>
    <n v="1133"/>
    <n v="121361.12"/>
    <n v="8.45984638130612E-2"/>
    <n v="1.3299999999999998"/>
    <n v="19.277369814651365"/>
    <n v="5.55650727110066"/>
  </r>
  <r>
    <x v="304"/>
    <x v="1"/>
    <x v="2"/>
    <x v="2"/>
    <x v="6"/>
    <n v="23043"/>
    <n v="1534"/>
    <n v="2086.2399999999998"/>
    <n v="119"/>
    <n v="6284.67"/>
    <n v="6.6571192987024255E-2"/>
    <n v="1.3599999999999999"/>
    <n v="17.53142857142857"/>
    <n v="3.012438645601657"/>
  </r>
  <r>
    <x v="277"/>
    <x v="0"/>
    <x v="0"/>
    <x v="0"/>
    <x v="2"/>
    <n v="21198"/>
    <n v="703"/>
    <n v="1377.88"/>
    <n v="28"/>
    <n v="6226.83"/>
    <n v="3.3163505991131235E-2"/>
    <n v="1.9600000000000002"/>
    <n v="49.21"/>
    <n v="4.519138096205765"/>
  </r>
  <r>
    <x v="234"/>
    <x v="2"/>
    <x v="3"/>
    <x v="2"/>
    <x v="5"/>
    <n v="132208"/>
    <n v="3133"/>
    <n v="4918.8100000000004"/>
    <n v="183"/>
    <n v="53669.78"/>
    <n v="2.3697506958731695E-2"/>
    <n v="1.57"/>
    <n v="26.878743169398909"/>
    <n v="10.911130944273106"/>
  </r>
  <r>
    <x v="313"/>
    <x v="2"/>
    <x v="2"/>
    <x v="0"/>
    <x v="5"/>
    <n v="19040"/>
    <n v="784"/>
    <n v="1513.12"/>
    <n v="39"/>
    <n v="5591.9"/>
    <n v="4.1176470588235294E-2"/>
    <n v="1.93"/>
    <n v="38.797948717948714"/>
    <n v="3.695609072644602"/>
  </r>
  <r>
    <x v="308"/>
    <x v="0"/>
    <x v="3"/>
    <x v="2"/>
    <x v="5"/>
    <n v="157270"/>
    <n v="5535"/>
    <n v="5535"/>
    <n v="356"/>
    <n v="86412.59"/>
    <n v="3.5194251923443762E-2"/>
    <n v="1"/>
    <n v="15.547752808988765"/>
    <n v="15.612030713640468"/>
  </r>
  <r>
    <x v="79"/>
    <x v="0"/>
    <x v="1"/>
    <x v="4"/>
    <x v="1"/>
    <n v="33433"/>
    <n v="1698"/>
    <n v="4975.1400000000003"/>
    <n v="60"/>
    <n v="4216.8100000000004"/>
    <n v="5.078814345108127E-2"/>
    <n v="2.93"/>
    <n v="82.919000000000011"/>
    <n v="0.84757614861089337"/>
  </r>
  <r>
    <x v="104"/>
    <x v="2"/>
    <x v="1"/>
    <x v="0"/>
    <x v="3"/>
    <n v="94786"/>
    <n v="2682"/>
    <n v="4023"/>
    <n v="155"/>
    <n v="6510.51"/>
    <n v="2.829531787394763E-2"/>
    <n v="1.5"/>
    <n v="25.954838709677418"/>
    <n v="1.6183221476510068"/>
  </r>
  <r>
    <x v="278"/>
    <x v="2"/>
    <x v="3"/>
    <x v="4"/>
    <x v="6"/>
    <n v="144895"/>
    <n v="2158"/>
    <n v="4143.3599999999997"/>
    <n v="151"/>
    <n v="25541.81"/>
    <n v="1.4893543600538321E-2"/>
    <n v="1.92"/>
    <n v="27.439470198675494"/>
    <n v="6.1645162380290399"/>
  </r>
  <r>
    <x v="315"/>
    <x v="2"/>
    <x v="3"/>
    <x v="0"/>
    <x v="3"/>
    <n v="57996"/>
    <n v="1705"/>
    <n v="3478.2"/>
    <n v="127"/>
    <n v="26935.06"/>
    <n v="2.9398579212359471E-2"/>
    <n v="2.04"/>
    <n v="27.38740157480315"/>
    <n v="7.7439652693922154"/>
  </r>
  <r>
    <x v="212"/>
    <x v="0"/>
    <x v="2"/>
    <x v="2"/>
    <x v="4"/>
    <n v="154631"/>
    <n v="4793"/>
    <n v="15050.02"/>
    <n v="155"/>
    <n v="15403.3"/>
    <n v="3.0996372008200167E-2"/>
    <n v="3.14"/>
    <n v="97.096903225806457"/>
    <n v="1.0234737229585076"/>
  </r>
  <r>
    <x v="66"/>
    <x v="2"/>
    <x v="1"/>
    <x v="3"/>
    <x v="3"/>
    <n v="56209"/>
    <n v="1405"/>
    <n v="3357.95"/>
    <n v="94"/>
    <n v="20195.05"/>
    <n v="2.4995997082317777E-2"/>
    <n v="2.3899999999999997"/>
    <n v="35.722872340425532"/>
    <n v="6.0141008651111543"/>
  </r>
  <r>
    <x v="208"/>
    <x v="1"/>
    <x v="1"/>
    <x v="3"/>
    <x v="4"/>
    <n v="187411"/>
    <n v="15667"/>
    <n v="6736.81"/>
    <n v="996"/>
    <n v="51799.95"/>
    <n v="8.3597014049335422E-2"/>
    <n v="0.43000000000000005"/>
    <n v="6.7638654618473897"/>
    <n v="7.6890917214527343"/>
  </r>
  <r>
    <x v="99"/>
    <x v="0"/>
    <x v="1"/>
    <x v="0"/>
    <x v="5"/>
    <n v="46583"/>
    <n v="2319"/>
    <n v="6400.44"/>
    <n v="50"/>
    <n v="11413.39"/>
    <n v="4.9782109353197518E-2"/>
    <n v="2.76"/>
    <n v="128.00879999999998"/>
    <n v="1.7832195911531084"/>
  </r>
  <r>
    <x v="161"/>
    <x v="2"/>
    <x v="3"/>
    <x v="4"/>
    <x v="4"/>
    <n v="17438"/>
    <n v="371"/>
    <n v="604.73"/>
    <n v="19"/>
    <n v="902.7"/>
    <n v="2.1275375616469777E-2"/>
    <n v="1.6300000000000001"/>
    <n v="31.827894736842108"/>
    <n v="1.4927322937509302"/>
  </r>
  <r>
    <x v="334"/>
    <x v="0"/>
    <x v="1"/>
    <x v="3"/>
    <x v="0"/>
    <n v="122784"/>
    <n v="6237"/>
    <n v="16777.53"/>
    <n v="134"/>
    <n v="15407.61"/>
    <n v="5.0796520719311962E-2"/>
    <n v="2.69"/>
    <n v="125.20544776119402"/>
    <n v="0.91834793321782182"/>
  </r>
  <r>
    <x v="342"/>
    <x v="2"/>
    <x v="2"/>
    <x v="1"/>
    <x v="3"/>
    <n v="151730"/>
    <n v="2063"/>
    <n v="1526.62"/>
    <n v="32"/>
    <n v="6146.93"/>
    <n v="1.359652013444935E-2"/>
    <n v="0.74"/>
    <n v="47.706874999999997"/>
    <n v="4.0264964431227162"/>
  </r>
  <r>
    <x v="15"/>
    <x v="0"/>
    <x v="0"/>
    <x v="0"/>
    <x v="5"/>
    <n v="83498"/>
    <n v="3531"/>
    <n v="3636.93"/>
    <n v="234"/>
    <n v="36561.1"/>
    <n v="4.2288438046420275E-2"/>
    <n v="1.03"/>
    <n v="15.542435897435897"/>
    <n v="10.052736786245543"/>
  </r>
  <r>
    <x v="355"/>
    <x v="1"/>
    <x v="2"/>
    <x v="0"/>
    <x v="1"/>
    <n v="194060"/>
    <n v="11721"/>
    <n v="20277.330000000002"/>
    <n v="504"/>
    <n v="76238.77"/>
    <n v="6.0398845717819234E-2"/>
    <n v="1.7300000000000002"/>
    <n v="40.232797619047624"/>
    <n v="3.759803189078641"/>
  </r>
  <r>
    <x v="180"/>
    <x v="0"/>
    <x v="2"/>
    <x v="4"/>
    <x v="3"/>
    <n v="30118"/>
    <n v="951"/>
    <n v="3119.28"/>
    <n v="30"/>
    <n v="2408.7600000000002"/>
    <n v="3.1575801846072116E-2"/>
    <n v="3.2800000000000002"/>
    <n v="103.97600000000001"/>
    <n v="0.77221666538431943"/>
  </r>
  <r>
    <x v="159"/>
    <x v="2"/>
    <x v="0"/>
    <x v="2"/>
    <x v="2"/>
    <n v="88904"/>
    <n v="1724"/>
    <n v="1724"/>
    <n v="59"/>
    <n v="8894.16"/>
    <n v="1.9391703410420229E-2"/>
    <n v="1"/>
    <n v="29.220338983050848"/>
    <n v="5.1590255220417633"/>
  </r>
  <r>
    <x v="327"/>
    <x v="0"/>
    <x v="3"/>
    <x v="2"/>
    <x v="6"/>
    <n v="119911"/>
    <n v="4592"/>
    <n v="12995.36"/>
    <n v="163"/>
    <n v="24856.01"/>
    <n v="3.8295068842725023E-2"/>
    <n v="2.83"/>
    <n v="79.726134969325159"/>
    <n v="1.9126834500929562"/>
  </r>
  <r>
    <x v="115"/>
    <x v="2"/>
    <x v="0"/>
    <x v="1"/>
    <x v="1"/>
    <n v="184702"/>
    <n v="5134"/>
    <n v="10319.34"/>
    <n v="70"/>
    <n v="16883.490000000002"/>
    <n v="2.7796125651048716E-2"/>
    <n v="2.0100000000000002"/>
    <n v="147.41914285714287"/>
    <n v="1.6361017274360572"/>
  </r>
  <r>
    <x v="88"/>
    <x v="2"/>
    <x v="1"/>
    <x v="0"/>
    <x v="2"/>
    <n v="5209"/>
    <n v="198"/>
    <n v="138.6"/>
    <n v="3"/>
    <n v="490.6"/>
    <n v="3.8011134574774431E-2"/>
    <n v="0.7"/>
    <n v="46.199999999999996"/>
    <n v="3.53968253968254"/>
  </r>
  <r>
    <x v="237"/>
    <x v="2"/>
    <x v="3"/>
    <x v="4"/>
    <x v="5"/>
    <n v="88717"/>
    <n v="816"/>
    <n v="1525.92"/>
    <n v="46"/>
    <n v="4879.0200000000004"/>
    <n v="9.1977862191011863E-3"/>
    <n v="1.87"/>
    <n v="33.17217391304348"/>
    <n v="3.1974284366152879"/>
  </r>
  <r>
    <x v="157"/>
    <x v="0"/>
    <x v="2"/>
    <x v="4"/>
    <x v="5"/>
    <n v="146788"/>
    <n v="6003"/>
    <n v="14527.26"/>
    <n v="476"/>
    <n v="104420.05"/>
    <n v="4.0895713546066435E-2"/>
    <n v="2.42"/>
    <n v="30.519453781512606"/>
    <n v="7.1878695638406693"/>
  </r>
  <r>
    <x v="303"/>
    <x v="0"/>
    <x v="1"/>
    <x v="3"/>
    <x v="6"/>
    <n v="89052"/>
    <n v="2591"/>
    <n v="9483.06"/>
    <n v="190"/>
    <n v="12653.72"/>
    <n v="2.9095360014373624E-2"/>
    <n v="3.6599999999999997"/>
    <n v="49.910842105263157"/>
    <n v="1.3343498828437235"/>
  </r>
  <r>
    <x v="121"/>
    <x v="0"/>
    <x v="2"/>
    <x v="4"/>
    <x v="3"/>
    <n v="46971"/>
    <n v="2437"/>
    <n v="4971.4799999999996"/>
    <n v="141"/>
    <n v="14817.7"/>
    <n v="5.1883076792063186E-2"/>
    <n v="2.04"/>
    <n v="35.258723404255313"/>
    <n v="2.9805410058976407"/>
  </r>
  <r>
    <x v="273"/>
    <x v="2"/>
    <x v="2"/>
    <x v="4"/>
    <x v="1"/>
    <n v="185419"/>
    <n v="7750"/>
    <n v="10695"/>
    <n v="400"/>
    <n v="13470.33"/>
    <n v="4.1797226821415283E-2"/>
    <n v="1.38"/>
    <n v="26.737500000000001"/>
    <n v="1.2594978962131838"/>
  </r>
  <r>
    <x v="222"/>
    <x v="0"/>
    <x v="3"/>
    <x v="1"/>
    <x v="0"/>
    <n v="36391"/>
    <n v="1684"/>
    <n v="6045.56"/>
    <n v="18"/>
    <n v="4868.51"/>
    <n v="4.6275177928608725E-2"/>
    <n v="3.5900000000000003"/>
    <n v="335.86444444444447"/>
    <n v="0.80530339621143454"/>
  </r>
  <r>
    <x v="187"/>
    <x v="0"/>
    <x v="3"/>
    <x v="1"/>
    <x v="5"/>
    <n v="169575"/>
    <n v="3730"/>
    <n v="10108.299999999999"/>
    <n v="284"/>
    <n v="8952.89"/>
    <n v="2.1996166887807755E-2"/>
    <n v="2.71"/>
    <n v="35.592605633802812"/>
    <n v="0.88569690254543298"/>
  </r>
  <r>
    <x v="155"/>
    <x v="0"/>
    <x v="1"/>
    <x v="4"/>
    <x v="1"/>
    <n v="146656"/>
    <n v="5719"/>
    <n v="10008.25"/>
    <n v="357"/>
    <n v="62250.35"/>
    <n v="3.8996017892210341E-2"/>
    <n v="1.75"/>
    <n v="28.034313725490197"/>
    <n v="6.219903579546874"/>
  </r>
  <r>
    <x v="111"/>
    <x v="0"/>
    <x v="3"/>
    <x v="0"/>
    <x v="3"/>
    <n v="116972"/>
    <n v="6269"/>
    <n v="17741.27"/>
    <n v="83"/>
    <n v="8852.61"/>
    <n v="5.359402250111138E-2"/>
    <n v="2.83"/>
    <n v="213.75024096385542"/>
    <n v="0.49898400734558462"/>
  </r>
  <r>
    <x v="333"/>
    <x v="2"/>
    <x v="0"/>
    <x v="3"/>
    <x v="4"/>
    <n v="45664"/>
    <n v="516"/>
    <n v="861.72"/>
    <n v="34"/>
    <n v="7132.56"/>
    <n v="1.1299929922915206E-2"/>
    <n v="1.6700000000000002"/>
    <n v="25.34470588235294"/>
    <n v="8.2771201782481558"/>
  </r>
  <r>
    <x v="91"/>
    <x v="2"/>
    <x v="2"/>
    <x v="3"/>
    <x v="1"/>
    <n v="125759"/>
    <n v="2804"/>
    <n v="4907"/>
    <n v="164"/>
    <n v="46752.65"/>
    <n v="2.2296614953999316E-2"/>
    <n v="1.75"/>
    <n v="29.920731707317074"/>
    <n v="9.5277460770328108"/>
  </r>
  <r>
    <x v="229"/>
    <x v="0"/>
    <x v="2"/>
    <x v="1"/>
    <x v="0"/>
    <n v="26529"/>
    <n v="1106"/>
    <n v="1968.68"/>
    <n v="78"/>
    <n v="2995.39"/>
    <n v="4.16902257906442E-2"/>
    <n v="1.78"/>
    <n v="25.239487179487181"/>
    <n v="1.5215220350691834"/>
  </r>
  <r>
    <x v="94"/>
    <x v="1"/>
    <x v="2"/>
    <x v="1"/>
    <x v="5"/>
    <n v="114863"/>
    <n v="5766"/>
    <n v="9398.58"/>
    <n v="89"/>
    <n v="22499.919999999998"/>
    <n v="5.0198932641494651E-2"/>
    <n v="1.63"/>
    <n v="105.60202247191012"/>
    <n v="2.3939701529379969"/>
  </r>
  <r>
    <x v="348"/>
    <x v="2"/>
    <x v="3"/>
    <x v="2"/>
    <x v="2"/>
    <n v="171353"/>
    <n v="5534"/>
    <n v="10293.24"/>
    <n v="221"/>
    <n v="52725.19"/>
    <n v="3.2295903777581951E-2"/>
    <n v="1.8599999999999999"/>
    <n v="46.575746606334839"/>
    <n v="5.1223123137126896"/>
  </r>
  <r>
    <x v="129"/>
    <x v="2"/>
    <x v="2"/>
    <x v="1"/>
    <x v="1"/>
    <n v="49522"/>
    <n v="1554"/>
    <n v="2657.34"/>
    <n v="23"/>
    <n v="1909.73"/>
    <n v="3.1379992730503611E-2"/>
    <n v="1.7100000000000002"/>
    <n v="115.53652173913044"/>
    <n v="0.71866227129385019"/>
  </r>
  <r>
    <x v="343"/>
    <x v="0"/>
    <x v="0"/>
    <x v="2"/>
    <x v="5"/>
    <n v="136135"/>
    <n v="7936"/>
    <n v="10792.96"/>
    <n v="406"/>
    <n v="40442.85"/>
    <n v="5.829507474198406E-2"/>
    <n v="1.3599999999999999"/>
    <n v="26.583645320197043"/>
    <n v="3.7471509206000952"/>
  </r>
  <r>
    <x v="150"/>
    <x v="2"/>
    <x v="1"/>
    <x v="2"/>
    <x v="1"/>
    <n v="172108"/>
    <n v="6109"/>
    <n v="13928.52"/>
    <n v="435"/>
    <n v="13163.33"/>
    <n v="3.5495154205498876E-2"/>
    <n v="2.2800000000000002"/>
    <n v="32.019586206896555"/>
    <n v="0.94506307920726673"/>
  </r>
  <r>
    <x v="348"/>
    <x v="1"/>
    <x v="1"/>
    <x v="1"/>
    <x v="5"/>
    <n v="193151"/>
    <n v="12168"/>
    <n v="13749.84"/>
    <n v="612"/>
    <n v="109401"/>
    <n v="6.2997344046885603E-2"/>
    <n v="1.1300000000000001"/>
    <n v="22.467058823529413"/>
    <n v="7.9565289487004938"/>
  </r>
  <r>
    <x v="170"/>
    <x v="1"/>
    <x v="3"/>
    <x v="1"/>
    <x v="4"/>
    <n v="102519"/>
    <n v="4285"/>
    <n v="5142"/>
    <n v="137"/>
    <n v="26733.75"/>
    <n v="4.1797130288044167E-2"/>
    <n v="1.2"/>
    <n v="37.532846715328468"/>
    <n v="5.1990956826137689"/>
  </r>
  <r>
    <x v="82"/>
    <x v="0"/>
    <x v="2"/>
    <x v="2"/>
    <x v="3"/>
    <n v="36092"/>
    <n v="1050"/>
    <n v="3864"/>
    <n v="34"/>
    <n v="1685.69"/>
    <n v="2.909231962761831E-2"/>
    <n v="3.68"/>
    <n v="113.64705882352941"/>
    <n v="0.43625517598343688"/>
  </r>
  <r>
    <x v="218"/>
    <x v="1"/>
    <x v="1"/>
    <x v="1"/>
    <x v="6"/>
    <n v="6628"/>
    <n v="261"/>
    <n v="334.08"/>
    <n v="11"/>
    <n v="2224.48"/>
    <n v="3.9378394689197342E-2"/>
    <n v="1.28"/>
    <n v="30.370909090909091"/>
    <n v="6.65852490421456"/>
  </r>
  <r>
    <x v="248"/>
    <x v="2"/>
    <x v="1"/>
    <x v="3"/>
    <x v="1"/>
    <n v="28593"/>
    <n v="694"/>
    <n v="1096.52"/>
    <n v="7"/>
    <n v="2098"/>
    <n v="2.4271674885461475E-2"/>
    <n v="1.58"/>
    <n v="156.64571428571429"/>
    <n v="1.9133257943311568"/>
  </r>
  <r>
    <x v="173"/>
    <x v="2"/>
    <x v="0"/>
    <x v="1"/>
    <x v="3"/>
    <n v="186845"/>
    <n v="4204"/>
    <n v="7609.24"/>
    <n v="275"/>
    <n v="24004.25"/>
    <n v="2.2499933099628035E-2"/>
    <n v="1.81"/>
    <n v="27.669963636363637"/>
    <n v="3.1546185952867831"/>
  </r>
  <r>
    <x v="6"/>
    <x v="2"/>
    <x v="0"/>
    <x v="0"/>
    <x v="2"/>
    <n v="25930"/>
    <n v="609"/>
    <n v="334.95"/>
    <n v="7"/>
    <n v="509.29"/>
    <n v="2.3486309294253761E-2"/>
    <n v="0.54999999999999993"/>
    <n v="47.85"/>
    <n v="1.5204955963576654"/>
  </r>
  <r>
    <x v="89"/>
    <x v="0"/>
    <x v="3"/>
    <x v="0"/>
    <x v="0"/>
    <n v="114914"/>
    <n v="3803"/>
    <n v="10230.07"/>
    <n v="224"/>
    <n v="67007.759999999995"/>
    <n v="3.3094314008736969E-2"/>
    <n v="2.69"/>
    <n v="45.669955357142854"/>
    <n v="6.550078347459988"/>
  </r>
  <r>
    <x v="73"/>
    <x v="0"/>
    <x v="3"/>
    <x v="1"/>
    <x v="6"/>
    <n v="34652"/>
    <n v="866"/>
    <n v="1359.62"/>
    <n v="43"/>
    <n v="2728.57"/>
    <n v="2.4991342491053909E-2"/>
    <n v="1.5699999999999998"/>
    <n v="31.619069767441857"/>
    <n v="2.0068622115002723"/>
  </r>
  <r>
    <x v="328"/>
    <x v="0"/>
    <x v="3"/>
    <x v="1"/>
    <x v="5"/>
    <n v="136585"/>
    <n v="5668"/>
    <n v="16380.52"/>
    <n v="120"/>
    <n v="20065.189999999999"/>
    <n v="4.1497968298129372E-2"/>
    <n v="2.89"/>
    <n v="136.50433333333334"/>
    <n v="1.2249421874275053"/>
  </r>
  <r>
    <x v="268"/>
    <x v="0"/>
    <x v="3"/>
    <x v="2"/>
    <x v="4"/>
    <n v="192822"/>
    <n v="6228"/>
    <n v="20863.8"/>
    <n v="87"/>
    <n v="18207.05"/>
    <n v="3.2299218968789865E-2"/>
    <n v="3.35"/>
    <n v="239.81379310344826"/>
    <n v="0.87266221877126893"/>
  </r>
  <r>
    <x v="19"/>
    <x v="0"/>
    <x v="0"/>
    <x v="2"/>
    <x v="1"/>
    <n v="63738"/>
    <n v="1306"/>
    <n v="1214.58"/>
    <n v="87"/>
    <n v="16951.52"/>
    <n v="2.0490131475728764E-2"/>
    <n v="0.92999999999999994"/>
    <n v="13.960689655172413"/>
    <n v="13.956692848556704"/>
  </r>
  <r>
    <x v="66"/>
    <x v="0"/>
    <x v="0"/>
    <x v="0"/>
    <x v="5"/>
    <n v="28267"/>
    <n v="1769"/>
    <n v="4581.71"/>
    <n v="33"/>
    <n v="1968.12"/>
    <n v="6.258180917677858E-2"/>
    <n v="2.59"/>
    <n v="138.83969696969697"/>
    <n v="0.42956014239225088"/>
  </r>
  <r>
    <x v="76"/>
    <x v="2"/>
    <x v="3"/>
    <x v="0"/>
    <x v="6"/>
    <n v="42606"/>
    <n v="1495"/>
    <n v="1151.1500000000001"/>
    <n v="96"/>
    <n v="14890.27"/>
    <n v="3.5088954607332301E-2"/>
    <n v="0.77"/>
    <n v="11.991145833333334"/>
    <n v="12.935125743821395"/>
  </r>
  <r>
    <x v="1"/>
    <x v="1"/>
    <x v="3"/>
    <x v="2"/>
    <x v="4"/>
    <n v="120409"/>
    <n v="8356"/>
    <n v="8021.76"/>
    <n v="663"/>
    <n v="50787.7"/>
    <n v="6.9396805886603158E-2"/>
    <n v="0.96000000000000008"/>
    <n v="12.099185520361992"/>
    <n v="6.331241523057284"/>
  </r>
  <r>
    <x v="356"/>
    <x v="1"/>
    <x v="3"/>
    <x v="1"/>
    <x v="3"/>
    <n v="120210"/>
    <n v="6455"/>
    <n v="11489.9"/>
    <n v="289"/>
    <n v="23286.47"/>
    <n v="5.3697695699193082E-2"/>
    <n v="1.78"/>
    <n v="39.757439446366782"/>
    <n v="2.0266903976535917"/>
  </r>
  <r>
    <x v="235"/>
    <x v="2"/>
    <x v="0"/>
    <x v="2"/>
    <x v="0"/>
    <n v="96360"/>
    <n v="3247"/>
    <n v="1396.21"/>
    <n v="211"/>
    <n v="50567.51"/>
    <n v="3.3696554586965549E-2"/>
    <n v="0.43"/>
    <n v="6.6171090047393371"/>
    <n v="36.217696478323461"/>
  </r>
  <r>
    <x v="10"/>
    <x v="1"/>
    <x v="2"/>
    <x v="1"/>
    <x v="4"/>
    <n v="186006"/>
    <n v="9002"/>
    <n v="13683.04"/>
    <n v="266"/>
    <n v="31194.26"/>
    <n v="4.8396288291775537E-2"/>
    <n v="1.52"/>
    <n v="51.440000000000005"/>
    <n v="2.2797755469544776"/>
  </r>
  <r>
    <x v="35"/>
    <x v="0"/>
    <x v="2"/>
    <x v="4"/>
    <x v="3"/>
    <n v="34036"/>
    <n v="2086"/>
    <n v="7196.7"/>
    <n v="110"/>
    <n v="21503.08"/>
    <n v="6.1288047949230227E-2"/>
    <n v="3.4499999999999997"/>
    <n v="65.424545454545452"/>
    <n v="2.9879083468812095"/>
  </r>
  <r>
    <x v="280"/>
    <x v="1"/>
    <x v="2"/>
    <x v="3"/>
    <x v="2"/>
    <n v="116709"/>
    <n v="6640"/>
    <n v="13080.8"/>
    <n v="304"/>
    <n v="83458.179999999993"/>
    <n v="5.6893641450102395E-2"/>
    <n v="1.97"/>
    <n v="43.028947368421051"/>
    <n v="6.3802045746437521"/>
  </r>
  <r>
    <x v="48"/>
    <x v="2"/>
    <x v="2"/>
    <x v="1"/>
    <x v="1"/>
    <n v="98276"/>
    <n v="2368"/>
    <n v="3338.88"/>
    <n v="115"/>
    <n v="21637.86"/>
    <n v="2.4095404778379258E-2"/>
    <n v="1.4100000000000001"/>
    <n v="29.033739130434782"/>
    <n v="6.4805743243243246"/>
  </r>
  <r>
    <x v="344"/>
    <x v="0"/>
    <x v="2"/>
    <x v="1"/>
    <x v="1"/>
    <n v="162353"/>
    <n v="3977"/>
    <n v="5766.65"/>
    <n v="57"/>
    <n v="15175.48"/>
    <n v="2.4496005617389269E-2"/>
    <n v="1.45"/>
    <n v="101.16929824561403"/>
    <n v="2.631593732929864"/>
  </r>
  <r>
    <x v="269"/>
    <x v="2"/>
    <x v="0"/>
    <x v="3"/>
    <x v="1"/>
    <n v="129790"/>
    <n v="5697"/>
    <n v="2962.44"/>
    <n v="223"/>
    <n v="58627.34"/>
    <n v="4.3893982587256339E-2"/>
    <n v="0.52"/>
    <n v="13.284484304932736"/>
    <n v="19.790220223869511"/>
  </r>
  <r>
    <x v="327"/>
    <x v="0"/>
    <x v="1"/>
    <x v="2"/>
    <x v="5"/>
    <n v="184982"/>
    <n v="4772"/>
    <n v="14697.76"/>
    <n v="141"/>
    <n v="26098.46"/>
    <n v="2.5797104583148631E-2"/>
    <n v="3.08"/>
    <n v="104.23943262411348"/>
    <n v="1.7756760213801286"/>
  </r>
  <r>
    <x v="41"/>
    <x v="0"/>
    <x v="0"/>
    <x v="0"/>
    <x v="1"/>
    <n v="166673"/>
    <n v="4733"/>
    <n v="3975.72"/>
    <n v="336"/>
    <n v="98987.51"/>
    <n v="2.8396920917005155E-2"/>
    <n v="0.84"/>
    <n v="11.8325"/>
    <n v="24.898008411055105"/>
  </r>
  <r>
    <x v="48"/>
    <x v="0"/>
    <x v="1"/>
    <x v="1"/>
    <x v="0"/>
    <n v="109148"/>
    <n v="3951"/>
    <n v="7072.29"/>
    <n v="249"/>
    <n v="56329.34"/>
    <n v="3.6198556088980101E-2"/>
    <n v="1.79"/>
    <n v="28.402771084337349"/>
    <n v="7.9647949956803235"/>
  </r>
  <r>
    <x v="25"/>
    <x v="0"/>
    <x v="1"/>
    <x v="1"/>
    <x v="2"/>
    <n v="173700"/>
    <n v="7208"/>
    <n v="16506.32"/>
    <n v="178"/>
    <n v="32171.360000000001"/>
    <n v="4.1496833621185954E-2"/>
    <n v="2.29"/>
    <n v="92.732134831460669"/>
    <n v="1.9490328552942147"/>
  </r>
  <r>
    <x v="43"/>
    <x v="2"/>
    <x v="1"/>
    <x v="1"/>
    <x v="0"/>
    <n v="173001"/>
    <n v="3477"/>
    <n v="3303.15"/>
    <n v="51"/>
    <n v="11186.61"/>
    <n v="2.0098149721677911E-2"/>
    <n v="0.95000000000000007"/>
    <n v="64.767647058823528"/>
    <n v="3.3866491076699514"/>
  </r>
  <r>
    <x v="207"/>
    <x v="2"/>
    <x v="0"/>
    <x v="0"/>
    <x v="1"/>
    <n v="56534"/>
    <n v="1079"/>
    <n v="647.4"/>
    <n v="27"/>
    <n v="4508.3900000000003"/>
    <n v="1.9085859836558531E-2"/>
    <n v="0.6"/>
    <n v="23.977777777777778"/>
    <n v="6.9638399752857589"/>
  </r>
  <r>
    <x v="91"/>
    <x v="0"/>
    <x v="0"/>
    <x v="2"/>
    <x v="6"/>
    <n v="58520"/>
    <n v="3604"/>
    <n v="5333.92"/>
    <n v="265"/>
    <n v="78186.23"/>
    <n v="6.1585782638414216E-2"/>
    <n v="1.48"/>
    <n v="20.128"/>
    <n v="14.658305711371748"/>
  </r>
  <r>
    <x v="99"/>
    <x v="0"/>
    <x v="1"/>
    <x v="2"/>
    <x v="4"/>
    <n v="111071"/>
    <n v="2865"/>
    <n v="8107.95"/>
    <n v="39"/>
    <n v="8971.2800000000007"/>
    <n v="2.57943117465405E-2"/>
    <n v="2.83"/>
    <n v="207.89615384615385"/>
    <n v="1.1064794430158056"/>
  </r>
  <r>
    <x v="67"/>
    <x v="0"/>
    <x v="2"/>
    <x v="3"/>
    <x v="5"/>
    <n v="153750"/>
    <n v="4920"/>
    <n v="14661.6"/>
    <n v="117"/>
    <n v="30000.6"/>
    <n v="3.2000000000000001E-2"/>
    <n v="2.98"/>
    <n v="125.31282051282052"/>
    <n v="2.0462023244393515"/>
  </r>
  <r>
    <x v="255"/>
    <x v="2"/>
    <x v="3"/>
    <x v="3"/>
    <x v="2"/>
    <n v="108717"/>
    <n v="1435"/>
    <n v="2511.25"/>
    <n v="108"/>
    <n v="22074.54"/>
    <n v="1.3199407636340223E-2"/>
    <n v="1.75"/>
    <n v="23.252314814814813"/>
    <n v="8.790259830761574"/>
  </r>
  <r>
    <x v="55"/>
    <x v="0"/>
    <x v="2"/>
    <x v="4"/>
    <x v="5"/>
    <n v="141455"/>
    <n v="2673"/>
    <n v="7537.86"/>
    <n v="122"/>
    <n v="19810.32"/>
    <n v="1.8896468841681099E-2"/>
    <n v="2.82"/>
    <n v="61.785737704918027"/>
    <n v="2.6281093042322357"/>
  </r>
  <r>
    <x v="46"/>
    <x v="2"/>
    <x v="0"/>
    <x v="2"/>
    <x v="2"/>
    <n v="158742"/>
    <n v="5778"/>
    <n v="12538.26"/>
    <n v="388"/>
    <n v="68610.11"/>
    <n v="3.6398684658124507E-2"/>
    <n v="2.17"/>
    <n v="32.315103092783502"/>
    <n v="5.4720599189999248"/>
  </r>
  <r>
    <x v="244"/>
    <x v="2"/>
    <x v="0"/>
    <x v="4"/>
    <x v="3"/>
    <n v="26845"/>
    <n v="528"/>
    <n v="1098.24"/>
    <n v="11"/>
    <n v="1590.52"/>
    <n v="1.9668467126094245E-2"/>
    <n v="2.08"/>
    <n v="99.84"/>
    <n v="1.4482444638694638"/>
  </r>
  <r>
    <x v="325"/>
    <x v="0"/>
    <x v="1"/>
    <x v="0"/>
    <x v="2"/>
    <n v="92332"/>
    <n v="5336"/>
    <n v="5015.84"/>
    <n v="213"/>
    <n v="39347.29"/>
    <n v="5.7791448251960316E-2"/>
    <n v="0.94000000000000006"/>
    <n v="23.548544600938968"/>
    <n v="7.8446062872818914"/>
  </r>
  <r>
    <x v="24"/>
    <x v="0"/>
    <x v="0"/>
    <x v="4"/>
    <x v="5"/>
    <n v="90953"/>
    <n v="4365"/>
    <n v="13269.6"/>
    <n v="73"/>
    <n v="19836.75"/>
    <n v="4.7991819950963688E-2"/>
    <n v="3.04"/>
    <n v="181.77534246575343"/>
    <n v="1.4949018809911376"/>
  </r>
  <r>
    <x v="273"/>
    <x v="2"/>
    <x v="2"/>
    <x v="3"/>
    <x v="4"/>
    <n v="15047"/>
    <n v="368"/>
    <n v="390.08"/>
    <n v="27"/>
    <n v="6244.19"/>
    <n v="2.4456702332690903E-2"/>
    <n v="1.06"/>
    <n v="14.447407407407407"/>
    <n v="16.007460008203445"/>
  </r>
  <r>
    <x v="337"/>
    <x v="0"/>
    <x v="0"/>
    <x v="2"/>
    <x v="0"/>
    <n v="57632"/>
    <n v="1256"/>
    <n v="2198"/>
    <n v="20"/>
    <n v="1647.61"/>
    <n v="2.1793448084397558E-2"/>
    <n v="1.75"/>
    <n v="109.9"/>
    <n v="0.74959508644222017"/>
  </r>
  <r>
    <x v="113"/>
    <x v="1"/>
    <x v="2"/>
    <x v="1"/>
    <x v="0"/>
    <n v="193568"/>
    <n v="12659"/>
    <n v="15697.16"/>
    <n v="366"/>
    <n v="17585.84"/>
    <n v="6.539820631509341E-2"/>
    <n v="1.24"/>
    <n v="42.888415300546448"/>
    <n v="1.120319854037291"/>
  </r>
  <r>
    <x v="95"/>
    <x v="0"/>
    <x v="1"/>
    <x v="3"/>
    <x v="3"/>
    <n v="30343"/>
    <n v="743"/>
    <n v="2266.15"/>
    <n v="39"/>
    <n v="7450.31"/>
    <n v="2.4486702040009228E-2"/>
    <n v="3.0500000000000003"/>
    <n v="58.106410256410257"/>
    <n v="3.2876508615934514"/>
  </r>
  <r>
    <x v="75"/>
    <x v="2"/>
    <x v="3"/>
    <x v="3"/>
    <x v="3"/>
    <n v="6903"/>
    <n v="225"/>
    <n v="432"/>
    <n v="7"/>
    <n v="513.46"/>
    <n v="3.259452411994785E-2"/>
    <n v="1.92"/>
    <n v="61.714285714285715"/>
    <n v="1.1885648148148149"/>
  </r>
  <r>
    <x v="106"/>
    <x v="1"/>
    <x v="3"/>
    <x v="3"/>
    <x v="2"/>
    <n v="194291"/>
    <n v="9248"/>
    <n v="9987.84"/>
    <n v="669"/>
    <n v="34771.85"/>
    <n v="4.7598705035230657E-2"/>
    <n v="1.08"/>
    <n v="14.929506726457399"/>
    <n v="3.4814184047802126"/>
  </r>
  <r>
    <x v="250"/>
    <x v="2"/>
    <x v="2"/>
    <x v="2"/>
    <x v="5"/>
    <n v="25704"/>
    <n v="616"/>
    <n v="616"/>
    <n v="18"/>
    <n v="2381.36"/>
    <n v="2.3965141612200435E-2"/>
    <n v="1"/>
    <n v="34.222222222222221"/>
    <n v="3.8658441558441559"/>
  </r>
  <r>
    <x v="213"/>
    <x v="0"/>
    <x v="3"/>
    <x v="2"/>
    <x v="3"/>
    <n v="18696"/>
    <n v="327"/>
    <n v="853.47"/>
    <n v="8"/>
    <n v="1284.99"/>
    <n v="1.7490372272143773E-2"/>
    <n v="2.61"/>
    <n v="106.68375"/>
    <n v="1.5056065239551477"/>
  </r>
  <r>
    <x v="313"/>
    <x v="2"/>
    <x v="1"/>
    <x v="1"/>
    <x v="1"/>
    <n v="165408"/>
    <n v="1670"/>
    <n v="2171"/>
    <n v="80"/>
    <n v="9561"/>
    <n v="1.0096246856258463E-2"/>
    <n v="1.3"/>
    <n v="27.137499999999999"/>
    <n v="4.4039613081529252"/>
  </r>
  <r>
    <x v="219"/>
    <x v="0"/>
    <x v="0"/>
    <x v="4"/>
    <x v="6"/>
    <n v="191372"/>
    <n v="11711"/>
    <n v="29043.279999999999"/>
    <n v="335"/>
    <n v="75028.42"/>
    <n v="6.1194950149447147E-2"/>
    <n v="2.48"/>
    <n v="86.696358208955218"/>
    <n v="2.5833314969934524"/>
  </r>
  <r>
    <x v="82"/>
    <x v="2"/>
    <x v="3"/>
    <x v="1"/>
    <x v="2"/>
    <n v="71247"/>
    <n v="1888"/>
    <n v="887.36"/>
    <n v="57"/>
    <n v="9045.86"/>
    <n v="2.6499361376619367E-2"/>
    <n v="0.47000000000000003"/>
    <n v="15.567719298245613"/>
    <n v="10.194126397403535"/>
  </r>
  <r>
    <x v="88"/>
    <x v="1"/>
    <x v="0"/>
    <x v="0"/>
    <x v="0"/>
    <n v="132294"/>
    <n v="7527"/>
    <n v="6774.3"/>
    <n v="262"/>
    <n v="50030.33"/>
    <n v="5.6896004353938955E-2"/>
    <n v="0.9"/>
    <n v="25.856106870229009"/>
    <n v="7.3853136117384821"/>
  </r>
  <r>
    <x v="320"/>
    <x v="1"/>
    <x v="3"/>
    <x v="4"/>
    <x v="3"/>
    <n v="66086"/>
    <n v="3317"/>
    <n v="1094.6099999999999"/>
    <n v="206"/>
    <n v="51119.73"/>
    <n v="5.0192173834094966E-2"/>
    <n v="0.32999999999999996"/>
    <n v="5.313640776699029"/>
    <n v="46.701318277742764"/>
  </r>
  <r>
    <x v="162"/>
    <x v="0"/>
    <x v="0"/>
    <x v="2"/>
    <x v="1"/>
    <n v="186232"/>
    <n v="9292"/>
    <n v="22300.799999999999"/>
    <n v="265"/>
    <n v="67766.02"/>
    <n v="4.9894754929335455E-2"/>
    <n v="2.4"/>
    <n v="84.153962264150934"/>
    <n v="3.0387259649878033"/>
  </r>
  <r>
    <x v="17"/>
    <x v="1"/>
    <x v="2"/>
    <x v="2"/>
    <x v="5"/>
    <n v="145225"/>
    <n v="5562"/>
    <n v="4672.08"/>
    <n v="378"/>
    <n v="102053.93"/>
    <n v="3.8299190910655881E-2"/>
    <n v="0.84"/>
    <n v="12.36"/>
    <n v="21.843360986969401"/>
  </r>
  <r>
    <x v="158"/>
    <x v="0"/>
    <x v="0"/>
    <x v="3"/>
    <x v="3"/>
    <n v="15470"/>
    <n v="529"/>
    <n v="634.79999999999995"/>
    <n v="5"/>
    <n v="1223.76"/>
    <n v="3.4195216548157728E-2"/>
    <n v="1.2"/>
    <n v="126.96"/>
    <n v="1.9277882797731569"/>
  </r>
  <r>
    <x v="7"/>
    <x v="0"/>
    <x v="3"/>
    <x v="2"/>
    <x v="6"/>
    <n v="91814"/>
    <n v="2607"/>
    <n v="6465.36"/>
    <n v="129"/>
    <n v="25405.84"/>
    <n v="2.8394362515520508E-2"/>
    <n v="2.48"/>
    <n v="50.119069767441857"/>
    <n v="3.9295321528886253"/>
  </r>
  <r>
    <x v="229"/>
    <x v="0"/>
    <x v="3"/>
    <x v="1"/>
    <x v="6"/>
    <n v="96087"/>
    <n v="3238"/>
    <n v="9843.52"/>
    <n v="45"/>
    <n v="7783"/>
    <n v="3.3698627285689009E-2"/>
    <n v="3.04"/>
    <n v="218.74488888888891"/>
    <n v="0.79067244237833612"/>
  </r>
  <r>
    <x v="287"/>
    <x v="0"/>
    <x v="2"/>
    <x v="0"/>
    <x v="3"/>
    <n v="92943"/>
    <n v="5037"/>
    <n v="11383.62"/>
    <n v="232"/>
    <n v="64994.16"/>
    <n v="5.4194506310319225E-2"/>
    <n v="2.2600000000000002"/>
    <n v="49.0673275862069"/>
    <n v="5.709445677209886"/>
  </r>
  <r>
    <x v="346"/>
    <x v="2"/>
    <x v="3"/>
    <x v="3"/>
    <x v="5"/>
    <n v="36411"/>
    <n v="873"/>
    <n v="1772.19"/>
    <n v="47"/>
    <n v="13565.96"/>
    <n v="2.3976270907143445E-2"/>
    <n v="2.0300000000000002"/>
    <n v="37.706170212765961"/>
    <n v="7.6549128479451971"/>
  </r>
  <r>
    <x v="190"/>
    <x v="2"/>
    <x v="1"/>
    <x v="1"/>
    <x v="2"/>
    <n v="145170"/>
    <n v="4688"/>
    <n v="8204"/>
    <n v="106"/>
    <n v="30413.14"/>
    <n v="3.2293173520699867E-2"/>
    <n v="1.75"/>
    <n v="77.396226415094333"/>
    <n v="3.7071111652852267"/>
  </r>
  <r>
    <x v="283"/>
    <x v="0"/>
    <x v="1"/>
    <x v="4"/>
    <x v="3"/>
    <n v="146428"/>
    <n v="2796"/>
    <n v="6263.04"/>
    <n v="164"/>
    <n v="33829.22"/>
    <n v="1.9094708662277707E-2"/>
    <n v="2.2399999999999998"/>
    <n v="38.189268292682925"/>
    <n v="5.4014057071326391"/>
  </r>
  <r>
    <x v="137"/>
    <x v="0"/>
    <x v="0"/>
    <x v="0"/>
    <x v="3"/>
    <n v="151772"/>
    <n v="6237"/>
    <n v="6361.74"/>
    <n v="302"/>
    <n v="77929.210000000006"/>
    <n v="4.109453654165459E-2"/>
    <n v="1.02"/>
    <n v="21.065364238410595"/>
    <n v="12.249669115682188"/>
  </r>
  <r>
    <x v="93"/>
    <x v="1"/>
    <x v="0"/>
    <x v="4"/>
    <x v="2"/>
    <n v="179561"/>
    <n v="8600"/>
    <n v="12384"/>
    <n v="212"/>
    <n v="34386.07"/>
    <n v="4.7894587354715114E-2"/>
    <n v="1.44"/>
    <n v="58.415094339622641"/>
    <n v="2.7766529392764858"/>
  </r>
  <r>
    <x v="11"/>
    <x v="0"/>
    <x v="0"/>
    <x v="1"/>
    <x v="0"/>
    <n v="100381"/>
    <n v="5691"/>
    <n v="4723.53"/>
    <n v="321"/>
    <n v="58283.85"/>
    <n v="5.6693995875713533E-2"/>
    <n v="0.83"/>
    <n v="14.715046728971961"/>
    <n v="12.33904516325714"/>
  </r>
  <r>
    <x v="162"/>
    <x v="1"/>
    <x v="3"/>
    <x v="4"/>
    <x v="5"/>
    <n v="180552"/>
    <n v="6030"/>
    <n v="10251"/>
    <n v="383"/>
    <n v="23539.41"/>
    <n v="3.3397580752359428E-2"/>
    <n v="1.7"/>
    <n v="26.765013054830288"/>
    <n v="2.2963037752414399"/>
  </r>
  <r>
    <x v="247"/>
    <x v="1"/>
    <x v="3"/>
    <x v="1"/>
    <x v="2"/>
    <n v="163328"/>
    <n v="4981"/>
    <n v="6027.01"/>
    <n v="142"/>
    <n v="21158.33"/>
    <n v="3.0496914184952977E-2"/>
    <n v="1.21"/>
    <n v="42.443732394366201"/>
    <n v="3.5105848505311923"/>
  </r>
  <r>
    <x v="173"/>
    <x v="1"/>
    <x v="3"/>
    <x v="1"/>
    <x v="2"/>
    <n v="93635"/>
    <n v="4363"/>
    <n v="5933.68"/>
    <n v="117"/>
    <n v="29999.39"/>
    <n v="4.65958242110322E-2"/>
    <n v="1.36"/>
    <n v="50.715213675213676"/>
    <n v="5.0557815723126289"/>
  </r>
  <r>
    <x v="320"/>
    <x v="0"/>
    <x v="3"/>
    <x v="3"/>
    <x v="0"/>
    <n v="133526"/>
    <n v="4633"/>
    <n v="14223.31"/>
    <n v="340"/>
    <n v="62193.85"/>
    <n v="3.4697362311459944E-2"/>
    <n v="3.07"/>
    <n v="41.83326470588235"/>
    <n v="4.3726706371442372"/>
  </r>
  <r>
    <x v="314"/>
    <x v="1"/>
    <x v="1"/>
    <x v="4"/>
    <x v="4"/>
    <n v="48475"/>
    <n v="3160"/>
    <n v="2401.6"/>
    <n v="124"/>
    <n v="19990.89"/>
    <n v="6.5188241361526567E-2"/>
    <n v="0.76"/>
    <n v="19.36774193548387"/>
    <n v="8.3239881745502995"/>
  </r>
  <r>
    <x v="9"/>
    <x v="1"/>
    <x v="1"/>
    <x v="0"/>
    <x v="5"/>
    <n v="195722"/>
    <n v="12624"/>
    <n v="25374.240000000002"/>
    <n v="755"/>
    <n v="129016.77"/>
    <n v="6.4499647459151252E-2"/>
    <n v="2.0100000000000002"/>
    <n v="33.608264900662256"/>
    <n v="5.0845570153037096"/>
  </r>
  <r>
    <x v="356"/>
    <x v="0"/>
    <x v="0"/>
    <x v="2"/>
    <x v="1"/>
    <n v="106277"/>
    <n v="6961"/>
    <n v="20604.560000000001"/>
    <n v="180"/>
    <n v="42397.440000000002"/>
    <n v="6.5498649754885813E-2"/>
    <n v="2.9600000000000004"/>
    <n v="114.46977777777778"/>
    <n v="2.0576726705156529"/>
  </r>
  <r>
    <x v="1"/>
    <x v="0"/>
    <x v="2"/>
    <x v="0"/>
    <x v="6"/>
    <n v="153953"/>
    <n v="5095"/>
    <n v="14571.7"/>
    <n v="110"/>
    <n v="30634.7"/>
    <n v="3.3094515858736108E-2"/>
    <n v="2.8600000000000003"/>
    <n v="132.47"/>
    <n v="2.1023422112725352"/>
  </r>
  <r>
    <x v="154"/>
    <x v="2"/>
    <x v="1"/>
    <x v="2"/>
    <x v="3"/>
    <n v="142135"/>
    <n v="2387"/>
    <n v="4583.04"/>
    <n v="98"/>
    <n v="25385.35"/>
    <n v="1.6793893129770993E-2"/>
    <n v="1.92"/>
    <n v="46.765714285714289"/>
    <n v="5.5389763126658282"/>
  </r>
  <r>
    <x v="116"/>
    <x v="0"/>
    <x v="2"/>
    <x v="1"/>
    <x v="4"/>
    <n v="107891"/>
    <n v="3733"/>
    <n v="8623.23"/>
    <n v="148"/>
    <n v="15202.91"/>
    <n v="3.4599734917648367E-2"/>
    <n v="2.31"/>
    <n v="58.265067567567563"/>
    <n v="1.7630180338457864"/>
  </r>
  <r>
    <x v="351"/>
    <x v="1"/>
    <x v="1"/>
    <x v="3"/>
    <x v="2"/>
    <n v="191380"/>
    <n v="8171"/>
    <n v="4085.5"/>
    <n v="572"/>
    <n v="155778.92000000001"/>
    <n v="4.2695161458877626E-2"/>
    <n v="0.5"/>
    <n v="7.1424825174825175"/>
    <n v="38.129707502141727"/>
  </r>
  <r>
    <x v="193"/>
    <x v="2"/>
    <x v="0"/>
    <x v="2"/>
    <x v="1"/>
    <n v="123372"/>
    <n v="3355"/>
    <n v="7716.5"/>
    <n v="224"/>
    <n v="57352.38"/>
    <n v="2.7194176960736633E-2"/>
    <n v="2.2999999999999998"/>
    <n v="34.448660714285715"/>
    <n v="7.4324343938314001"/>
  </r>
  <r>
    <x v="112"/>
    <x v="0"/>
    <x v="0"/>
    <x v="4"/>
    <x v="0"/>
    <n v="104464"/>
    <n v="4314"/>
    <n v="9749.64"/>
    <n v="82"/>
    <n v="10226.11"/>
    <n v="4.1296523204166026E-2"/>
    <n v="2.2599999999999998"/>
    <n v="118.8980487804878"/>
    <n v="1.0488705223987758"/>
  </r>
  <r>
    <x v="173"/>
    <x v="0"/>
    <x v="1"/>
    <x v="3"/>
    <x v="1"/>
    <n v="113502"/>
    <n v="2235"/>
    <n v="2704.35"/>
    <n v="34"/>
    <n v="6126.9"/>
    <n v="1.9691282972987261E-2"/>
    <n v="1.21"/>
    <n v="79.539705882352933"/>
    <n v="2.2655721337844583"/>
  </r>
  <r>
    <x v="350"/>
    <x v="0"/>
    <x v="2"/>
    <x v="2"/>
    <x v="6"/>
    <n v="95196"/>
    <n v="3170"/>
    <n v="3328.5"/>
    <n v="170"/>
    <n v="13047.52"/>
    <n v="3.3299718475566203E-2"/>
    <n v="1.05"/>
    <n v="19.579411764705881"/>
    <n v="3.9199399128736672"/>
  </r>
  <r>
    <x v="232"/>
    <x v="0"/>
    <x v="3"/>
    <x v="2"/>
    <x v="1"/>
    <n v="86362"/>
    <n v="2547"/>
    <n v="3591.27"/>
    <n v="164"/>
    <n v="33307.300000000003"/>
    <n v="2.9492137745767814E-2"/>
    <n v="1.41"/>
    <n v="21.897987804878049"/>
    <n v="9.2745184851041564"/>
  </r>
  <r>
    <x v="192"/>
    <x v="0"/>
    <x v="0"/>
    <x v="4"/>
    <x v="2"/>
    <n v="78532"/>
    <n v="4735"/>
    <n v="13352.7"/>
    <n v="310"/>
    <n v="45765.16"/>
    <n v="6.0293892935363927E-2"/>
    <n v="2.8200000000000003"/>
    <n v="43.073225806451617"/>
    <n v="3.4274086888794026"/>
  </r>
  <r>
    <x v="289"/>
    <x v="0"/>
    <x v="2"/>
    <x v="2"/>
    <x v="4"/>
    <n v="184081"/>
    <n v="5135"/>
    <n v="11194.3"/>
    <n v="96"/>
    <n v="24545.05"/>
    <n v="2.7895328686828081E-2"/>
    <n v="2.1799999999999997"/>
    <n v="116.60729166666665"/>
    <n v="2.1926382176643471"/>
  </r>
  <r>
    <x v="105"/>
    <x v="2"/>
    <x v="3"/>
    <x v="2"/>
    <x v="4"/>
    <n v="93966"/>
    <n v="2104"/>
    <n v="2040.88"/>
    <n v="157"/>
    <n v="6975.9"/>
    <n v="2.2391077623821382E-2"/>
    <n v="0.97000000000000008"/>
    <n v="12.99923566878981"/>
    <n v="3.4180843557680998"/>
  </r>
  <r>
    <x v="353"/>
    <x v="0"/>
    <x v="1"/>
    <x v="3"/>
    <x v="0"/>
    <n v="28667"/>
    <n v="1338"/>
    <n v="3880.2"/>
    <n v="24"/>
    <n v="3421.56"/>
    <n v="4.6673875885164126E-2"/>
    <n v="2.9"/>
    <n v="161.67499999999998"/>
    <n v="0.88179990722127732"/>
  </r>
  <r>
    <x v="0"/>
    <x v="0"/>
    <x v="3"/>
    <x v="2"/>
    <x v="6"/>
    <n v="154239"/>
    <n v="7465"/>
    <n v="23888"/>
    <n v="484"/>
    <n v="25632.04"/>
    <n v="4.8398913374697712E-2"/>
    <n v="3.2"/>
    <n v="49.355371900826448"/>
    <n v="1.0730090421969189"/>
  </r>
  <r>
    <x v="7"/>
    <x v="2"/>
    <x v="1"/>
    <x v="0"/>
    <x v="0"/>
    <n v="103576"/>
    <n v="1263"/>
    <n v="593.61"/>
    <n v="22"/>
    <n v="5190.25"/>
    <n v="1.2193944543137407E-2"/>
    <n v="0.47000000000000003"/>
    <n v="26.982272727272729"/>
    <n v="8.7435353178012498"/>
  </r>
  <r>
    <x v="136"/>
    <x v="1"/>
    <x v="1"/>
    <x v="1"/>
    <x v="5"/>
    <n v="111154"/>
    <n v="5124"/>
    <n v="4560.3599999999997"/>
    <n v="368"/>
    <n v="82164.399999999994"/>
    <n v="4.6098206092448316E-2"/>
    <n v="0.8899999999999999"/>
    <n v="12.392282608695652"/>
    <n v="18.017086370374269"/>
  </r>
  <r>
    <x v="113"/>
    <x v="0"/>
    <x v="0"/>
    <x v="4"/>
    <x v="2"/>
    <n v="104456"/>
    <n v="6403"/>
    <n v="13510.33"/>
    <n v="440"/>
    <n v="111130.68"/>
    <n v="6.1298537183120165E-2"/>
    <n v="2.11"/>
    <n v="30.705295454545453"/>
    <n v="8.2256081087582604"/>
  </r>
  <r>
    <x v="120"/>
    <x v="2"/>
    <x v="3"/>
    <x v="3"/>
    <x v="0"/>
    <n v="173307"/>
    <n v="3292"/>
    <n v="3390.76"/>
    <n v="74"/>
    <n v="21574.44"/>
    <n v="1.8995193500551046E-2"/>
    <n v="1.03"/>
    <n v="45.821081081081083"/>
    <n v="6.362715143507649"/>
  </r>
  <r>
    <x v="194"/>
    <x v="0"/>
    <x v="3"/>
    <x v="0"/>
    <x v="6"/>
    <n v="197459"/>
    <n v="5667"/>
    <n v="20174.52"/>
    <n v="105"/>
    <n v="17723.39"/>
    <n v="2.8699628783696869E-2"/>
    <n v="3.56"/>
    <n v="192.13828571428573"/>
    <n v="0.87850367691523756"/>
  </r>
  <r>
    <x v="218"/>
    <x v="1"/>
    <x v="1"/>
    <x v="1"/>
    <x v="1"/>
    <n v="154676"/>
    <n v="5970"/>
    <n v="6507.3"/>
    <n v="107"/>
    <n v="14099.39"/>
    <n v="3.8596808813261267E-2"/>
    <n v="1.0900000000000001"/>
    <n v="60.815887850467291"/>
    <n v="2.1667035483226527"/>
  </r>
  <r>
    <x v="282"/>
    <x v="2"/>
    <x v="1"/>
    <x v="0"/>
    <x v="5"/>
    <n v="138528"/>
    <n v="3698"/>
    <n v="8394.4599999999991"/>
    <n v="264"/>
    <n v="34788.99"/>
    <n v="2.6694964194964196E-2"/>
    <n v="2.2699999999999996"/>
    <n v="31.797196969696966"/>
    <n v="4.1442796796935122"/>
  </r>
  <r>
    <x v="174"/>
    <x v="0"/>
    <x v="3"/>
    <x v="3"/>
    <x v="4"/>
    <n v="188490"/>
    <n v="6879"/>
    <n v="19536.36"/>
    <n v="279"/>
    <n v="18268.77"/>
    <n v="3.6495304790705077E-2"/>
    <n v="2.8400000000000003"/>
    <n v="70.022795698924739"/>
    <n v="0.93511636763450301"/>
  </r>
  <r>
    <x v="178"/>
    <x v="1"/>
    <x v="3"/>
    <x v="3"/>
    <x v="2"/>
    <n v="155929"/>
    <n v="6408"/>
    <n v="6215.76"/>
    <n v="481"/>
    <n v="51123.92"/>
    <n v="4.1095626855812584E-2"/>
    <n v="0.97000000000000008"/>
    <n v="12.922577962577963"/>
    <n v="8.2248864177510068"/>
  </r>
  <r>
    <x v="213"/>
    <x v="0"/>
    <x v="3"/>
    <x v="1"/>
    <x v="4"/>
    <n v="177220"/>
    <n v="4607"/>
    <n v="10688.24"/>
    <n v="114"/>
    <n v="9297.0300000000007"/>
    <n v="2.59959372531317E-2"/>
    <n v="2.3199999999999998"/>
    <n v="93.756491228070175"/>
    <n v="0.86983731652732355"/>
  </r>
  <r>
    <x v="357"/>
    <x v="2"/>
    <x v="1"/>
    <x v="4"/>
    <x v="4"/>
    <n v="188552"/>
    <n v="6373"/>
    <n v="4142.45"/>
    <n v="129"/>
    <n v="8973.49"/>
    <n v="3.3799694513980232E-2"/>
    <n v="0.65"/>
    <n v="32.112015503875966"/>
    <n v="2.1662277154823837"/>
  </r>
  <r>
    <x v="118"/>
    <x v="0"/>
    <x v="1"/>
    <x v="4"/>
    <x v="4"/>
    <n v="136460"/>
    <n v="4462"/>
    <n v="3926.56"/>
    <n v="322"/>
    <n v="59937.98"/>
    <n v="3.269822658654551E-2"/>
    <n v="0.88"/>
    <n v="12.194285714285714"/>
    <n v="15.264755918666722"/>
  </r>
  <r>
    <x v="358"/>
    <x v="1"/>
    <x v="3"/>
    <x v="2"/>
    <x v="4"/>
    <n v="124614"/>
    <n v="4573"/>
    <n v="1326.17"/>
    <n v="240"/>
    <n v="46988.2"/>
    <n v="3.6697321328261673E-2"/>
    <n v="0.29000000000000004"/>
    <n v="5.5257083333333332"/>
    <n v="35.43150576472096"/>
  </r>
  <r>
    <x v="78"/>
    <x v="2"/>
    <x v="1"/>
    <x v="3"/>
    <x v="5"/>
    <n v="28359"/>
    <n v="612"/>
    <n v="459"/>
    <n v="30"/>
    <n v="6591.07"/>
    <n v="2.1580450650587116E-2"/>
    <n v="0.75"/>
    <n v="15.3"/>
    <n v="14.359629629629628"/>
  </r>
  <r>
    <x v="192"/>
    <x v="2"/>
    <x v="0"/>
    <x v="4"/>
    <x v="2"/>
    <n v="81759"/>
    <n v="1316"/>
    <n v="1184.4000000000001"/>
    <n v="46"/>
    <n v="6171.89"/>
    <n v="1.609608728091097E-2"/>
    <n v="0.9"/>
    <n v="25.747826086956525"/>
    <n v="5.2109844647078685"/>
  </r>
  <r>
    <x v="7"/>
    <x v="2"/>
    <x v="1"/>
    <x v="4"/>
    <x v="3"/>
    <n v="131230"/>
    <n v="2139"/>
    <n v="4769.97"/>
    <n v="105"/>
    <n v="24738.73"/>
    <n v="1.6299626609769108E-2"/>
    <n v="2.23"/>
    <n v="45.428285714285714"/>
    <n v="5.1863491803931678"/>
  </r>
  <r>
    <x v="331"/>
    <x v="1"/>
    <x v="0"/>
    <x v="4"/>
    <x v="4"/>
    <n v="49659"/>
    <n v="2413"/>
    <n v="3498.85"/>
    <n v="191"/>
    <n v="38157.72"/>
    <n v="4.8591393302321838E-2"/>
    <n v="1.45"/>
    <n v="18.318586387434554"/>
    <n v="10.90578904497192"/>
  </r>
  <r>
    <x v="110"/>
    <x v="1"/>
    <x v="3"/>
    <x v="0"/>
    <x v="3"/>
    <n v="103029"/>
    <n v="6830"/>
    <n v="3551.6"/>
    <n v="148"/>
    <n v="14545.74"/>
    <n v="6.6292014869599819E-2"/>
    <n v="0.52"/>
    <n v="23.997297297297298"/>
    <n v="4.0955456695573824"/>
  </r>
  <r>
    <x v="331"/>
    <x v="1"/>
    <x v="2"/>
    <x v="2"/>
    <x v="4"/>
    <n v="52368"/>
    <n v="3351"/>
    <n v="2044.11"/>
    <n v="117"/>
    <n v="12829.28"/>
    <n v="6.3989459211732352E-2"/>
    <n v="0.61"/>
    <n v="17.471025641025641"/>
    <n v="6.2762180117508359"/>
  </r>
  <r>
    <x v="2"/>
    <x v="1"/>
    <x v="1"/>
    <x v="1"/>
    <x v="4"/>
    <n v="144585"/>
    <n v="8357"/>
    <n v="4345.6400000000003"/>
    <n v="412"/>
    <n v="78373.31"/>
    <n v="5.7799910087491788E-2"/>
    <n v="0.52"/>
    <n v="10.547669902912622"/>
    <n v="18.034929262433149"/>
  </r>
  <r>
    <x v="127"/>
    <x v="1"/>
    <x v="2"/>
    <x v="0"/>
    <x v="1"/>
    <n v="40308"/>
    <n v="3853"/>
    <n v="4199.7700000000004"/>
    <n v="291"/>
    <n v="33059.93"/>
    <n v="9.5588964969733056E-2"/>
    <n v="1.0900000000000001"/>
    <n v="14.432199312714777"/>
    <n v="7.8718429818775784"/>
  </r>
  <r>
    <x v="233"/>
    <x v="1"/>
    <x v="0"/>
    <x v="4"/>
    <x v="3"/>
    <n v="43635"/>
    <n v="2469"/>
    <n v="2987.49"/>
    <n v="133"/>
    <n v="19667.27"/>
    <n v="5.6583018219319353E-2"/>
    <n v="1.21"/>
    <n v="22.462330827067667"/>
    <n v="6.583208646723504"/>
  </r>
  <r>
    <x v="233"/>
    <x v="2"/>
    <x v="0"/>
    <x v="1"/>
    <x v="5"/>
    <n v="164074"/>
    <n v="6152"/>
    <n v="5844.4"/>
    <n v="360"/>
    <n v="47241.24"/>
    <n v="3.7495276521569539E-2"/>
    <n v="0.95"/>
    <n v="16.234444444444442"/>
    <n v="8.0831633700636516"/>
  </r>
  <r>
    <x v="14"/>
    <x v="2"/>
    <x v="2"/>
    <x v="2"/>
    <x v="4"/>
    <n v="107300"/>
    <n v="2693"/>
    <n v="1535.01"/>
    <n v="153"/>
    <n v="18121.16"/>
    <n v="2.5097856477166822E-2"/>
    <n v="0.56999999999999995"/>
    <n v="10.032745098039216"/>
    <n v="11.805239053817239"/>
  </r>
  <r>
    <x v="231"/>
    <x v="2"/>
    <x v="3"/>
    <x v="1"/>
    <x v="5"/>
    <n v="177443"/>
    <n v="4400"/>
    <n v="9548"/>
    <n v="231"/>
    <n v="43094.26"/>
    <n v="2.479669527679311E-2"/>
    <n v="2.17"/>
    <n v="41.333333333333336"/>
    <n v="4.5134331797235028"/>
  </r>
  <r>
    <x v="322"/>
    <x v="1"/>
    <x v="2"/>
    <x v="1"/>
    <x v="0"/>
    <n v="141268"/>
    <n v="7402"/>
    <n v="9178.48"/>
    <n v="335"/>
    <n v="31326.97"/>
    <n v="5.2396862700682389E-2"/>
    <n v="1.24"/>
    <n v="27.398447761194028"/>
    <n v="3.4130890953621953"/>
  </r>
  <r>
    <x v="12"/>
    <x v="1"/>
    <x v="3"/>
    <x v="1"/>
    <x v="3"/>
    <n v="145631"/>
    <n v="4194"/>
    <n v="3522.96"/>
    <n v="59"/>
    <n v="15427.34"/>
    <n v="2.8798813439446271E-2"/>
    <n v="0.84"/>
    <n v="59.71118644067797"/>
    <n v="4.379084633376479"/>
  </r>
  <r>
    <x v="134"/>
    <x v="1"/>
    <x v="0"/>
    <x v="1"/>
    <x v="4"/>
    <n v="191041"/>
    <n v="7393"/>
    <n v="3918.29"/>
    <n v="446"/>
    <n v="15789.02"/>
    <n v="3.8698499275024729E-2"/>
    <n v="0.53"/>
    <n v="8.7854035874439464"/>
    <n v="4.0295690211801576"/>
  </r>
  <r>
    <x v="9"/>
    <x v="1"/>
    <x v="1"/>
    <x v="2"/>
    <x v="1"/>
    <n v="72145"/>
    <n v="3058"/>
    <n v="2354.66"/>
    <n v="78"/>
    <n v="7543.67"/>
    <n v="4.2386859796243674E-2"/>
    <n v="0.76999999999999991"/>
    <n v="30.187948717948718"/>
    <n v="3.2037194329542271"/>
  </r>
  <r>
    <x v="318"/>
    <x v="2"/>
    <x v="1"/>
    <x v="3"/>
    <x v="0"/>
    <n v="113447"/>
    <n v="1826"/>
    <n v="3158.98"/>
    <n v="24"/>
    <n v="4477.79"/>
    <n v="1.6095621744074324E-2"/>
    <n v="1.73"/>
    <n v="131.62416666666667"/>
    <n v="1.4174796928122368"/>
  </r>
  <r>
    <x v="275"/>
    <x v="1"/>
    <x v="0"/>
    <x v="2"/>
    <x v="5"/>
    <n v="195512"/>
    <n v="8328"/>
    <n v="13574.64"/>
    <n v="198"/>
    <n v="14486.58"/>
    <n v="4.2595850894062766E-2"/>
    <n v="1.63"/>
    <n v="68.558787878787882"/>
    <n v="1.0671796821131168"/>
  </r>
  <r>
    <x v="237"/>
    <x v="2"/>
    <x v="0"/>
    <x v="3"/>
    <x v="2"/>
    <n v="149446"/>
    <n v="6456"/>
    <n v="14138.64"/>
    <n v="397"/>
    <n v="118768.88"/>
    <n v="4.3199550339252976E-2"/>
    <n v="2.19"/>
    <n v="35.613702770780854"/>
    <n v="8.4003044140030454"/>
  </r>
  <r>
    <x v="288"/>
    <x v="1"/>
    <x v="1"/>
    <x v="3"/>
    <x v="3"/>
    <n v="154307"/>
    <n v="9212"/>
    <n v="11975.6"/>
    <n v="700"/>
    <n v="61706.239999999998"/>
    <n v="5.9699171132871487E-2"/>
    <n v="1.3"/>
    <n v="17.108000000000001"/>
    <n v="5.152663749624236"/>
  </r>
  <r>
    <x v="27"/>
    <x v="2"/>
    <x v="3"/>
    <x v="2"/>
    <x v="5"/>
    <n v="149675"/>
    <n v="3143"/>
    <n v="4871.6499999999996"/>
    <n v="147"/>
    <n v="33184.47"/>
    <n v="2.0998830800066811E-2"/>
    <n v="1.5499999999999998"/>
    <n v="33.140476190476186"/>
    <n v="6.8117516652468879"/>
  </r>
  <r>
    <x v="7"/>
    <x v="1"/>
    <x v="2"/>
    <x v="2"/>
    <x v="0"/>
    <n v="184065"/>
    <n v="6350"/>
    <n v="8509"/>
    <n v="273"/>
    <n v="39093.51"/>
    <n v="3.4498682530627767E-2"/>
    <n v="1.34"/>
    <n v="31.168498168498168"/>
    <n v="4.5943718415795045"/>
  </r>
  <r>
    <x v="149"/>
    <x v="1"/>
    <x v="0"/>
    <x v="1"/>
    <x v="3"/>
    <n v="64484"/>
    <n v="2966"/>
    <n v="3707.5"/>
    <n v="227"/>
    <n v="27232.61"/>
    <n v="4.5995905961168662E-2"/>
    <n v="1.25"/>
    <n v="16.332599118942731"/>
    <n v="7.3452757923128793"/>
  </r>
  <r>
    <x v="185"/>
    <x v="2"/>
    <x v="1"/>
    <x v="1"/>
    <x v="0"/>
    <n v="148088"/>
    <n v="4561"/>
    <n v="6202.96"/>
    <n v="173"/>
    <n v="48056.97"/>
    <n v="3.0799254497325915E-2"/>
    <n v="1.36"/>
    <n v="35.855260115606939"/>
    <n v="7.7474254227014203"/>
  </r>
  <r>
    <x v="350"/>
    <x v="0"/>
    <x v="3"/>
    <x v="3"/>
    <x v="5"/>
    <n v="28068"/>
    <n v="990"/>
    <n v="999.9"/>
    <n v="28"/>
    <n v="5661.1"/>
    <n v="3.5271483539974349E-2"/>
    <n v="1.01"/>
    <n v="35.710714285714282"/>
    <n v="5.6616661666166621"/>
  </r>
  <r>
    <x v="248"/>
    <x v="1"/>
    <x v="0"/>
    <x v="2"/>
    <x v="2"/>
    <n v="131385"/>
    <n v="6910"/>
    <n v="2349.4"/>
    <n v="206"/>
    <n v="6729.96"/>
    <n v="5.2593522852684857E-2"/>
    <n v="0.34"/>
    <n v="11.404854368932039"/>
    <n v="2.8645441389290882"/>
  </r>
  <r>
    <x v="51"/>
    <x v="1"/>
    <x v="0"/>
    <x v="1"/>
    <x v="0"/>
    <n v="77882"/>
    <n v="3029"/>
    <n v="1423.63"/>
    <n v="228"/>
    <n v="44433.62"/>
    <n v="3.8892170206209394E-2"/>
    <n v="0.47000000000000003"/>
    <n v="6.2439912280701755"/>
    <n v="31.211494559681938"/>
  </r>
  <r>
    <x v="99"/>
    <x v="1"/>
    <x v="2"/>
    <x v="2"/>
    <x v="0"/>
    <n v="90066"/>
    <n v="6025"/>
    <n v="10664.25"/>
    <n v="417"/>
    <n v="40275.46"/>
    <n v="6.6895387826704858E-2"/>
    <n v="1.77"/>
    <n v="25.573741007194243"/>
    <n v="3.7766800290690861"/>
  </r>
  <r>
    <x v="85"/>
    <x v="2"/>
    <x v="2"/>
    <x v="4"/>
    <x v="5"/>
    <n v="186775"/>
    <n v="2409"/>
    <n v="1662.21"/>
    <n v="107"/>
    <n v="10079.709999999999"/>
    <n v="1.2897871770847277E-2"/>
    <n v="0.69000000000000006"/>
    <n v="15.534672897196263"/>
    <n v="6.0640412462925859"/>
  </r>
  <r>
    <x v="78"/>
    <x v="0"/>
    <x v="1"/>
    <x v="0"/>
    <x v="5"/>
    <n v="57328"/>
    <n v="2161"/>
    <n v="3306.33"/>
    <n v="99"/>
    <n v="17903.97"/>
    <n v="3.7695367010884731E-2"/>
    <n v="1.53"/>
    <n v="33.397272727272728"/>
    <n v="5.4150583880011984"/>
  </r>
  <r>
    <x v="4"/>
    <x v="0"/>
    <x v="1"/>
    <x v="3"/>
    <x v="5"/>
    <n v="87570"/>
    <n v="3415"/>
    <n v="8776.5499999999993"/>
    <n v="236"/>
    <n v="46705.85"/>
    <n v="3.899737352974763E-2"/>
    <n v="2.57"/>
    <n v="37.188771186440675"/>
    <n v="5.3216639795819543"/>
  </r>
  <r>
    <x v="297"/>
    <x v="2"/>
    <x v="1"/>
    <x v="3"/>
    <x v="0"/>
    <n v="54864"/>
    <n v="1876"/>
    <n v="2851.52"/>
    <n v="121"/>
    <n v="23640.39"/>
    <n v="3.4193642461358996E-2"/>
    <n v="1.52"/>
    <n v="23.566280991735535"/>
    <n v="8.2904521097519925"/>
  </r>
  <r>
    <x v="231"/>
    <x v="0"/>
    <x v="3"/>
    <x v="3"/>
    <x v="6"/>
    <n v="91861"/>
    <n v="2535"/>
    <n v="3143.4"/>
    <n v="137"/>
    <n v="8299.82"/>
    <n v="2.7596041845832291E-2"/>
    <n v="1.24"/>
    <n v="22.944525547445256"/>
    <n v="2.6403957498250299"/>
  </r>
  <r>
    <x v="100"/>
    <x v="2"/>
    <x v="0"/>
    <x v="4"/>
    <x v="6"/>
    <n v="16920"/>
    <n v="389"/>
    <n v="478.47"/>
    <n v="15"/>
    <n v="3222.58"/>
    <n v="2.2990543735224585E-2"/>
    <n v="1.23"/>
    <n v="31.898000000000003"/>
    <n v="6.7351767090935688"/>
  </r>
  <r>
    <x v="41"/>
    <x v="2"/>
    <x v="2"/>
    <x v="2"/>
    <x v="5"/>
    <n v="117421"/>
    <n v="3428"/>
    <n v="2091.08"/>
    <n v="99"/>
    <n v="25079.21"/>
    <n v="2.919409645634086E-2"/>
    <n v="0.61"/>
    <n v="21.122020202020202"/>
    <n v="11.993424450523175"/>
  </r>
  <r>
    <x v="332"/>
    <x v="0"/>
    <x v="3"/>
    <x v="1"/>
    <x v="1"/>
    <n v="146332"/>
    <n v="7184"/>
    <n v="20115.2"/>
    <n v="366"/>
    <n v="40775.67"/>
    <n v="4.9093841401743978E-2"/>
    <n v="2.8000000000000003"/>
    <n v="54.959562841530058"/>
    <n v="2.0271073615972002"/>
  </r>
  <r>
    <x v="56"/>
    <x v="2"/>
    <x v="2"/>
    <x v="3"/>
    <x v="2"/>
    <n v="144993"/>
    <n v="2783"/>
    <n v="4091.01"/>
    <n v="120"/>
    <n v="10562.14"/>
    <n v="1.9194030056623422E-2"/>
    <n v="1.47"/>
    <n v="34.091750000000005"/>
    <n v="2.5817927602230255"/>
  </r>
  <r>
    <x v="185"/>
    <x v="0"/>
    <x v="3"/>
    <x v="0"/>
    <x v="4"/>
    <n v="35702"/>
    <n v="999"/>
    <n v="1578.42"/>
    <n v="15"/>
    <n v="2820.45"/>
    <n v="2.7981625679233655E-2"/>
    <n v="1.58"/>
    <n v="105.22800000000001"/>
    <n v="1.786881818527388"/>
  </r>
  <r>
    <x v="218"/>
    <x v="0"/>
    <x v="2"/>
    <x v="2"/>
    <x v="3"/>
    <n v="184976"/>
    <n v="6270"/>
    <n v="16678.2"/>
    <n v="412"/>
    <n v="40433.910000000003"/>
    <n v="3.3896289248334918E-2"/>
    <n v="2.66"/>
    <n v="40.481067961165053"/>
    <n v="2.4243569449940643"/>
  </r>
  <r>
    <x v="138"/>
    <x v="0"/>
    <x v="0"/>
    <x v="4"/>
    <x v="0"/>
    <n v="119235"/>
    <n v="5258"/>
    <n v="5783.8"/>
    <n v="141"/>
    <n v="24150.02"/>
    <n v="4.409779007841657E-2"/>
    <n v="1.1000000000000001"/>
    <n v="41.01985815602837"/>
    <n v="4.1754590407690442"/>
  </r>
  <r>
    <x v="6"/>
    <x v="0"/>
    <x v="2"/>
    <x v="1"/>
    <x v="5"/>
    <n v="127211"/>
    <n v="3968"/>
    <n v="10435.84"/>
    <n v="194"/>
    <n v="37337.18"/>
    <n v="3.1192271108630543E-2"/>
    <n v="2.63"/>
    <n v="53.792989690721647"/>
    <n v="3.577783867901386"/>
  </r>
  <r>
    <x v="171"/>
    <x v="1"/>
    <x v="1"/>
    <x v="0"/>
    <x v="2"/>
    <n v="27584"/>
    <n v="1561"/>
    <n v="1467.34"/>
    <n v="93"/>
    <n v="19425.98"/>
    <n v="5.6590777262180973E-2"/>
    <n v="0.94"/>
    <n v="15.777849462365591"/>
    <n v="13.238908501097225"/>
  </r>
  <r>
    <x v="111"/>
    <x v="0"/>
    <x v="2"/>
    <x v="3"/>
    <x v="3"/>
    <n v="194928"/>
    <n v="9161"/>
    <n v="17222.68"/>
    <n v="571"/>
    <n v="17839.23"/>
    <n v="4.6996839858819667E-2"/>
    <n v="1.8800000000000001"/>
    <n v="30.162311733800351"/>
    <n v="1.0357987258661254"/>
  </r>
  <r>
    <x v="89"/>
    <x v="0"/>
    <x v="0"/>
    <x v="4"/>
    <x v="6"/>
    <n v="90349"/>
    <n v="5420"/>
    <n v="16368.4"/>
    <n v="105"/>
    <n v="16913.07"/>
    <n v="5.9989595900342009E-2"/>
    <n v="3.02"/>
    <n v="155.88952380952381"/>
    <n v="1.0332757019623175"/>
  </r>
  <r>
    <x v="125"/>
    <x v="1"/>
    <x v="1"/>
    <x v="1"/>
    <x v="3"/>
    <n v="170011"/>
    <n v="10149"/>
    <n v="5581.95"/>
    <n v="110"/>
    <n v="29617.759999999998"/>
    <n v="5.9696137308762373E-2"/>
    <n v="0.54999999999999993"/>
    <n v="50.744999999999997"/>
    <n v="5.3059880507707877"/>
  </r>
  <r>
    <x v="157"/>
    <x v="0"/>
    <x v="3"/>
    <x v="2"/>
    <x v="2"/>
    <n v="54158"/>
    <n v="3374"/>
    <n v="2732.94"/>
    <n v="55"/>
    <n v="5839.17"/>
    <n v="6.2299198641013333E-2"/>
    <n v="0.81"/>
    <n v="49.689818181818183"/>
    <n v="2.1365891677094995"/>
  </r>
  <r>
    <x v="3"/>
    <x v="2"/>
    <x v="3"/>
    <x v="3"/>
    <x v="1"/>
    <n v="143485"/>
    <n v="3945"/>
    <n v="2800.95"/>
    <n v="187"/>
    <n v="30765.32"/>
    <n v="2.7494163152942817E-2"/>
    <n v="0.71"/>
    <n v="14.978342245989303"/>
    <n v="10.983887609561043"/>
  </r>
  <r>
    <x v="106"/>
    <x v="0"/>
    <x v="1"/>
    <x v="0"/>
    <x v="4"/>
    <n v="165470"/>
    <n v="4136"/>
    <n v="3391.52"/>
    <n v="56"/>
    <n v="12113.24"/>
    <n v="2.4995467456336497E-2"/>
    <n v="0.82"/>
    <n v="60.562857142857141"/>
    <n v="3.5716257017502477"/>
  </r>
  <r>
    <x v="150"/>
    <x v="2"/>
    <x v="0"/>
    <x v="1"/>
    <x v="2"/>
    <n v="112596"/>
    <n v="2668"/>
    <n v="3201.6"/>
    <n v="39"/>
    <n v="10899.61"/>
    <n v="2.3695335535898254E-2"/>
    <n v="1.2"/>
    <n v="82.092307692307685"/>
    <n v="3.4044259120439784"/>
  </r>
  <r>
    <x v="247"/>
    <x v="0"/>
    <x v="1"/>
    <x v="1"/>
    <x v="4"/>
    <n v="82604"/>
    <n v="5146"/>
    <n v="14820.48"/>
    <n v="75"/>
    <n v="11977.45"/>
    <n v="6.2297225315965328E-2"/>
    <n v="2.88"/>
    <n v="197.60640000000001"/>
    <n v="0.80816883123893435"/>
  </r>
  <r>
    <x v="166"/>
    <x v="0"/>
    <x v="3"/>
    <x v="2"/>
    <x v="0"/>
    <n v="162454"/>
    <n v="4337"/>
    <n v="6809.09"/>
    <n v="329"/>
    <n v="13568.06"/>
    <n v="2.6696788013837763E-2"/>
    <n v="1.57"/>
    <n v="20.696322188449848"/>
    <n v="1.992639251353705"/>
  </r>
  <r>
    <x v="186"/>
    <x v="1"/>
    <x v="2"/>
    <x v="4"/>
    <x v="1"/>
    <n v="143667"/>
    <n v="6852"/>
    <n v="7742.76"/>
    <n v="142"/>
    <n v="19589.64"/>
    <n v="4.7693624840777632E-2"/>
    <n v="1.1300000000000001"/>
    <n v="54.526478873239441"/>
    <n v="2.5300590487113119"/>
  </r>
  <r>
    <x v="313"/>
    <x v="0"/>
    <x v="1"/>
    <x v="2"/>
    <x v="6"/>
    <n v="83702"/>
    <n v="3900"/>
    <n v="8502"/>
    <n v="60"/>
    <n v="11812.78"/>
    <n v="4.6593868724761657E-2"/>
    <n v="2.1800000000000002"/>
    <n v="141.69999999999999"/>
    <n v="1.3894119030816279"/>
  </r>
  <r>
    <x v="336"/>
    <x v="1"/>
    <x v="1"/>
    <x v="0"/>
    <x v="2"/>
    <n v="41497"/>
    <n v="3299"/>
    <n v="2144.35"/>
    <n v="112"/>
    <n v="6822.75"/>
    <n v="7.9499722871532882E-2"/>
    <n v="0.65"/>
    <n v="19.145982142857143"/>
    <n v="3.1817333924032924"/>
  </r>
  <r>
    <x v="12"/>
    <x v="0"/>
    <x v="0"/>
    <x v="0"/>
    <x v="0"/>
    <n v="88442"/>
    <n v="2485"/>
    <n v="7181.65"/>
    <n v="69"/>
    <n v="12989.18"/>
    <n v="2.8097510232694873E-2"/>
    <n v="2.8899999999999997"/>
    <n v="104.08188405797101"/>
    <n v="1.8086623547513456"/>
  </r>
  <r>
    <x v="277"/>
    <x v="0"/>
    <x v="2"/>
    <x v="3"/>
    <x v="0"/>
    <n v="143723"/>
    <n v="4254"/>
    <n v="4849.5600000000004"/>
    <n v="281"/>
    <n v="41783.61"/>
    <n v="2.9598602868016948E-2"/>
    <n v="1.1400000000000001"/>
    <n v="17.258220640569398"/>
    <n v="8.6159589735976034"/>
  </r>
  <r>
    <x v="5"/>
    <x v="2"/>
    <x v="0"/>
    <x v="3"/>
    <x v="1"/>
    <n v="30392"/>
    <n v="1325"/>
    <n v="1735.75"/>
    <n v="101"/>
    <n v="3539.63"/>
    <n v="4.3596999210318503E-2"/>
    <n v="1.31"/>
    <n v="17.185643564356436"/>
    <n v="2.0392510442171972"/>
  </r>
  <r>
    <x v="259"/>
    <x v="0"/>
    <x v="1"/>
    <x v="4"/>
    <x v="5"/>
    <n v="94412"/>
    <n v="4786"/>
    <n v="6173.94"/>
    <n v="343"/>
    <n v="93767.6"/>
    <n v="5.0692708553997372E-2"/>
    <n v="1.2899999999999998"/>
    <n v="17.999825072886296"/>
    <n v="15.187643546908459"/>
  </r>
  <r>
    <x v="95"/>
    <x v="0"/>
    <x v="1"/>
    <x v="1"/>
    <x v="1"/>
    <n v="56305"/>
    <n v="1644"/>
    <n v="2712.6"/>
    <n v="126"/>
    <n v="24269.48"/>
    <n v="2.9198117396323595E-2"/>
    <n v="1.65"/>
    <n v="21.528571428571428"/>
    <n v="8.9469438914694397"/>
  </r>
  <r>
    <x v="226"/>
    <x v="1"/>
    <x v="3"/>
    <x v="3"/>
    <x v="3"/>
    <n v="142456"/>
    <n v="9943"/>
    <n v="9048.1299999999992"/>
    <n v="266"/>
    <n v="72736.17"/>
    <n v="6.979698994777335E-2"/>
    <n v="0.90999999999999992"/>
    <n v="34.015526315789472"/>
    <n v="8.0388069136937688"/>
  </r>
  <r>
    <x v="25"/>
    <x v="2"/>
    <x v="3"/>
    <x v="1"/>
    <x v="6"/>
    <n v="27169"/>
    <n v="546"/>
    <n v="589.67999999999995"/>
    <n v="15"/>
    <n v="1578.78"/>
    <n v="2.0096433435165078E-2"/>
    <n v="1.0799999999999998"/>
    <n v="39.311999999999998"/>
    <n v="2.6773504273504276"/>
  </r>
  <r>
    <x v="118"/>
    <x v="0"/>
    <x v="1"/>
    <x v="3"/>
    <x v="3"/>
    <n v="127179"/>
    <n v="5125"/>
    <n v="11377.5"/>
    <n v="87"/>
    <n v="5905.23"/>
    <n v="4.0297533397809386E-2"/>
    <n v="2.2200000000000002"/>
    <n v="130.77586206896552"/>
    <n v="0.51902702702702697"/>
  </r>
  <r>
    <x v="183"/>
    <x v="0"/>
    <x v="2"/>
    <x v="0"/>
    <x v="2"/>
    <n v="20797"/>
    <n v="846"/>
    <n v="913.68"/>
    <n v="56"/>
    <n v="11660.97"/>
    <n v="4.0678944078472855E-2"/>
    <n v="1.0799999999999998"/>
    <n v="16.315714285714286"/>
    <n v="12.762641187286578"/>
  </r>
  <r>
    <x v="14"/>
    <x v="2"/>
    <x v="2"/>
    <x v="4"/>
    <x v="2"/>
    <n v="188201"/>
    <n v="5627"/>
    <n v="10578.76"/>
    <n v="77"/>
    <n v="14242.93"/>
    <n v="2.9898884703056839E-2"/>
    <n v="1.8800000000000001"/>
    <n v="137.38649350649351"/>
    <n v="1.3463704630788487"/>
  </r>
  <r>
    <x v="173"/>
    <x v="1"/>
    <x v="2"/>
    <x v="4"/>
    <x v="4"/>
    <n v="77726"/>
    <n v="2557"/>
    <n v="1252.93"/>
    <n v="37"/>
    <n v="2932.31"/>
    <n v="3.2897614697784523E-2"/>
    <n v="0.49000000000000005"/>
    <n v="33.862972972972976"/>
    <n v="2.3403621910242389"/>
  </r>
  <r>
    <x v="194"/>
    <x v="2"/>
    <x v="0"/>
    <x v="1"/>
    <x v="6"/>
    <n v="23123"/>
    <n v="286"/>
    <n v="346.06"/>
    <n v="3"/>
    <n v="585.70000000000005"/>
    <n v="1.2368637287549193E-2"/>
    <n v="1.21"/>
    <n v="115.35333333333334"/>
    <n v="1.6924810726463619"/>
  </r>
  <r>
    <x v="224"/>
    <x v="0"/>
    <x v="0"/>
    <x v="3"/>
    <x v="4"/>
    <n v="86689"/>
    <n v="3727"/>
    <n v="4323.32"/>
    <n v="276"/>
    <n v="76876.240000000005"/>
    <n v="4.2992767248439825E-2"/>
    <n v="1.1599999999999999"/>
    <n v="15.664202898550723"/>
    <n v="17.781760313832891"/>
  </r>
  <r>
    <x v="44"/>
    <x v="0"/>
    <x v="0"/>
    <x v="2"/>
    <x v="2"/>
    <n v="159251"/>
    <n v="9172"/>
    <n v="26048.48"/>
    <n v="407"/>
    <n v="30602.6"/>
    <n v="5.7594614790487969E-2"/>
    <n v="2.84"/>
    <n v="64.001179361179354"/>
    <n v="1.1748324662321947"/>
  </r>
  <r>
    <x v="175"/>
    <x v="2"/>
    <x v="3"/>
    <x v="4"/>
    <x v="1"/>
    <n v="70180"/>
    <n v="736"/>
    <n v="1030.4000000000001"/>
    <n v="45"/>
    <n v="2168.7199999999998"/>
    <n v="1.0487318324308921E-2"/>
    <n v="1.4000000000000001"/>
    <n v="22.89777777777778"/>
    <n v="2.10473602484472"/>
  </r>
  <r>
    <x v="135"/>
    <x v="0"/>
    <x v="1"/>
    <x v="0"/>
    <x v="4"/>
    <n v="83466"/>
    <n v="4089"/>
    <n v="9241.14"/>
    <n v="108"/>
    <n v="12521.2"/>
    <n v="4.8990007907411398E-2"/>
    <n v="2.2599999999999998"/>
    <n v="85.566111111111113"/>
    <n v="1.3549410570557314"/>
  </r>
  <r>
    <x v="9"/>
    <x v="2"/>
    <x v="3"/>
    <x v="3"/>
    <x v="5"/>
    <n v="137602"/>
    <n v="2641"/>
    <n v="1558.19"/>
    <n v="179"/>
    <n v="52473.54"/>
    <n v="1.9193034984956614E-2"/>
    <n v="0.59"/>
    <n v="8.7049720670391064"/>
    <n v="33.675957360783983"/>
  </r>
  <r>
    <x v="288"/>
    <x v="1"/>
    <x v="1"/>
    <x v="3"/>
    <x v="0"/>
    <n v="64222"/>
    <n v="2067"/>
    <n v="3906.63"/>
    <n v="68"/>
    <n v="14851.97"/>
    <n v="3.2185232474852853E-2"/>
    <n v="1.8900000000000001"/>
    <n v="57.450441176470591"/>
    <n v="3.8017344872690781"/>
  </r>
  <r>
    <x v="125"/>
    <x v="1"/>
    <x v="2"/>
    <x v="2"/>
    <x v="5"/>
    <n v="116739"/>
    <n v="4319"/>
    <n v="1468.46"/>
    <n v="306"/>
    <n v="46873.98"/>
    <n v="3.6997061821670563E-2"/>
    <n v="0.34"/>
    <n v="4.7988888888888894"/>
    <n v="31.920501750132793"/>
  </r>
  <r>
    <x v="19"/>
    <x v="2"/>
    <x v="2"/>
    <x v="2"/>
    <x v="2"/>
    <n v="50869"/>
    <n v="890"/>
    <n v="961.2"/>
    <n v="61"/>
    <n v="16803.54"/>
    <n v="1.7495920894847548E-2"/>
    <n v="1.08"/>
    <n v="15.757377049180329"/>
    <n v="17.48183520599251"/>
  </r>
  <r>
    <x v="347"/>
    <x v="2"/>
    <x v="0"/>
    <x v="1"/>
    <x v="3"/>
    <n v="127155"/>
    <n v="3089"/>
    <n v="3861.25"/>
    <n v="95"/>
    <n v="23894.639999999999"/>
    <n v="2.4293185482285401E-2"/>
    <n v="1.25"/>
    <n v="40.64473684210526"/>
    <n v="6.1883172547750078"/>
  </r>
  <r>
    <x v="62"/>
    <x v="0"/>
    <x v="1"/>
    <x v="1"/>
    <x v="3"/>
    <n v="162883"/>
    <n v="8974"/>
    <n v="21358.12"/>
    <n v="292"/>
    <n v="80812.08"/>
    <n v="5.5094761270359706E-2"/>
    <n v="2.38"/>
    <n v="73.144246575342464"/>
    <n v="3.7836700983045328"/>
  </r>
  <r>
    <x v="148"/>
    <x v="1"/>
    <x v="0"/>
    <x v="3"/>
    <x v="4"/>
    <n v="115716"/>
    <n v="7394"/>
    <n v="8577.0400000000009"/>
    <n v="242"/>
    <n v="49142.559999999998"/>
    <n v="6.3897818797746211E-2"/>
    <n v="1.1600000000000001"/>
    <n v="35.442314049586777"/>
    <n v="5.7295477227575002"/>
  </r>
  <r>
    <x v="305"/>
    <x v="0"/>
    <x v="1"/>
    <x v="1"/>
    <x v="2"/>
    <n v="40306"/>
    <n v="1176"/>
    <n v="999.6"/>
    <n v="41"/>
    <n v="11838.48"/>
    <n v="2.9176797499131643E-2"/>
    <n v="0.85"/>
    <n v="24.380487804878051"/>
    <n v="11.843217286914765"/>
  </r>
  <r>
    <x v="13"/>
    <x v="1"/>
    <x v="0"/>
    <x v="0"/>
    <x v="4"/>
    <n v="138025"/>
    <n v="9192"/>
    <n v="5882.88"/>
    <n v="420"/>
    <n v="38810.35"/>
    <n v="6.6596631045100524E-2"/>
    <n v="0.64"/>
    <n v="14.006857142857143"/>
    <n v="6.5971683937119234"/>
  </r>
  <r>
    <x v="217"/>
    <x v="2"/>
    <x v="1"/>
    <x v="3"/>
    <x v="5"/>
    <n v="145510"/>
    <n v="5805"/>
    <n v="6037.2"/>
    <n v="166"/>
    <n v="30713.7"/>
    <n v="3.9894165349460518E-2"/>
    <n v="1.04"/>
    <n v="36.368674698795182"/>
    <n v="5.0874080699662096"/>
  </r>
  <r>
    <x v="154"/>
    <x v="1"/>
    <x v="3"/>
    <x v="0"/>
    <x v="2"/>
    <n v="168297"/>
    <n v="10535"/>
    <n v="14749"/>
    <n v="561"/>
    <n v="30094.65"/>
    <n v="6.2597669596011818E-2"/>
    <n v="1.4"/>
    <n v="26.29055258467023"/>
    <n v="2.0404535900739034"/>
  </r>
  <r>
    <x v="20"/>
    <x v="2"/>
    <x v="0"/>
    <x v="4"/>
    <x v="6"/>
    <n v="66157"/>
    <n v="1687"/>
    <n v="2193.1"/>
    <n v="41"/>
    <n v="5082.9399999999996"/>
    <n v="2.5499947095545445E-2"/>
    <n v="1.3"/>
    <n v="53.490243902439019"/>
    <n v="2.3176964114723448"/>
  </r>
  <r>
    <x v="62"/>
    <x v="2"/>
    <x v="2"/>
    <x v="0"/>
    <x v="5"/>
    <n v="115003"/>
    <n v="2921"/>
    <n v="1168.4000000000001"/>
    <n v="36"/>
    <n v="4203.1899999999996"/>
    <n v="2.539933740858934E-2"/>
    <n v="0.4"/>
    <n v="32.455555555555556"/>
    <n v="3.5973895926052717"/>
  </r>
  <r>
    <x v="93"/>
    <x v="2"/>
    <x v="2"/>
    <x v="2"/>
    <x v="2"/>
    <n v="173292"/>
    <n v="7330"/>
    <n v="13780.4"/>
    <n v="355"/>
    <n v="66981.679999999993"/>
    <n v="4.2298548115319808E-2"/>
    <n v="1.88"/>
    <n v="38.818028169014084"/>
    <n v="4.8606484572291073"/>
  </r>
  <r>
    <x v="79"/>
    <x v="2"/>
    <x v="1"/>
    <x v="1"/>
    <x v="3"/>
    <n v="94440"/>
    <n v="2219"/>
    <n v="4282.67"/>
    <n v="156"/>
    <n v="39424.239999999998"/>
    <n v="2.3496399830580262E-2"/>
    <n v="1.93"/>
    <n v="27.453012820512821"/>
    <n v="9.2055283269549122"/>
  </r>
  <r>
    <x v="69"/>
    <x v="2"/>
    <x v="1"/>
    <x v="2"/>
    <x v="5"/>
    <n v="93003"/>
    <n v="1283"/>
    <n v="2258.08"/>
    <n v="49"/>
    <n v="1614.11"/>
    <n v="1.3795253916540327E-2"/>
    <n v="1.76"/>
    <n v="46.083265306122449"/>
    <n v="0.71481524126691698"/>
  </r>
  <r>
    <x v="341"/>
    <x v="1"/>
    <x v="1"/>
    <x v="4"/>
    <x v="2"/>
    <n v="112294"/>
    <n v="9039"/>
    <n v="8948.61"/>
    <n v="99"/>
    <n v="20435.34"/>
    <n v="8.0494060234740941E-2"/>
    <n v="0.9900000000000001"/>
    <n v="90.39"/>
    <n v="2.2836328770613536"/>
  </r>
  <r>
    <x v="115"/>
    <x v="2"/>
    <x v="3"/>
    <x v="3"/>
    <x v="2"/>
    <n v="165321"/>
    <n v="4447"/>
    <n v="6937.32"/>
    <n v="301"/>
    <n v="23975.23"/>
    <n v="2.6899184011710552E-2"/>
    <n v="1.5599999999999998"/>
    <n v="23.047574750830563"/>
    <n v="3.4559786776449695"/>
  </r>
  <r>
    <x v="317"/>
    <x v="1"/>
    <x v="1"/>
    <x v="2"/>
    <x v="2"/>
    <n v="137895"/>
    <n v="5901"/>
    <n v="7907.34"/>
    <n v="379"/>
    <n v="86835.97"/>
    <n v="4.2793429783530949E-2"/>
    <n v="1.34"/>
    <n v="20.863693931398416"/>
    <n v="10.98169169404629"/>
  </r>
  <r>
    <x v="29"/>
    <x v="1"/>
    <x v="3"/>
    <x v="4"/>
    <x v="3"/>
    <n v="7978"/>
    <n v="557"/>
    <n v="339.77"/>
    <n v="34"/>
    <n v="6686.61"/>
    <n v="6.9816996741037848E-2"/>
    <n v="0.61"/>
    <n v="9.9932352941176461"/>
    <n v="19.67981281455102"/>
  </r>
  <r>
    <x v="177"/>
    <x v="1"/>
    <x v="3"/>
    <x v="0"/>
    <x v="3"/>
    <n v="113994"/>
    <n v="4320"/>
    <n v="3326.4"/>
    <n v="142"/>
    <n v="25985.24"/>
    <n v="3.7896731406916156E-2"/>
    <n v="0.77"/>
    <n v="23.425352112676055"/>
    <n v="7.8118205868205868"/>
  </r>
  <r>
    <x v="313"/>
    <x v="0"/>
    <x v="0"/>
    <x v="1"/>
    <x v="0"/>
    <n v="90794"/>
    <n v="5638"/>
    <n v="17477.8"/>
    <n v="217"/>
    <n v="54642.18"/>
    <n v="6.2096614313721168E-2"/>
    <n v="3.1"/>
    <n v="80.542857142857144"/>
    <n v="3.1263763173854833"/>
  </r>
  <r>
    <x v="140"/>
    <x v="2"/>
    <x v="3"/>
    <x v="2"/>
    <x v="6"/>
    <n v="118694"/>
    <n v="2338"/>
    <n v="5283.88"/>
    <n v="76"/>
    <n v="6774.6"/>
    <n v="1.9697710078015736E-2"/>
    <n v="2.2600000000000002"/>
    <n v="69.52473684210527"/>
    <n v="1.282126013459806"/>
  </r>
  <r>
    <x v="242"/>
    <x v="0"/>
    <x v="2"/>
    <x v="2"/>
    <x v="0"/>
    <n v="99805"/>
    <n v="1936"/>
    <n v="2710.4"/>
    <n v="112"/>
    <n v="29346.97"/>
    <n v="1.9397825760232454E-2"/>
    <n v="1.4000000000000001"/>
    <n v="24.2"/>
    <n v="10.827542060212515"/>
  </r>
  <r>
    <x v="303"/>
    <x v="0"/>
    <x v="0"/>
    <x v="0"/>
    <x v="4"/>
    <n v="187156"/>
    <n v="3986"/>
    <n v="9526.5400000000009"/>
    <n v="269"/>
    <n v="34393.230000000003"/>
    <n v="2.1297740922011584E-2"/>
    <n v="2.39"/>
    <n v="35.414646840148706"/>
    <n v="3.6102540901523534"/>
  </r>
  <r>
    <x v="246"/>
    <x v="1"/>
    <x v="1"/>
    <x v="1"/>
    <x v="0"/>
    <n v="120152"/>
    <n v="4613"/>
    <n v="4474.6099999999997"/>
    <n v="108"/>
    <n v="27205.77"/>
    <n v="3.8393035488381383E-2"/>
    <n v="0.97"/>
    <n v="41.431574074074071"/>
    <n v="6.0800315558227425"/>
  </r>
  <r>
    <x v="171"/>
    <x v="0"/>
    <x v="0"/>
    <x v="0"/>
    <x v="1"/>
    <n v="117458"/>
    <n v="6824"/>
    <n v="13716.24"/>
    <n v="251"/>
    <n v="12200.18"/>
    <n v="5.8097362461475593E-2"/>
    <n v="2.0099999999999998"/>
    <n v="54.646374501992028"/>
    <n v="0.88946970889981514"/>
  </r>
  <r>
    <x v="352"/>
    <x v="2"/>
    <x v="1"/>
    <x v="1"/>
    <x v="6"/>
    <n v="35398"/>
    <n v="1044"/>
    <n v="469.8"/>
    <n v="20"/>
    <n v="1596.24"/>
    <n v="2.9493191705746089E-2"/>
    <n v="0.45"/>
    <n v="23.490000000000002"/>
    <n v="3.3977011494252873"/>
  </r>
  <r>
    <x v="230"/>
    <x v="1"/>
    <x v="1"/>
    <x v="2"/>
    <x v="5"/>
    <n v="98386"/>
    <n v="7556"/>
    <n v="2644.6"/>
    <n v="385"/>
    <n v="43735.3"/>
    <n v="7.6799544650661675E-2"/>
    <n v="0.35"/>
    <n v="6.8690909090909091"/>
    <n v="16.537586024351512"/>
  </r>
  <r>
    <x v="157"/>
    <x v="2"/>
    <x v="1"/>
    <x v="4"/>
    <x v="4"/>
    <n v="70133"/>
    <n v="2293"/>
    <n v="2384.7199999999998"/>
    <n v="75"/>
    <n v="14249.95"/>
    <n v="3.2695022314744838E-2"/>
    <n v="1.0399999999999998"/>
    <n v="31.796266666666664"/>
    <n v="5.9755233318796348"/>
  </r>
  <r>
    <x v="249"/>
    <x v="0"/>
    <x v="1"/>
    <x v="3"/>
    <x v="2"/>
    <n v="30169"/>
    <n v="1523"/>
    <n v="2193.12"/>
    <n v="34"/>
    <n v="8282.7099999999991"/>
    <n v="5.0482283138320795E-2"/>
    <n v="1.44"/>
    <n v="64.503529411764703"/>
    <n v="3.7766788867002261"/>
  </r>
  <r>
    <x v="98"/>
    <x v="0"/>
    <x v="0"/>
    <x v="1"/>
    <x v="3"/>
    <n v="122959"/>
    <n v="3553"/>
    <n v="5933.51"/>
    <n v="133"/>
    <n v="11079.66"/>
    <n v="2.8895810798721524E-2"/>
    <n v="1.6700000000000002"/>
    <n v="44.612857142857145"/>
    <n v="1.86730282750008"/>
  </r>
  <r>
    <x v="337"/>
    <x v="2"/>
    <x v="0"/>
    <x v="2"/>
    <x v="6"/>
    <n v="73083"/>
    <n v="3040"/>
    <n v="1824"/>
    <n v="203"/>
    <n v="29701.35"/>
    <n v="4.1596540919228819E-2"/>
    <n v="0.6"/>
    <n v="8.985221674876847"/>
    <n v="16.283634868421053"/>
  </r>
  <r>
    <x v="255"/>
    <x v="2"/>
    <x v="3"/>
    <x v="0"/>
    <x v="5"/>
    <n v="113889"/>
    <n v="4623"/>
    <n v="5501.37"/>
    <n v="362"/>
    <n v="19216.96"/>
    <n v="4.0592155519848273E-2"/>
    <n v="1.19"/>
    <n v="15.197154696132596"/>
    <n v="3.4931226221832015"/>
  </r>
  <r>
    <x v="54"/>
    <x v="2"/>
    <x v="0"/>
    <x v="2"/>
    <x v="6"/>
    <n v="57203"/>
    <n v="1029"/>
    <n v="895.23"/>
    <n v="11"/>
    <n v="1505.4"/>
    <n v="1.798856703319756E-2"/>
    <n v="0.87"/>
    <n v="81.38454545454546"/>
    <n v="1.6815790355551088"/>
  </r>
  <r>
    <x v="198"/>
    <x v="1"/>
    <x v="3"/>
    <x v="3"/>
    <x v="0"/>
    <n v="36562"/>
    <n v="1257"/>
    <n v="540.51"/>
    <n v="74"/>
    <n v="11838.52"/>
    <n v="3.4379957332749851E-2"/>
    <n v="0.43"/>
    <n v="7.3041891891891888"/>
    <n v="21.902499491221256"/>
  </r>
  <r>
    <x v="86"/>
    <x v="0"/>
    <x v="0"/>
    <x v="1"/>
    <x v="2"/>
    <n v="177256"/>
    <n v="4059"/>
    <n v="8889.2099999999991"/>
    <n v="138"/>
    <n v="32140.46"/>
    <n v="2.2899083810985241E-2"/>
    <n v="2.19"/>
    <n v="64.414565217391299"/>
    <n v="3.6156711338802889"/>
  </r>
  <r>
    <x v="277"/>
    <x v="1"/>
    <x v="2"/>
    <x v="3"/>
    <x v="5"/>
    <n v="179036"/>
    <n v="11046"/>
    <n v="9610.02"/>
    <n v="787"/>
    <n v="127296.84"/>
    <n v="6.1697088853638372E-2"/>
    <n v="0.87"/>
    <n v="12.210952986022873"/>
    <n v="13.246261714335661"/>
  </r>
  <r>
    <x v="295"/>
    <x v="0"/>
    <x v="3"/>
    <x v="1"/>
    <x v="3"/>
    <n v="87481"/>
    <n v="4181"/>
    <n v="12041.28"/>
    <n v="104"/>
    <n v="28643.42"/>
    <n v="4.7793235102479396E-2"/>
    <n v="2.8800000000000003"/>
    <n v="115.78153846153847"/>
    <n v="2.3787687023306487"/>
  </r>
  <r>
    <x v="352"/>
    <x v="1"/>
    <x v="2"/>
    <x v="4"/>
    <x v="5"/>
    <n v="130645"/>
    <n v="8243"/>
    <n v="7830.85"/>
    <n v="356"/>
    <n v="16420.599999999999"/>
    <n v="6.3094645795859008E-2"/>
    <n v="0.95000000000000007"/>
    <n v="21.996769662921348"/>
    <n v="2.0969115740947659"/>
  </r>
  <r>
    <x v="291"/>
    <x v="0"/>
    <x v="0"/>
    <x v="3"/>
    <x v="5"/>
    <n v="121089"/>
    <n v="3499"/>
    <n v="3254.07"/>
    <n v="185"/>
    <n v="28042.42"/>
    <n v="2.8896101214808942E-2"/>
    <n v="0.93"/>
    <n v="17.589567567567567"/>
    <n v="8.6176449799789179"/>
  </r>
  <r>
    <x v="239"/>
    <x v="0"/>
    <x v="0"/>
    <x v="1"/>
    <x v="4"/>
    <n v="15589"/>
    <n v="285"/>
    <n v="336.3"/>
    <n v="10"/>
    <n v="1359.76"/>
    <n v="1.8282122009108986E-2"/>
    <n v="1.18"/>
    <n v="33.630000000000003"/>
    <n v="4.043294677371394"/>
  </r>
  <r>
    <x v="193"/>
    <x v="1"/>
    <x v="0"/>
    <x v="0"/>
    <x v="3"/>
    <n v="101411"/>
    <n v="9370"/>
    <n v="7589.7"/>
    <n v="523"/>
    <n v="26633.21"/>
    <n v="9.2396288371084004E-2"/>
    <n v="0.80999999999999994"/>
    <n v="14.511854684512429"/>
    <n v="3.5091255253830851"/>
  </r>
  <r>
    <x v="283"/>
    <x v="0"/>
    <x v="2"/>
    <x v="4"/>
    <x v="1"/>
    <n v="142045"/>
    <n v="9161"/>
    <n v="21894.79"/>
    <n v="525"/>
    <n v="131680.16"/>
    <n v="6.449364637966841E-2"/>
    <n v="2.39"/>
    <n v="41.704361904761903"/>
    <n v="6.0142234750824279"/>
  </r>
  <r>
    <x v="191"/>
    <x v="2"/>
    <x v="2"/>
    <x v="2"/>
    <x v="1"/>
    <n v="42236"/>
    <n v="1013"/>
    <n v="1448.59"/>
    <n v="29"/>
    <n v="4720.08"/>
    <n v="2.3984278814281654E-2"/>
    <n v="1.43"/>
    <n v="49.951379310344826"/>
    <n v="3.2583960955135685"/>
  </r>
  <r>
    <x v="26"/>
    <x v="2"/>
    <x v="2"/>
    <x v="4"/>
    <x v="4"/>
    <n v="75628"/>
    <n v="794"/>
    <n v="397"/>
    <n v="49"/>
    <n v="3639.22"/>
    <n v="1.049875707409954E-2"/>
    <n v="0.5"/>
    <n v="8.1020408163265305"/>
    <n v="9.1668010075566748"/>
  </r>
  <r>
    <x v="262"/>
    <x v="1"/>
    <x v="1"/>
    <x v="0"/>
    <x v="3"/>
    <n v="116184"/>
    <n v="4089"/>
    <n v="1390.26"/>
    <n v="263"/>
    <n v="54249.41"/>
    <n v="3.5194174757281552E-2"/>
    <n v="0.34"/>
    <n v="5.2861596958174903"/>
    <n v="39.021053615870414"/>
  </r>
  <r>
    <x v="292"/>
    <x v="0"/>
    <x v="1"/>
    <x v="4"/>
    <x v="2"/>
    <n v="121465"/>
    <n v="5575"/>
    <n v="9143"/>
    <n v="273"/>
    <n v="28769.59"/>
    <n v="4.5897995307290163E-2"/>
    <n v="1.64"/>
    <n v="33.490842490842489"/>
    <n v="3.1466247402384337"/>
  </r>
  <r>
    <x v="312"/>
    <x v="0"/>
    <x v="1"/>
    <x v="0"/>
    <x v="1"/>
    <n v="108510"/>
    <n v="3721"/>
    <n v="5246.61"/>
    <n v="116"/>
    <n v="23480.01"/>
    <n v="3.429177034374712E-2"/>
    <n v="1.41"/>
    <n v="45.229396551724136"/>
    <n v="4.4752726045961104"/>
  </r>
  <r>
    <x v="287"/>
    <x v="2"/>
    <x v="2"/>
    <x v="2"/>
    <x v="4"/>
    <n v="199650"/>
    <n v="4152"/>
    <n v="3238.56"/>
    <n v="165"/>
    <n v="10558.75"/>
    <n v="2.0796393688955674E-2"/>
    <n v="0.78"/>
    <n v="19.627636363636363"/>
    <n v="3.2603224890074602"/>
  </r>
  <r>
    <x v="87"/>
    <x v="0"/>
    <x v="2"/>
    <x v="3"/>
    <x v="2"/>
    <n v="73734"/>
    <n v="1990"/>
    <n v="1631.8"/>
    <n v="143"/>
    <n v="16954.02"/>
    <n v="2.6988906067757074E-2"/>
    <n v="0.82"/>
    <n v="11.411188811188811"/>
    <n v="10.389765902684154"/>
  </r>
  <r>
    <x v="194"/>
    <x v="2"/>
    <x v="2"/>
    <x v="4"/>
    <x v="4"/>
    <n v="149532"/>
    <n v="5069"/>
    <n v="12114.91"/>
    <n v="397"/>
    <n v="95392.09"/>
    <n v="3.3899098520717971E-2"/>
    <n v="2.39"/>
    <n v="30.516146095717883"/>
    <n v="7.8739412839220426"/>
  </r>
  <r>
    <x v="232"/>
    <x v="0"/>
    <x v="0"/>
    <x v="0"/>
    <x v="5"/>
    <n v="79432"/>
    <n v="4130"/>
    <n v="9457.7000000000007"/>
    <n v="311"/>
    <n v="59366.41"/>
    <n v="5.199415852553127E-2"/>
    <n v="2.29"/>
    <n v="30.410610932475887"/>
    <n v="6.2770451589709975"/>
  </r>
  <r>
    <x v="358"/>
    <x v="1"/>
    <x v="3"/>
    <x v="0"/>
    <x v="4"/>
    <n v="192583"/>
    <n v="11285"/>
    <n v="18394.55"/>
    <n v="562"/>
    <n v="124224.31"/>
    <n v="5.8598110944372034E-2"/>
    <n v="1.63"/>
    <n v="32.730516014234873"/>
    <n v="6.7533215001182416"/>
  </r>
  <r>
    <x v="161"/>
    <x v="2"/>
    <x v="1"/>
    <x v="3"/>
    <x v="6"/>
    <n v="79266"/>
    <n v="2425"/>
    <n v="1746"/>
    <n v="104"/>
    <n v="20287.27"/>
    <n v="3.0593192541568896E-2"/>
    <n v="0.72"/>
    <n v="16.78846153846154"/>
    <n v="11.619284077892326"/>
  </r>
  <r>
    <x v="209"/>
    <x v="0"/>
    <x v="1"/>
    <x v="0"/>
    <x v="6"/>
    <n v="33695"/>
    <n v="1277"/>
    <n v="3677.76"/>
    <n v="89"/>
    <n v="25041.09"/>
    <n v="3.7898798041252409E-2"/>
    <n v="2.8800000000000003"/>
    <n v="41.323146067415735"/>
    <n v="6.8087885016966849"/>
  </r>
  <r>
    <x v="289"/>
    <x v="1"/>
    <x v="0"/>
    <x v="0"/>
    <x v="5"/>
    <n v="92030"/>
    <n v="6267"/>
    <n v="3634.86"/>
    <n v="136"/>
    <n v="11204.78"/>
    <n v="6.8097359556666306E-2"/>
    <n v="0.58000000000000007"/>
    <n v="26.726911764705882"/>
    <n v="3.0825891506137788"/>
  </r>
  <r>
    <x v="143"/>
    <x v="0"/>
    <x v="0"/>
    <x v="2"/>
    <x v="5"/>
    <n v="26259"/>
    <n v="669"/>
    <n v="943.29"/>
    <n v="22"/>
    <n v="2731.41"/>
    <n v="2.5476979321375527E-2"/>
    <n v="1.41"/>
    <n v="42.87681818181818"/>
    <n v="2.8956206468848391"/>
  </r>
  <r>
    <x v="78"/>
    <x v="0"/>
    <x v="1"/>
    <x v="0"/>
    <x v="1"/>
    <n v="99447"/>
    <n v="5917"/>
    <n v="6212.85"/>
    <n v="195"/>
    <n v="28481.71"/>
    <n v="5.9499029633875329E-2"/>
    <n v="1.05"/>
    <n v="31.860769230769233"/>
    <n v="4.5843228148112374"/>
  </r>
  <r>
    <x v="333"/>
    <x v="2"/>
    <x v="2"/>
    <x v="2"/>
    <x v="0"/>
    <n v="170910"/>
    <n v="3315"/>
    <n v="1657.5"/>
    <n v="167"/>
    <n v="41334.160000000003"/>
    <n v="1.9396173424609444E-2"/>
    <n v="0.5"/>
    <n v="9.9251497005988032"/>
    <n v="24.937653092006034"/>
  </r>
  <r>
    <x v="318"/>
    <x v="2"/>
    <x v="1"/>
    <x v="2"/>
    <x v="2"/>
    <n v="180259"/>
    <n v="2072"/>
    <n v="2838.64"/>
    <n v="136"/>
    <n v="10032.66"/>
    <n v="1.1494571699610006E-2"/>
    <n v="1.3699999999999999"/>
    <n v="20.872352941176469"/>
    <n v="3.5343192514725361"/>
  </r>
  <r>
    <x v="277"/>
    <x v="2"/>
    <x v="1"/>
    <x v="2"/>
    <x v="0"/>
    <n v="146964"/>
    <n v="5246"/>
    <n v="10439.540000000001"/>
    <n v="131"/>
    <n v="7261.59"/>
    <n v="3.5695816662584035E-2"/>
    <n v="1.9900000000000002"/>
    <n v="79.691145038167946"/>
    <n v="0.69558524609321859"/>
  </r>
  <r>
    <x v="99"/>
    <x v="2"/>
    <x v="3"/>
    <x v="1"/>
    <x v="3"/>
    <n v="153057"/>
    <n v="2969"/>
    <n v="6650.56"/>
    <n v="148"/>
    <n v="28216.02"/>
    <n v="1.939800205152329E-2"/>
    <n v="2.2400000000000002"/>
    <n v="44.936216216216216"/>
    <n v="4.2426532502526104"/>
  </r>
  <r>
    <x v="262"/>
    <x v="0"/>
    <x v="0"/>
    <x v="3"/>
    <x v="1"/>
    <n v="78635"/>
    <n v="2587"/>
    <n v="6079.45"/>
    <n v="106"/>
    <n v="21303.72"/>
    <n v="3.2898836396006867E-2"/>
    <n v="2.35"/>
    <n v="57.353301886792451"/>
    <n v="3.5042183092220518"/>
  </r>
  <r>
    <x v="30"/>
    <x v="2"/>
    <x v="3"/>
    <x v="2"/>
    <x v="0"/>
    <n v="54031"/>
    <n v="2215"/>
    <n v="3676.9"/>
    <n v="157"/>
    <n v="22778.62"/>
    <n v="4.0994984360829892E-2"/>
    <n v="1.6600000000000001"/>
    <n v="23.419745222929937"/>
    <n v="6.1950610568685569"/>
  </r>
  <r>
    <x v="300"/>
    <x v="0"/>
    <x v="1"/>
    <x v="3"/>
    <x v="3"/>
    <n v="162743"/>
    <n v="8723"/>
    <n v="15439.71"/>
    <n v="106"/>
    <n v="20056.78"/>
    <n v="5.3599847612493319E-2"/>
    <n v="1.7699999999999998"/>
    <n v="145.65764150943394"/>
    <n v="1.2990386477466223"/>
  </r>
  <r>
    <x v="246"/>
    <x v="0"/>
    <x v="3"/>
    <x v="2"/>
    <x v="4"/>
    <n v="144494"/>
    <n v="8409"/>
    <n v="25563.360000000001"/>
    <n v="93"/>
    <n v="20233.22"/>
    <n v="5.8196188077013579E-2"/>
    <n v="3.04"/>
    <n v="274.87483870967742"/>
    <n v="0.79149298057845296"/>
  </r>
  <r>
    <x v="102"/>
    <x v="0"/>
    <x v="0"/>
    <x v="0"/>
    <x v="6"/>
    <n v="112549"/>
    <n v="6640"/>
    <n v="24368.799999999999"/>
    <n v="374"/>
    <n v="21696.69"/>
    <n v="5.8996525957582917E-2"/>
    <n v="3.67"/>
    <n v="65.157219251336898"/>
    <n v="0.89034708315551025"/>
  </r>
  <r>
    <x v="162"/>
    <x v="0"/>
    <x v="0"/>
    <x v="4"/>
    <x v="2"/>
    <n v="148994"/>
    <n v="7509"/>
    <n v="25981.14"/>
    <n v="588"/>
    <n v="82753.509999999995"/>
    <n v="5.0398002604131707E-2"/>
    <n v="3.46"/>
    <n v="44.18561224489796"/>
    <n v="3.1851377576195654"/>
  </r>
  <r>
    <x v="291"/>
    <x v="0"/>
    <x v="3"/>
    <x v="0"/>
    <x v="4"/>
    <n v="87373"/>
    <n v="3643"/>
    <n v="3825.15"/>
    <n v="289"/>
    <n v="35842.03"/>
    <n v="4.1694802742265918E-2"/>
    <n v="1.05"/>
    <n v="13.235813148788928"/>
    <n v="9.3700979046573334"/>
  </r>
  <r>
    <x v="227"/>
    <x v="1"/>
    <x v="2"/>
    <x v="4"/>
    <x v="6"/>
    <n v="41200"/>
    <n v="1763"/>
    <n v="3138.14"/>
    <n v="101"/>
    <n v="27614.2"/>
    <n v="4.2791262135922332E-2"/>
    <n v="1.78"/>
    <n v="31.07069306930693"/>
    <n v="8.7995436787396368"/>
  </r>
  <r>
    <x v="162"/>
    <x v="0"/>
    <x v="0"/>
    <x v="0"/>
    <x v="5"/>
    <n v="51986"/>
    <n v="1996"/>
    <n v="3053.88"/>
    <n v="82"/>
    <n v="20819.66"/>
    <n v="3.8394952487208096E-2"/>
    <n v="1.53"/>
    <n v="37.242439024390244"/>
    <n v="6.8174453482127655"/>
  </r>
  <r>
    <x v="5"/>
    <x v="2"/>
    <x v="0"/>
    <x v="0"/>
    <x v="3"/>
    <n v="190392"/>
    <n v="6016"/>
    <n v="13776.64"/>
    <n v="165"/>
    <n v="35908.75"/>
    <n v="3.159796630110509E-2"/>
    <n v="2.29"/>
    <n v="83.494787878787875"/>
    <n v="2.6064954880144944"/>
  </r>
  <r>
    <x v="132"/>
    <x v="1"/>
    <x v="2"/>
    <x v="4"/>
    <x v="3"/>
    <n v="137817"/>
    <n v="8654"/>
    <n v="13154.08"/>
    <n v="392"/>
    <n v="54000.95"/>
    <n v="6.2793414455401E-2"/>
    <n v="1.52"/>
    <n v="33.556326530612246"/>
    <n v="4.1052623976743332"/>
  </r>
  <r>
    <x v="109"/>
    <x v="1"/>
    <x v="1"/>
    <x v="0"/>
    <x v="2"/>
    <n v="153145"/>
    <n v="7197"/>
    <n v="7340.94"/>
    <n v="89"/>
    <n v="6214.05"/>
    <n v="4.6994678246106633E-2"/>
    <n v="1.02"/>
    <n v="82.482471910112352"/>
    <n v="0.84649241105362538"/>
  </r>
  <r>
    <x v="40"/>
    <x v="0"/>
    <x v="2"/>
    <x v="4"/>
    <x v="2"/>
    <n v="20718"/>
    <n v="426"/>
    <n v="1128.9000000000001"/>
    <n v="22"/>
    <n v="1505.14"/>
    <n v="2.0561830292499274E-2"/>
    <n v="2.6500000000000004"/>
    <n v="51.31363636363637"/>
    <n v="1.3332801842501549"/>
  </r>
  <r>
    <x v="1"/>
    <x v="1"/>
    <x v="2"/>
    <x v="0"/>
    <x v="3"/>
    <n v="5059"/>
    <n v="415"/>
    <n v="302.95"/>
    <n v="4"/>
    <n v="798.87"/>
    <n v="8.2032022138762595E-2"/>
    <n v="0.73"/>
    <n v="75.737499999999997"/>
    <n v="2.6369697969962043"/>
  </r>
  <r>
    <x v="66"/>
    <x v="1"/>
    <x v="0"/>
    <x v="3"/>
    <x v="2"/>
    <n v="96045"/>
    <n v="5820"/>
    <n v="1804.2"/>
    <n v="235"/>
    <n v="47063.54"/>
    <n v="6.0596595345931592E-2"/>
    <n v="0.31"/>
    <n v="7.6774468085106387"/>
    <n v="26.085544839818201"/>
  </r>
  <r>
    <x v="202"/>
    <x v="0"/>
    <x v="3"/>
    <x v="4"/>
    <x v="0"/>
    <n v="12644"/>
    <n v="572"/>
    <n v="1269.8399999999999"/>
    <n v="36"/>
    <n v="7362.94"/>
    <n v="4.523884846567542E-2"/>
    <n v="2.2199999999999998"/>
    <n v="35.273333333333333"/>
    <n v="5.7983210483210481"/>
  </r>
  <r>
    <x v="223"/>
    <x v="0"/>
    <x v="1"/>
    <x v="1"/>
    <x v="4"/>
    <n v="91901"/>
    <n v="3326"/>
    <n v="8581.08"/>
    <n v="261"/>
    <n v="77117.41"/>
    <n v="3.6191118703822592E-2"/>
    <n v="2.58"/>
    <n v="32.877701149425285"/>
    <n v="8.9869119038629179"/>
  </r>
  <r>
    <x v="230"/>
    <x v="0"/>
    <x v="0"/>
    <x v="0"/>
    <x v="4"/>
    <n v="120431"/>
    <n v="6262"/>
    <n v="17345.740000000002"/>
    <n v="188"/>
    <n v="8830.89"/>
    <n v="5.1996578953923824E-2"/>
    <n v="2.7700000000000005"/>
    <n v="92.264574468085115"/>
    <n v="0.50911001779111176"/>
  </r>
  <r>
    <x v="139"/>
    <x v="0"/>
    <x v="0"/>
    <x v="0"/>
    <x v="3"/>
    <n v="7948"/>
    <n v="289"/>
    <n v="598.23"/>
    <n v="6"/>
    <n v="1368.08"/>
    <n v="3.6361348766985407E-2"/>
    <n v="2.0700000000000003"/>
    <n v="99.704999999999998"/>
    <n v="2.286879628236631"/>
  </r>
  <r>
    <x v="6"/>
    <x v="2"/>
    <x v="1"/>
    <x v="4"/>
    <x v="0"/>
    <n v="108924"/>
    <n v="2134"/>
    <n v="874.94"/>
    <n v="85"/>
    <n v="7418.36"/>
    <n v="1.9591641878741142E-2"/>
    <n v="0.41000000000000003"/>
    <n v="10.293411764705883"/>
    <n v="8.4787071113447769"/>
  </r>
  <r>
    <x v="230"/>
    <x v="0"/>
    <x v="0"/>
    <x v="3"/>
    <x v="3"/>
    <n v="66402"/>
    <n v="2695"/>
    <n v="5012.7"/>
    <n v="199"/>
    <n v="14266.46"/>
    <n v="4.0586126923887834E-2"/>
    <n v="1.8599999999999999"/>
    <n v="25.189447236180904"/>
    <n v="2.8460629999800506"/>
  </r>
  <r>
    <x v="23"/>
    <x v="0"/>
    <x v="3"/>
    <x v="1"/>
    <x v="4"/>
    <n v="96676"/>
    <n v="5326"/>
    <n v="8894.42"/>
    <n v="355"/>
    <n v="14113.5"/>
    <n v="5.5091232570648352E-2"/>
    <n v="1.67"/>
    <n v="25.054704225352111"/>
    <n v="1.5867813752892264"/>
  </r>
  <r>
    <x v="346"/>
    <x v="2"/>
    <x v="0"/>
    <x v="0"/>
    <x v="2"/>
    <n v="10108"/>
    <n v="320"/>
    <n v="163.19999999999999"/>
    <n v="8"/>
    <n v="624.20000000000005"/>
    <n v="3.1658092599920855E-2"/>
    <n v="0.51"/>
    <n v="20.399999999999999"/>
    <n v="3.8247549019607847"/>
  </r>
  <r>
    <x v="230"/>
    <x v="0"/>
    <x v="0"/>
    <x v="3"/>
    <x v="1"/>
    <n v="23936"/>
    <n v="1211"/>
    <n v="3269.7"/>
    <n v="49"/>
    <n v="7236.18"/>
    <n v="5.0593248663101602E-2"/>
    <n v="2.6999999999999997"/>
    <n v="66.728571428571428"/>
    <n v="2.2131021194605012"/>
  </r>
  <r>
    <x v="95"/>
    <x v="2"/>
    <x v="3"/>
    <x v="3"/>
    <x v="5"/>
    <n v="157455"/>
    <n v="3810"/>
    <n v="4724.3999999999996"/>
    <n v="244"/>
    <n v="55928.06"/>
    <n v="2.4197389730399161E-2"/>
    <n v="1.24"/>
    <n v="19.362295081967211"/>
    <n v="11.838129709592753"/>
  </r>
  <r>
    <x v="197"/>
    <x v="0"/>
    <x v="2"/>
    <x v="0"/>
    <x v="6"/>
    <n v="165805"/>
    <n v="9832"/>
    <n v="27136.32"/>
    <n v="509"/>
    <n v="143237.84"/>
    <n v="5.9298573625644585E-2"/>
    <n v="2.76"/>
    <n v="53.313005893909626"/>
    <n v="5.2784548531267319"/>
  </r>
  <r>
    <x v="145"/>
    <x v="2"/>
    <x v="0"/>
    <x v="0"/>
    <x v="2"/>
    <n v="69385"/>
    <n v="2650"/>
    <n v="4505"/>
    <n v="160"/>
    <n v="32080.73"/>
    <n v="3.8192692945161061E-2"/>
    <n v="1.7"/>
    <n v="28.15625"/>
    <n v="7.121138734739179"/>
  </r>
  <r>
    <x v="43"/>
    <x v="1"/>
    <x v="1"/>
    <x v="2"/>
    <x v="6"/>
    <n v="89944"/>
    <n v="2644"/>
    <n v="819.64"/>
    <n v="80"/>
    <n v="12715.09"/>
    <n v="2.9396068664947077E-2"/>
    <n v="0.31"/>
    <n v="10.2455"/>
    <n v="15.513017910302084"/>
  </r>
  <r>
    <x v="187"/>
    <x v="2"/>
    <x v="0"/>
    <x v="3"/>
    <x v="5"/>
    <n v="62603"/>
    <n v="1396"/>
    <n v="2094"/>
    <n v="17"/>
    <n v="2988.24"/>
    <n v="2.2299250834624539E-2"/>
    <n v="1.5"/>
    <n v="123.17647058823529"/>
    <n v="1.4270487106017191"/>
  </r>
  <r>
    <x v="108"/>
    <x v="2"/>
    <x v="2"/>
    <x v="1"/>
    <x v="2"/>
    <n v="62284"/>
    <n v="1413"/>
    <n v="1497.78"/>
    <n v="88"/>
    <n v="10561.64"/>
    <n v="2.268640421295999E-2"/>
    <n v="1.06"/>
    <n v="17.020227272727272"/>
    <n v="7.0515295971370957"/>
  </r>
  <r>
    <x v="102"/>
    <x v="2"/>
    <x v="1"/>
    <x v="1"/>
    <x v="2"/>
    <n v="172812"/>
    <n v="2972"/>
    <n v="2942.28"/>
    <n v="178"/>
    <n v="47180.83"/>
    <n v="1.7197879776867347E-2"/>
    <n v="0.9900000000000001"/>
    <n v="16.529662921348315"/>
    <n v="16.035465693271885"/>
  </r>
  <r>
    <x v="93"/>
    <x v="0"/>
    <x v="0"/>
    <x v="2"/>
    <x v="0"/>
    <n v="82764"/>
    <n v="2276"/>
    <n v="2071.16"/>
    <n v="130"/>
    <n v="22792.2"/>
    <n v="2.7499879174520323E-2"/>
    <n v="0.90999999999999992"/>
    <n v="15.931999999999999"/>
    <n v="11.004557832325847"/>
  </r>
  <r>
    <x v="219"/>
    <x v="2"/>
    <x v="0"/>
    <x v="4"/>
    <x v="5"/>
    <n v="133260"/>
    <n v="2611"/>
    <n v="5430.88"/>
    <n v="108"/>
    <n v="16755.509999999998"/>
    <n v="1.959327630196608E-2"/>
    <n v="2.08"/>
    <n v="50.28592592592593"/>
    <n v="3.0852292814424178"/>
  </r>
  <r>
    <x v="125"/>
    <x v="0"/>
    <x v="0"/>
    <x v="0"/>
    <x v="6"/>
    <n v="188420"/>
    <n v="9364"/>
    <n v="24814.6"/>
    <n v="324"/>
    <n v="68719.44"/>
    <n v="4.9697484343487953E-2"/>
    <n v="2.65"/>
    <n v="76.588271604938271"/>
    <n v="2.7693148388448741"/>
  </r>
  <r>
    <x v="50"/>
    <x v="0"/>
    <x v="2"/>
    <x v="0"/>
    <x v="1"/>
    <n v="89431"/>
    <n v="3300"/>
    <n v="4851"/>
    <n v="56"/>
    <n v="9891.8799999999992"/>
    <n v="3.689995639096063E-2"/>
    <n v="1.47"/>
    <n v="86.625"/>
    <n v="2.0391424448567306"/>
  </r>
  <r>
    <x v="144"/>
    <x v="0"/>
    <x v="3"/>
    <x v="4"/>
    <x v="2"/>
    <n v="52897"/>
    <n v="1883"/>
    <n v="5215.91"/>
    <n v="108"/>
    <n v="5473.28"/>
    <n v="3.5597481898784429E-2"/>
    <n v="2.77"/>
    <n v="48.295462962962965"/>
    <n v="1.0493432593737237"/>
  </r>
  <r>
    <x v="77"/>
    <x v="0"/>
    <x v="2"/>
    <x v="3"/>
    <x v="1"/>
    <n v="83334"/>
    <n v="3341"/>
    <n v="5779.93"/>
    <n v="256"/>
    <n v="32514.9"/>
    <n v="4.0091679266565865E-2"/>
    <n v="1.73"/>
    <n v="22.577851562500001"/>
    <n v="5.6254833536046283"/>
  </r>
  <r>
    <x v="165"/>
    <x v="1"/>
    <x v="2"/>
    <x v="3"/>
    <x v="2"/>
    <n v="180721"/>
    <n v="9379"/>
    <n v="12192.7"/>
    <n v="286"/>
    <n v="52558.42"/>
    <n v="5.1897676529014336E-2"/>
    <n v="1.3"/>
    <n v="42.631818181818183"/>
    <n v="4.310646534401732"/>
  </r>
  <r>
    <x v="339"/>
    <x v="1"/>
    <x v="3"/>
    <x v="2"/>
    <x v="6"/>
    <n v="195759"/>
    <n v="7262"/>
    <n v="3413.14"/>
    <n v="75"/>
    <n v="16681.830000000002"/>
    <n v="3.7096634126655738E-2"/>
    <n v="0.47"/>
    <n v="45.508533333333332"/>
    <n v="4.8875317156635836"/>
  </r>
  <r>
    <x v="87"/>
    <x v="0"/>
    <x v="1"/>
    <x v="3"/>
    <x v="2"/>
    <n v="158514"/>
    <n v="4565"/>
    <n v="9769.1"/>
    <n v="235"/>
    <n v="15388.32"/>
    <n v="2.8798718094300818E-2"/>
    <n v="2.14"/>
    <n v="41.570638297872343"/>
    <n v="1.5752034476052041"/>
  </r>
  <r>
    <x v="44"/>
    <x v="2"/>
    <x v="1"/>
    <x v="3"/>
    <x v="2"/>
    <n v="82948"/>
    <n v="2347"/>
    <n v="5421.57"/>
    <n v="65"/>
    <n v="10510.94"/>
    <n v="2.8294835318512804E-2"/>
    <n v="2.31"/>
    <n v="83.408769230769224"/>
    <n v="1.9387262361271738"/>
  </r>
  <r>
    <x v="341"/>
    <x v="0"/>
    <x v="1"/>
    <x v="3"/>
    <x v="4"/>
    <n v="44420"/>
    <n v="1066"/>
    <n v="3880.24"/>
    <n v="44"/>
    <n v="2655.91"/>
    <n v="2.3998199009455202E-2"/>
    <n v="3.6399999999999997"/>
    <n v="88.187272727272727"/>
    <n v="0.68447054821351261"/>
  </r>
  <r>
    <x v="209"/>
    <x v="1"/>
    <x v="0"/>
    <x v="0"/>
    <x v="0"/>
    <n v="57006"/>
    <n v="2981"/>
    <n v="3279.1"/>
    <n v="192"/>
    <n v="40566.370000000003"/>
    <n v="5.2292741114970356E-2"/>
    <n v="1.0999999999999999"/>
    <n v="17.078645833333333"/>
    <n v="12.371190265621665"/>
  </r>
  <r>
    <x v="285"/>
    <x v="2"/>
    <x v="1"/>
    <x v="3"/>
    <x v="2"/>
    <n v="37588"/>
    <n v="1191"/>
    <n v="2334.36"/>
    <n v="48"/>
    <n v="13381.03"/>
    <n v="3.1685644354581252E-2"/>
    <n v="1.9600000000000002"/>
    <n v="48.6325"/>
    <n v="5.7322049726691686"/>
  </r>
  <r>
    <x v="341"/>
    <x v="1"/>
    <x v="2"/>
    <x v="2"/>
    <x v="6"/>
    <n v="196605"/>
    <n v="14922"/>
    <n v="26262.720000000001"/>
    <n v="757"/>
    <n v="181823.28"/>
    <n v="7.5898374914167996E-2"/>
    <n v="1.76"/>
    <n v="34.693157199471599"/>
    <n v="6.9232463354900018"/>
  </r>
  <r>
    <x v="227"/>
    <x v="2"/>
    <x v="1"/>
    <x v="0"/>
    <x v="3"/>
    <n v="59376"/>
    <n v="564"/>
    <n v="360.96"/>
    <n v="25"/>
    <n v="4065.83"/>
    <n v="9.4987873888439777E-3"/>
    <n v="0.64"/>
    <n v="14.4384"/>
    <n v="11.263935062056738"/>
  </r>
  <r>
    <x v="95"/>
    <x v="2"/>
    <x v="1"/>
    <x v="4"/>
    <x v="5"/>
    <n v="15865"/>
    <n v="528"/>
    <n v="992.64"/>
    <n v="39"/>
    <n v="3165.22"/>
    <n v="3.3280806807437759E-2"/>
    <n v="1.88"/>
    <n v="25.452307692307691"/>
    <n v="3.1886887491940681"/>
  </r>
  <r>
    <x v="27"/>
    <x v="0"/>
    <x v="1"/>
    <x v="1"/>
    <x v="0"/>
    <n v="80511"/>
    <n v="3622"/>
    <n v="12025.04"/>
    <n v="140"/>
    <n v="31780.44"/>
    <n v="4.4987641440300083E-2"/>
    <n v="3.3200000000000003"/>
    <n v="85.893142857142863"/>
    <n v="2.6428552420615645"/>
  </r>
  <r>
    <x v="249"/>
    <x v="0"/>
    <x v="2"/>
    <x v="4"/>
    <x v="1"/>
    <n v="143944"/>
    <n v="7873"/>
    <n v="16612.03"/>
    <n v="513"/>
    <n v="65899.820000000007"/>
    <n v="5.4694881342744403E-2"/>
    <n v="2.11"/>
    <n v="32.38212475633528"/>
    <n v="3.9669937990721191"/>
  </r>
  <r>
    <x v="125"/>
    <x v="2"/>
    <x v="0"/>
    <x v="3"/>
    <x v="1"/>
    <n v="44612"/>
    <n v="811"/>
    <n v="1622"/>
    <n v="23"/>
    <n v="1008.1"/>
    <n v="1.8178965300815923E-2"/>
    <n v="2"/>
    <n v="70.521739130434781"/>
    <n v="0.62151664611590629"/>
  </r>
  <r>
    <x v="9"/>
    <x v="0"/>
    <x v="3"/>
    <x v="4"/>
    <x v="6"/>
    <n v="17299"/>
    <n v="479"/>
    <n v="929.26"/>
    <n v="30"/>
    <n v="3163.73"/>
    <n v="2.768946181860223E-2"/>
    <n v="1.94"/>
    <n v="30.975333333333332"/>
    <n v="3.4045692271269612"/>
  </r>
  <r>
    <x v="121"/>
    <x v="1"/>
    <x v="2"/>
    <x v="2"/>
    <x v="0"/>
    <n v="71514"/>
    <n v="3354"/>
    <n v="4393.74"/>
    <n v="165"/>
    <n v="17363.87"/>
    <n v="4.6899907710378386E-2"/>
    <n v="1.3099999999999998"/>
    <n v="26.628727272727271"/>
    <n v="3.9519566474119996"/>
  </r>
  <r>
    <x v="147"/>
    <x v="0"/>
    <x v="1"/>
    <x v="4"/>
    <x v="5"/>
    <n v="37135"/>
    <n v="1006"/>
    <n v="1931.52"/>
    <n v="62"/>
    <n v="17772.87"/>
    <n v="2.7090346034738116E-2"/>
    <n v="1.92"/>
    <n v="31.153548387096773"/>
    <n v="9.2014941600397613"/>
  </r>
  <r>
    <x v="268"/>
    <x v="0"/>
    <x v="3"/>
    <x v="1"/>
    <x v="0"/>
    <n v="80542"/>
    <n v="4236"/>
    <n v="9107.4"/>
    <n v="104"/>
    <n v="15932.35"/>
    <n v="5.2593677832683566E-2"/>
    <n v="2.15"/>
    <n v="87.571153846153848"/>
    <n v="1.7493851154006632"/>
  </r>
  <r>
    <x v="187"/>
    <x v="0"/>
    <x v="2"/>
    <x v="4"/>
    <x v="6"/>
    <n v="112992"/>
    <n v="2802"/>
    <n v="8406"/>
    <n v="124"/>
    <n v="7395.68"/>
    <n v="2.4798215802888698E-2"/>
    <n v="3"/>
    <n v="67.790322580645167"/>
    <n v="0.87980965976683323"/>
  </r>
  <r>
    <x v="77"/>
    <x v="2"/>
    <x v="0"/>
    <x v="3"/>
    <x v="1"/>
    <n v="119863"/>
    <n v="1114"/>
    <n v="1370.22"/>
    <n v="75"/>
    <n v="21180.36"/>
    <n v="9.293943919307877E-3"/>
    <n v="1.23"/>
    <n v="18.269600000000001"/>
    <n v="15.457634540438761"/>
  </r>
  <r>
    <x v="110"/>
    <x v="1"/>
    <x v="0"/>
    <x v="0"/>
    <x v="3"/>
    <n v="108806"/>
    <n v="5070"/>
    <n v="1825.2"/>
    <n v="279"/>
    <n v="26787.94"/>
    <n v="4.6596695035200267E-2"/>
    <n v="0.36"/>
    <n v="6.5419354838709678"/>
    <n v="14.676714880561033"/>
  </r>
  <r>
    <x v="188"/>
    <x v="1"/>
    <x v="2"/>
    <x v="2"/>
    <x v="1"/>
    <n v="7234"/>
    <n v="496"/>
    <n v="352.16"/>
    <n v="10"/>
    <n v="399.8"/>
    <n v="6.8565109206524741E-2"/>
    <n v="0.71000000000000008"/>
    <n v="35.216000000000001"/>
    <n v="1.1352794184461608"/>
  </r>
  <r>
    <x v="343"/>
    <x v="2"/>
    <x v="2"/>
    <x v="0"/>
    <x v="6"/>
    <n v="143541"/>
    <n v="1980"/>
    <n v="2791.8"/>
    <n v="152"/>
    <n v="42063.3"/>
    <n v="1.379396827387297E-2"/>
    <n v="1.4100000000000001"/>
    <n v="18.367105263157896"/>
    <n v="15.066731141199226"/>
  </r>
  <r>
    <x v="37"/>
    <x v="1"/>
    <x v="1"/>
    <x v="1"/>
    <x v="5"/>
    <n v="5497"/>
    <n v="231"/>
    <n v="318.77999999999997"/>
    <n v="18"/>
    <n v="4467.32"/>
    <n v="4.202292159359651E-2"/>
    <n v="1.38"/>
    <n v="17.709999999999997"/>
    <n v="14.013802622498275"/>
  </r>
  <r>
    <x v="296"/>
    <x v="2"/>
    <x v="3"/>
    <x v="1"/>
    <x v="1"/>
    <n v="160478"/>
    <n v="4413"/>
    <n v="4501.26"/>
    <n v="82"/>
    <n v="13362.88"/>
    <n v="2.7499096449357545E-2"/>
    <n v="1.02"/>
    <n v="54.893414634146346"/>
    <n v="2.9686976535458958"/>
  </r>
  <r>
    <x v="35"/>
    <x v="0"/>
    <x v="1"/>
    <x v="4"/>
    <x v="1"/>
    <n v="116011"/>
    <n v="2726"/>
    <n v="5342.96"/>
    <n v="127"/>
    <n v="4188.78"/>
    <n v="2.3497771763022472E-2"/>
    <n v="1.96"/>
    <n v="42.07055118110236"/>
    <n v="0.78398116399898177"/>
  </r>
  <r>
    <x v="300"/>
    <x v="2"/>
    <x v="0"/>
    <x v="1"/>
    <x v="3"/>
    <n v="166243"/>
    <n v="1895"/>
    <n v="1743.4"/>
    <n v="51"/>
    <n v="5887.21"/>
    <n v="1.139897619749403E-2"/>
    <n v="0.92"/>
    <n v="34.184313725490199"/>
    <n v="3.3768555695766889"/>
  </r>
  <r>
    <x v="214"/>
    <x v="1"/>
    <x v="1"/>
    <x v="4"/>
    <x v="6"/>
    <n v="62868"/>
    <n v="2715"/>
    <n v="4344"/>
    <n v="180"/>
    <n v="35590.01"/>
    <n v="4.3185722466119486E-2"/>
    <n v="1.6"/>
    <n v="24.133333333333333"/>
    <n v="8.1929120626151022"/>
  </r>
  <r>
    <x v="91"/>
    <x v="0"/>
    <x v="1"/>
    <x v="1"/>
    <x v="0"/>
    <n v="132953"/>
    <n v="8163"/>
    <n v="22529.88"/>
    <n v="130"/>
    <n v="16572.400000000001"/>
    <n v="6.139763675885463E-2"/>
    <n v="2.7600000000000002"/>
    <n v="173.30676923076925"/>
    <n v="0.73557426848256624"/>
  </r>
  <r>
    <x v="334"/>
    <x v="2"/>
    <x v="3"/>
    <x v="2"/>
    <x v="0"/>
    <n v="107326"/>
    <n v="2436"/>
    <n v="1875.72"/>
    <n v="84"/>
    <n v="5936.35"/>
    <n v="2.2697202914484842E-2"/>
    <n v="0.77"/>
    <n v="22.330000000000002"/>
    <n v="3.1648380355276911"/>
  </r>
  <r>
    <x v="211"/>
    <x v="1"/>
    <x v="0"/>
    <x v="4"/>
    <x v="6"/>
    <n v="24854"/>
    <n v="1106"/>
    <n v="1260.8399999999999"/>
    <n v="38"/>
    <n v="8735.32"/>
    <n v="4.4499879295083283E-2"/>
    <n v="1.1399999999999999"/>
    <n v="33.18"/>
    <n v="6.928174867548619"/>
  </r>
  <r>
    <x v="7"/>
    <x v="0"/>
    <x v="3"/>
    <x v="2"/>
    <x v="5"/>
    <n v="175949"/>
    <n v="7108"/>
    <n v="17343.52"/>
    <n v="75"/>
    <n v="22062.99"/>
    <n v="4.0398069895253741E-2"/>
    <n v="2.44"/>
    <n v="231.24693333333335"/>
    <n v="1.2721171942027916"/>
  </r>
  <r>
    <x v="359"/>
    <x v="1"/>
    <x v="2"/>
    <x v="1"/>
    <x v="2"/>
    <n v="131956"/>
    <n v="7772"/>
    <n v="2253.88"/>
    <n v="211"/>
    <n v="23120.58"/>
    <n v="5.8898420685683107E-2"/>
    <n v="0.29000000000000004"/>
    <n v="10.681895734597157"/>
    <n v="10.258123768789821"/>
  </r>
  <r>
    <x v="317"/>
    <x v="0"/>
    <x v="1"/>
    <x v="2"/>
    <x v="0"/>
    <n v="90096"/>
    <n v="4784"/>
    <n v="15165.28"/>
    <n v="310"/>
    <n v="81015.37"/>
    <n v="5.3098916711063752E-2"/>
    <n v="3.17"/>
    <n v="48.920258064516133"/>
    <n v="5.342161173417173"/>
  </r>
  <r>
    <x v="272"/>
    <x v="0"/>
    <x v="1"/>
    <x v="4"/>
    <x v="1"/>
    <n v="48766"/>
    <n v="1731"/>
    <n v="1800.24"/>
    <n v="44"/>
    <n v="12477.84"/>
    <n v="3.5496042324570397E-2"/>
    <n v="1.04"/>
    <n v="40.914545454545454"/>
    <n v="6.9312091721103855"/>
  </r>
  <r>
    <x v="282"/>
    <x v="2"/>
    <x v="3"/>
    <x v="0"/>
    <x v="2"/>
    <n v="68989"/>
    <n v="2952"/>
    <n v="5284.08"/>
    <n v="169"/>
    <n v="14776.11"/>
    <n v="4.2789430199017237E-2"/>
    <n v="1.79"/>
    <n v="31.266745562130176"/>
    <n v="2.79634486987328"/>
  </r>
  <r>
    <x v="215"/>
    <x v="0"/>
    <x v="0"/>
    <x v="4"/>
    <x v="5"/>
    <n v="197557"/>
    <n v="4326"/>
    <n v="5104.68"/>
    <n v="259"/>
    <n v="39016.050000000003"/>
    <n v="2.1897477689983146E-2"/>
    <n v="1.1800000000000002"/>
    <n v="19.709189189189189"/>
    <n v="7.6431921295752137"/>
  </r>
  <r>
    <x v="195"/>
    <x v="0"/>
    <x v="1"/>
    <x v="4"/>
    <x v="4"/>
    <n v="96178"/>
    <n v="4328"/>
    <n v="14542.08"/>
    <n v="275"/>
    <n v="37193.1"/>
    <n v="4.4999896026118237E-2"/>
    <n v="3.36"/>
    <n v="52.88029090909091"/>
    <n v="2.5576189926062844"/>
  </r>
  <r>
    <x v="99"/>
    <x v="1"/>
    <x v="2"/>
    <x v="2"/>
    <x v="5"/>
    <n v="144940"/>
    <n v="5333"/>
    <n v="6986.23"/>
    <n v="148"/>
    <n v="32610.09"/>
    <n v="3.6794535669932384E-2"/>
    <n v="1.3099999999999998"/>
    <n v="47.204256756756756"/>
    <n v="4.6677664491435298"/>
  </r>
  <r>
    <x v="337"/>
    <x v="1"/>
    <x v="2"/>
    <x v="3"/>
    <x v="0"/>
    <n v="152322"/>
    <n v="13678"/>
    <n v="5607.98"/>
    <n v="813"/>
    <n v="103237.84"/>
    <n v="8.9796615065453445E-2"/>
    <n v="0.41"/>
    <n v="6.8978843788437878"/>
    <n v="18.40909561018406"/>
  </r>
  <r>
    <x v="257"/>
    <x v="0"/>
    <x v="3"/>
    <x v="1"/>
    <x v="6"/>
    <n v="89124"/>
    <n v="2664"/>
    <n v="3303.36"/>
    <n v="198"/>
    <n v="52262.98"/>
    <n v="2.9890938467752794E-2"/>
    <n v="1.24"/>
    <n v="16.683636363636364"/>
    <n v="15.821157851399787"/>
  </r>
  <r>
    <x v="94"/>
    <x v="0"/>
    <x v="1"/>
    <x v="0"/>
    <x v="5"/>
    <n v="126404"/>
    <n v="2073"/>
    <n v="1907.16"/>
    <n v="24"/>
    <n v="3807.61"/>
    <n v="1.6399797474763458E-2"/>
    <n v="0.92"/>
    <n v="79.465000000000003"/>
    <n v="1.9964816795654272"/>
  </r>
  <r>
    <x v="299"/>
    <x v="2"/>
    <x v="0"/>
    <x v="2"/>
    <x v="4"/>
    <n v="84654"/>
    <n v="2937"/>
    <n v="5404.08"/>
    <n v="104"/>
    <n v="30747.279999999999"/>
    <n v="3.469416684385853E-2"/>
    <n v="1.84"/>
    <n v="51.962307692307689"/>
    <n v="5.6896419001939273"/>
  </r>
  <r>
    <x v="234"/>
    <x v="2"/>
    <x v="1"/>
    <x v="1"/>
    <x v="3"/>
    <n v="95987"/>
    <n v="1919"/>
    <n v="3281.49"/>
    <n v="124"/>
    <n v="28533.79"/>
    <n v="1.999229062268849E-2"/>
    <n v="1.71"/>
    <n v="26.463629032258062"/>
    <n v="8.695376185818029"/>
  </r>
  <r>
    <x v="331"/>
    <x v="0"/>
    <x v="2"/>
    <x v="3"/>
    <x v="0"/>
    <n v="154088"/>
    <n v="9106"/>
    <n v="29503.439999999999"/>
    <n v="294"/>
    <n v="42565.78"/>
    <n v="5.9096100929339077E-2"/>
    <n v="3.2399999999999998"/>
    <n v="100.35183673469388"/>
    <n v="1.4427395585057201"/>
  </r>
  <r>
    <x v="13"/>
    <x v="1"/>
    <x v="0"/>
    <x v="1"/>
    <x v="6"/>
    <n v="71883"/>
    <n v="2077"/>
    <n v="3551.67"/>
    <n v="87"/>
    <n v="12811.32"/>
    <n v="2.8894175257014872E-2"/>
    <n v="1.71"/>
    <n v="40.823793103448274"/>
    <n v="3.6071256620125181"/>
  </r>
  <r>
    <x v="265"/>
    <x v="2"/>
    <x v="2"/>
    <x v="4"/>
    <x v="0"/>
    <n v="133716"/>
    <n v="1617"/>
    <n v="1374.45"/>
    <n v="48"/>
    <n v="3570.09"/>
    <n v="1.209279368213228E-2"/>
    <n v="0.85"/>
    <n v="28.634375000000002"/>
    <n v="2.5974680781403472"/>
  </r>
  <r>
    <x v="25"/>
    <x v="1"/>
    <x v="3"/>
    <x v="0"/>
    <x v="3"/>
    <n v="43319"/>
    <n v="2534"/>
    <n v="4206.4399999999996"/>
    <n v="111"/>
    <n v="10456.870000000001"/>
    <n v="5.8496271843763707E-2"/>
    <n v="1.66"/>
    <n v="37.895855855855849"/>
    <n v="2.4859192095929101"/>
  </r>
  <r>
    <x v="288"/>
    <x v="0"/>
    <x v="0"/>
    <x v="4"/>
    <x v="5"/>
    <n v="144911"/>
    <n v="7897"/>
    <n v="12872.11"/>
    <n v="555"/>
    <n v="21004.5"/>
    <n v="5.4495517938596791E-2"/>
    <n v="1.6300000000000001"/>
    <n v="23.192990990990992"/>
    <n v="1.6317837557323547"/>
  </r>
  <r>
    <x v="309"/>
    <x v="0"/>
    <x v="0"/>
    <x v="0"/>
    <x v="0"/>
    <n v="180634"/>
    <n v="7821"/>
    <n v="17284.41"/>
    <n v="581"/>
    <n v="136556.31"/>
    <n v="4.3297496595325356E-2"/>
    <n v="2.21"/>
    <n v="29.749414802065406"/>
    <n v="7.9005479504362599"/>
  </r>
  <r>
    <x v="304"/>
    <x v="2"/>
    <x v="3"/>
    <x v="1"/>
    <x v="6"/>
    <n v="76095"/>
    <n v="2031"/>
    <n v="3026.19"/>
    <n v="135"/>
    <n v="33172.870000000003"/>
    <n v="2.6690321308890205E-2"/>
    <n v="1.49"/>
    <n v="22.416222222222224"/>
    <n v="10.961925721782176"/>
  </r>
  <r>
    <x v="307"/>
    <x v="1"/>
    <x v="1"/>
    <x v="4"/>
    <x v="3"/>
    <n v="180128"/>
    <n v="10555"/>
    <n v="8866.2000000000007"/>
    <n v="707"/>
    <n v="200566.9"/>
    <n v="5.8597219754841001E-2"/>
    <n v="0.84000000000000008"/>
    <n v="12.540594059405942"/>
    <n v="22.621517673862531"/>
  </r>
  <r>
    <x v="54"/>
    <x v="2"/>
    <x v="3"/>
    <x v="1"/>
    <x v="6"/>
    <n v="169849"/>
    <n v="5927"/>
    <n v="5571.38"/>
    <n v="437"/>
    <n v="105321.92"/>
    <n v="3.4895701476016935E-2"/>
    <n v="0.94000000000000006"/>
    <n v="12.749153318077804"/>
    <n v="18.904099163941428"/>
  </r>
  <r>
    <x v="124"/>
    <x v="2"/>
    <x v="1"/>
    <x v="0"/>
    <x v="6"/>
    <n v="122974"/>
    <n v="2939"/>
    <n v="5437.15"/>
    <n v="91"/>
    <n v="26004.98"/>
    <n v="2.389936084050287E-2"/>
    <n v="1.8499999999999999"/>
    <n v="59.748901098901094"/>
    <n v="4.7828329179809277"/>
  </r>
  <r>
    <x v="203"/>
    <x v="0"/>
    <x v="0"/>
    <x v="4"/>
    <x v="2"/>
    <n v="28553"/>
    <n v="850"/>
    <n v="1751"/>
    <n v="51"/>
    <n v="13010.72"/>
    <n v="2.9769201134731901E-2"/>
    <n v="2.06"/>
    <n v="34.333333333333336"/>
    <n v="7.4304511707595653"/>
  </r>
  <r>
    <x v="207"/>
    <x v="2"/>
    <x v="3"/>
    <x v="1"/>
    <x v="1"/>
    <n v="77447"/>
    <n v="906"/>
    <n v="1041.9000000000001"/>
    <n v="29"/>
    <n v="8284.1299999999992"/>
    <n v="1.169832272392733E-2"/>
    <n v="1.1500000000000001"/>
    <n v="35.927586206896557"/>
    <n v="7.95098377963336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95C1AF-7AD6-44C4-B90A-1AC97A8AA900}" name="PivotTable14"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M18:O43" firstHeaderRow="1" firstDataRow="1" firstDataCol="2"/>
  <pivotFields count="16">
    <pivotField compact="0" numFmtId="14" outline="0"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compact="0" outline="0" showAll="0">
      <items count="4">
        <item x="0"/>
        <item x="2"/>
        <item x="1"/>
        <item t="default"/>
      </items>
    </pivotField>
    <pivotField compact="0" outline="0" showAll="0">
      <items count="5">
        <item x="3"/>
        <item x="0"/>
        <item x="2"/>
        <item x="1"/>
        <item t="default"/>
      </items>
    </pivotField>
    <pivotField compact="0" outline="0" showAll="0">
      <items count="6">
        <item x="4"/>
        <item x="1"/>
        <item x="0"/>
        <item x="2"/>
        <item x="3"/>
        <item t="default"/>
      </items>
    </pivotField>
    <pivotField axis="axisRow" compact="0" outline="0" showAll="0">
      <items count="8">
        <item x="6"/>
        <item x="4"/>
        <item x="3"/>
        <item x="5"/>
        <item x="0"/>
        <item x="1"/>
        <item x="2"/>
        <item t="default"/>
      </items>
    </pivotField>
    <pivotField compact="0" outline="0" showAll="0"/>
    <pivotField compact="0" outline="0" showAll="0"/>
    <pivotField compact="0" outline="0" showAll="0"/>
    <pivotField compact="0" outline="0" showAll="0"/>
    <pivotField compact="0" outline="0" showAll="0"/>
    <pivotField compact="0" numFmtId="10" outline="0" showAll="0"/>
    <pivotField compact="0" numFmtId="164" outline="0" showAll="0"/>
    <pivotField compact="0" numFmtId="164" outline="0" showAll="0"/>
    <pivotField dataField="1" compact="0" numFmtId="165"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2">
    <field x="1"/>
    <field x="4"/>
  </rowFields>
  <rowItems count="25">
    <i>
      <x/>
      <x/>
    </i>
    <i r="1">
      <x v="1"/>
    </i>
    <i r="1">
      <x v="2"/>
    </i>
    <i r="1">
      <x v="3"/>
    </i>
    <i r="1">
      <x v="4"/>
    </i>
    <i r="1">
      <x v="5"/>
    </i>
    <i r="1">
      <x v="6"/>
    </i>
    <i t="default">
      <x/>
    </i>
    <i>
      <x v="1"/>
      <x/>
    </i>
    <i r="1">
      <x v="1"/>
    </i>
    <i r="1">
      <x v="2"/>
    </i>
    <i r="1">
      <x v="3"/>
    </i>
    <i r="1">
      <x v="4"/>
    </i>
    <i r="1">
      <x v="5"/>
    </i>
    <i r="1">
      <x v="6"/>
    </i>
    <i t="default">
      <x v="1"/>
    </i>
    <i>
      <x v="2"/>
      <x/>
    </i>
    <i r="1">
      <x v="1"/>
    </i>
    <i r="1">
      <x v="2"/>
    </i>
    <i r="1">
      <x v="3"/>
    </i>
    <i r="1">
      <x v="4"/>
    </i>
    <i r="1">
      <x v="5"/>
    </i>
    <i r="1">
      <x v="6"/>
    </i>
    <i t="default">
      <x v="2"/>
    </i>
    <i t="grand">
      <x/>
    </i>
  </rowItems>
  <colItems count="1">
    <i/>
  </colItems>
  <dataFields count="1">
    <dataField name="Average of ROAS" fld="13"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FD6BD4-8F6C-4532-8AE6-AECF525F3105}" name="PivotTable1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9" rowHeaderCaption="Month">
  <location ref="J2:K15" firstHeaderRow="1" firstDataRow="1" firstDataCol="1"/>
  <pivotFields count="16">
    <pivotField axis="axisRow"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dataField="1" showAll="0"/>
    <pivotField showAll="0"/>
    <pivotField showAll="0"/>
    <pivotField numFmtId="10" showAll="0"/>
    <pivotField numFmtId="164" showAll="0"/>
    <pivotField numFmtId="164" showAll="0"/>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13">
    <i>
      <x v="1"/>
    </i>
    <i>
      <x v="2"/>
    </i>
    <i>
      <x v="3"/>
    </i>
    <i>
      <x v="4"/>
    </i>
    <i>
      <x v="5"/>
    </i>
    <i>
      <x v="6"/>
    </i>
    <i>
      <x v="7"/>
    </i>
    <i>
      <x v="8"/>
    </i>
    <i>
      <x v="9"/>
    </i>
    <i>
      <x v="10"/>
    </i>
    <i>
      <x v="11"/>
    </i>
    <i>
      <x v="12"/>
    </i>
    <i t="grand">
      <x/>
    </i>
  </rowItems>
  <colItems count="1">
    <i/>
  </colItems>
  <dataFields count="1">
    <dataField name="Sum of ad_spend" fld="7" baseField="0" baseItem="0" numFmtId="164"/>
  </dataFields>
  <formats count="2">
    <format dxfId="1">
      <pivotArea dataOnly="0" labelOnly="1" outline="0" axis="axisValues" fieldPosition="0"/>
    </format>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AE8D0D-74B7-46EC-BADF-10E12D5AEE1C}" name="PivotTable1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Month">
  <location ref="J18:K31" firstHeaderRow="1" firstDataRow="1" firstDataCol="1"/>
  <pivotFields count="16">
    <pivotField axis="axisRow"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showAll="0"/>
    <pivotField numFmtId="10" showAll="0"/>
    <pivotField numFmtId="164" showAll="0"/>
    <pivotField numFmtId="164" showAll="0"/>
    <pivotField dataField="1" numFmtId="165"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0"/>
  </rowFields>
  <rowItems count="13">
    <i>
      <x v="1"/>
    </i>
    <i>
      <x v="2"/>
    </i>
    <i>
      <x v="3"/>
    </i>
    <i>
      <x v="4"/>
    </i>
    <i>
      <x v="5"/>
    </i>
    <i>
      <x v="6"/>
    </i>
    <i>
      <x v="7"/>
    </i>
    <i>
      <x v="8"/>
    </i>
    <i>
      <x v="9"/>
    </i>
    <i>
      <x v="10"/>
    </i>
    <i>
      <x v="11"/>
    </i>
    <i>
      <x v="12"/>
    </i>
    <i t="grand">
      <x/>
    </i>
  </rowItems>
  <colItems count="1">
    <i/>
  </colItems>
  <dataFields count="1">
    <dataField name="Average of ROAS" fld="13" subtotal="average" baseField="15"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E1A7FB-9A91-4DB7-A90A-FCAB2DA6B5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A9:B13"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showAll="0"/>
    <pivotField numFmtId="10" showAll="0"/>
    <pivotField numFmtId="164" showAll="0"/>
    <pivotField dataField="1"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2"/>
    </i>
    <i>
      <x v="1"/>
    </i>
    <i>
      <x/>
    </i>
    <i t="grand">
      <x/>
    </i>
  </rowItems>
  <colItems count="1">
    <i/>
  </colItems>
  <dataFields count="1">
    <dataField name="Average of CPA" fld="12" subtotal="average"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E2ADD5-0A42-41F6-927E-35A39240F74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Type">
  <location ref="G28:H33"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showAll="0"/>
    <pivotField dataField="1" numFmtId="10"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1"/>
    </i>
    <i>
      <x v="2"/>
    </i>
    <i>
      <x/>
    </i>
    <i>
      <x v="3"/>
    </i>
    <i t="grand">
      <x/>
    </i>
  </rowItems>
  <colItems count="1">
    <i/>
  </colItems>
  <dataFields count="1">
    <dataField name="Average of CTR" fld="10" subtotal="average"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D976B6-63E7-4944-A271-BF9CB345CF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D13:E21"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items count="6">
        <item x="4"/>
        <item x="1"/>
        <item x="0"/>
        <item x="2"/>
        <item x="3"/>
        <item t="default"/>
      </items>
    </pivotField>
    <pivotField axis="axisRow" showAll="0" sortType="descending">
      <items count="8">
        <item x="6"/>
        <item x="4"/>
        <item x="3"/>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0"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v="4"/>
    </i>
    <i>
      <x v="2"/>
    </i>
    <i>
      <x v="6"/>
    </i>
    <i>
      <x v="3"/>
    </i>
    <i>
      <x/>
    </i>
    <i>
      <x v="1"/>
    </i>
    <i>
      <x v="5"/>
    </i>
    <i t="grand">
      <x/>
    </i>
  </rowItems>
  <colItems count="1">
    <i/>
  </colItems>
  <dataFields count="1">
    <dataField name="Average of CTR" fld="10" subtotal="average"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8C9070-66E9-4240-A639-20D152A0FBC4}"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Month">
  <location ref="M2:N15" firstHeaderRow="1" firstDataRow="1" firstDataCol="1"/>
  <pivotFields count="16">
    <pivotField axis="axisRow"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dataField="1" showAll="0"/>
    <pivotField numFmtId="10" showAll="0"/>
    <pivotField numFmtId="164" showAll="0"/>
    <pivotField numFmtId="164" showAll="0"/>
    <pivotField numFmtId="165"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0"/>
  </rowFields>
  <rowItems count="13">
    <i>
      <x v="1"/>
    </i>
    <i>
      <x v="2"/>
    </i>
    <i>
      <x v="3"/>
    </i>
    <i>
      <x v="4"/>
    </i>
    <i>
      <x v="5"/>
    </i>
    <i>
      <x v="6"/>
    </i>
    <i>
      <x v="7"/>
    </i>
    <i>
      <x v="8"/>
    </i>
    <i>
      <x v="9"/>
    </i>
    <i>
      <x v="10"/>
    </i>
    <i>
      <x v="11"/>
    </i>
    <i>
      <x v="12"/>
    </i>
    <i t="grand">
      <x/>
    </i>
  </rowItems>
  <colItems count="1">
    <i/>
  </colItems>
  <dataFields count="1">
    <dataField name="Sum of revenue" fld="9" baseField="0" baseItem="0" numFmtId="164"/>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2E73B8-0261-450A-8726-39835D427C1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dustry">
  <location ref="G11:H17"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items count="8">
        <item x="6"/>
        <item x="4"/>
        <item x="3"/>
        <item x="5"/>
        <item x="0"/>
        <item x="1"/>
        <item x="2"/>
        <item t="default"/>
      </items>
    </pivotField>
    <pivotField showAll="0"/>
    <pivotField showAll="0"/>
    <pivotField showAll="0"/>
    <pivotField showAll="0"/>
    <pivotField dataField="1" showAll="0"/>
    <pivotField numFmtId="10"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
    </i>
    <i>
      <x v="1"/>
    </i>
    <i>
      <x v="3"/>
    </i>
    <i>
      <x v="2"/>
    </i>
    <i>
      <x/>
    </i>
    <i t="grand">
      <x/>
    </i>
  </rowItems>
  <colItems count="1">
    <i/>
  </colItems>
  <dataFields count="1">
    <dataField name="Sum of revenue" fld="9" baseField="3"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E0C6E3-1E28-443A-9BED-177356C1828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Industry">
  <location ref="D24:E30"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items count="8">
        <item x="6"/>
        <item x="4"/>
        <item x="3"/>
        <item x="5"/>
        <item x="0"/>
        <item x="1"/>
        <item x="2"/>
        <item t="default"/>
      </items>
    </pivotField>
    <pivotField showAll="0"/>
    <pivotField showAll="0"/>
    <pivotField showAll="0"/>
    <pivotField dataField="1" showAll="0"/>
    <pivotField showAll="0"/>
    <pivotField numFmtId="10"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
    </i>
    <i>
      <x v="1"/>
    </i>
    <i>
      <x v="3"/>
    </i>
    <i>
      <x v="2"/>
    </i>
    <i>
      <x/>
    </i>
    <i t="grand">
      <x/>
    </i>
  </rowItems>
  <colItems count="1">
    <i/>
  </colItems>
  <dataFields count="1">
    <dataField name="Sum of conversions" fld="8" baseField="0" baseItem="0"/>
  </dataFields>
  <chartFormats count="7">
    <chartFormat chart="9"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3" count="1" selected="0">
            <x v="4"/>
          </reference>
        </references>
      </pivotArea>
    </chartFormat>
    <chartFormat chart="11" format="9">
      <pivotArea type="data" outline="0" fieldPosition="0">
        <references count="2">
          <reference field="4294967294" count="1" selected="0">
            <x v="0"/>
          </reference>
          <reference field="3" count="1" selected="0">
            <x v="1"/>
          </reference>
        </references>
      </pivotArea>
    </chartFormat>
    <chartFormat chart="11" format="10">
      <pivotArea type="data" outline="0" fieldPosition="0">
        <references count="2">
          <reference field="4294967294" count="1" selected="0">
            <x v="0"/>
          </reference>
          <reference field="3" count="1" selected="0">
            <x v="3"/>
          </reference>
        </references>
      </pivotArea>
    </chartFormat>
    <chartFormat chart="11" format="11">
      <pivotArea type="data" outline="0" fieldPosition="0">
        <references count="2">
          <reference field="4294967294" count="1" selected="0">
            <x v="0"/>
          </reference>
          <reference field="3" count="1" selected="0">
            <x v="2"/>
          </reference>
        </references>
      </pivotArea>
    </chartFormat>
    <chartFormat chart="11" format="1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F2C038-241C-4BCE-9321-6E1F3E6377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latform">
  <location ref="A2:B6"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showAll="0"/>
    <pivotField numFmtId="10" showAll="0"/>
    <pivotField numFmtId="164" showAll="0"/>
    <pivotField numFmtId="164"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2"/>
    </i>
    <i>
      <x v="1"/>
    </i>
    <i>
      <x/>
    </i>
    <i t="grand">
      <x/>
    </i>
  </rowItems>
  <colItems count="1">
    <i/>
  </colItems>
  <dataFields count="1">
    <dataField name="Average of ROAS" fld="13" subtotal="average" baseField="1" baseItem="0" numFmtId="165"/>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FF6100-D5BA-40A0-9ECD-4AC1FE4F54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D2:E10"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items count="6">
        <item x="4"/>
        <item x="1"/>
        <item x="0"/>
        <item x="2"/>
        <item x="3"/>
        <item t="default"/>
      </items>
    </pivotField>
    <pivotField axis="axisRow" showAll="0" sortType="descending">
      <items count="8">
        <item x="6"/>
        <item x="4"/>
        <item x="3"/>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0" showAll="0"/>
    <pivotField numFmtId="164" showAll="0"/>
    <pivotField numFmtId="164"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v="4"/>
    </i>
    <i>
      <x v="2"/>
    </i>
    <i>
      <x/>
    </i>
    <i>
      <x v="3"/>
    </i>
    <i>
      <x v="1"/>
    </i>
    <i>
      <x v="5"/>
    </i>
    <i>
      <x v="6"/>
    </i>
    <i t="grand">
      <x/>
    </i>
  </rowItems>
  <colItems count="1">
    <i/>
  </colItems>
  <dataFields count="1">
    <dataField name="Average of ROAS" fld="13"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8CB8AE-AE30-4BBB-BE4C-D880DA0EA9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A16:B20"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dataField="1" showAll="0"/>
    <pivotField showAll="0"/>
    <pivotField showAll="0"/>
    <pivotField numFmtId="10"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2"/>
    </i>
    <i>
      <x v="1"/>
    </i>
    <i t="grand">
      <x/>
    </i>
  </rowItems>
  <colItems count="1">
    <i/>
  </colItems>
  <dataFields count="1">
    <dataField name="Sum of ad_spend" fld="7"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C8FE52-E4DD-4531-98AE-7E0763F658E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0:F201" firstHeaderRow="0" firstDataRow="1" firstDataCol="0"/>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items count="6">
        <item x="4"/>
        <item x="1"/>
        <item x="0"/>
        <item x="2"/>
        <item x="3"/>
        <item t="default"/>
      </items>
    </pivotField>
    <pivotField showAll="0">
      <items count="8">
        <item x="6"/>
        <item x="4"/>
        <item x="3"/>
        <item x="5"/>
        <item x="0"/>
        <item x="1"/>
        <item x="2"/>
        <item t="default"/>
      </items>
    </pivotField>
    <pivotField dataField="1" showAll="0"/>
    <pivotField dataField="1" showAll="0"/>
    <pivotField dataField="1" showAll="0"/>
    <pivotField dataField="1" showAll="0"/>
    <pivotField dataField="1" showAll="0"/>
    <pivotField numFmtId="10" showAll="0"/>
    <pivotField numFmtId="164" showAll="0"/>
    <pivotField numFmtId="164" showAll="0"/>
    <pivotField numFmtId="165"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Sum of ad_spend" fld="7" baseField="0" baseItem="0"/>
    <dataField name="Sum of revenue" fld="9" baseField="0" baseItem="0"/>
    <dataField name="Sum of conversions" fld="8" baseField="0" baseItem="0"/>
    <dataField name="Sum of impressions" fld="5" baseField="0" baseItem="0"/>
    <dataField name="Sum of click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417248-189B-48CC-B651-91A8845E6AC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dustry">
  <location ref="G2:H8"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axis="axisRow" showAll="0" sortType="a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items count="8">
        <item x="6"/>
        <item x="4"/>
        <item x="3"/>
        <item x="5"/>
        <item x="0"/>
        <item x="1"/>
        <item x="2"/>
        <item t="default"/>
      </items>
    </pivotField>
    <pivotField showAll="0"/>
    <pivotField showAll="0"/>
    <pivotField showAll="0"/>
    <pivotField showAll="0"/>
    <pivotField showAll="0"/>
    <pivotField numFmtId="10" showAll="0"/>
    <pivotField numFmtId="164" showAll="0"/>
    <pivotField dataField="1"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4"/>
    </i>
    <i>
      <x v="2"/>
    </i>
    <i>
      <x v="3"/>
    </i>
    <i>
      <x v="1"/>
    </i>
    <i t="grand">
      <x/>
    </i>
  </rowItems>
  <colItems count="1">
    <i/>
  </colItems>
  <dataFields count="1">
    <dataField name="Average of CPA" fld="12"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AD7F68-51B0-4A1E-B151-4CCB69E5A99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Type">
  <location ref="G20:H25"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6">
        <item x="4"/>
        <item x="1"/>
        <item x="0"/>
        <item x="2"/>
        <item x="3"/>
        <item t="default"/>
      </items>
    </pivotField>
    <pivotField showAll="0">
      <items count="8">
        <item x="6"/>
        <item x="4"/>
        <item x="3"/>
        <item x="5"/>
        <item x="0"/>
        <item x="1"/>
        <item x="2"/>
        <item t="default"/>
      </items>
    </pivotField>
    <pivotField showAll="0"/>
    <pivotField showAll="0"/>
    <pivotField showAll="0"/>
    <pivotField showAll="0"/>
    <pivotField showAll="0"/>
    <pivotField numFmtId="10" showAll="0"/>
    <pivotField numFmtId="164" showAll="0"/>
    <pivotField numFmtId="164"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1"/>
    </i>
    <i>
      <x/>
    </i>
    <i>
      <x v="3"/>
    </i>
    <i>
      <x v="2"/>
    </i>
    <i t="grand">
      <x/>
    </i>
  </rowItems>
  <colItems count="1">
    <i/>
  </colItems>
  <dataFields count="1">
    <dataField name="Average of ROAS" fld="13" subtotal="average"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B4A47B-DC3E-4CE7-BDB9-235140F2450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ountry">
  <location ref="A23:B31" firstHeaderRow="1" firstDataRow="1" firstDataCol="1"/>
  <pivotFields count="16">
    <pivotField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items count="6">
        <item x="4"/>
        <item x="1"/>
        <item x="0"/>
        <item x="2"/>
        <item x="3"/>
        <item t="default"/>
      </items>
    </pivotField>
    <pivotField axis="axisRow" showAll="0" sortType="descending">
      <items count="8">
        <item x="6"/>
        <item x="4"/>
        <item x="3"/>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0"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v="4"/>
    </i>
    <i>
      <x/>
    </i>
    <i>
      <x v="3"/>
    </i>
    <i>
      <x v="1"/>
    </i>
    <i>
      <x v="2"/>
    </i>
    <i>
      <x v="5"/>
    </i>
    <i>
      <x v="6"/>
    </i>
    <i t="grand">
      <x/>
    </i>
  </rowItems>
  <colItems count="1">
    <i/>
  </colItems>
  <dataFields count="1">
    <dataField name="Sum of revenue" fld="9" baseField="4" baseItem="0" numFmtId="164"/>
  </dataFields>
  <formats count="1">
    <format dxfId="6">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7AC84A3-0662-4EE9-8A18-8FBAB7F74E70}" sourceName="platform">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3"/>
    <pivotTable tabId="2" name="PivotTable4"/>
    <pivotTable tabId="2" name="PivotTable5"/>
    <pivotTable tabId="2" name="PivotTable6"/>
    <pivotTable tabId="2" name="PivotTable7"/>
    <pivotTable tabId="2" name="PivotTable8"/>
    <pivotTable tabId="2" name="PivotTable9"/>
    <pivotTable tabId="2" name="PivotTable16"/>
  </pivotTables>
  <data>
    <tabular pivotCacheId="142630781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C1B0C029-CC9A-4051-831F-5367F5C059FB}" sourceName="campaign_type">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3"/>
    <pivotTable tabId="2" name="PivotTable4"/>
    <pivotTable tabId="2" name="PivotTable5"/>
    <pivotTable tabId="2" name="PivotTable6"/>
    <pivotTable tabId="2" name="PivotTable7"/>
    <pivotTable tabId="2" name="PivotTable8"/>
    <pivotTable tabId="2" name="PivotTable9"/>
    <pivotTable tabId="2" name="PivotTable16"/>
  </pivotTables>
  <data>
    <tabular pivotCacheId="1426307817">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0869C42-01B4-40A4-A99D-5A45CA0E2A64}" sourceName="industry">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3"/>
    <pivotTable tabId="2" name="PivotTable4"/>
    <pivotTable tabId="2" name="PivotTable5"/>
    <pivotTable tabId="2" name="PivotTable6"/>
    <pivotTable tabId="2" name="PivotTable7"/>
    <pivotTable tabId="2" name="PivotTable8"/>
    <pivotTable tabId="2" name="PivotTable9"/>
    <pivotTable tabId="2" name="PivotTable16"/>
  </pivotTables>
  <data>
    <tabular pivotCacheId="1426307817">
      <items count="5">
        <i x="4" s="1"/>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C427AED-E401-4674-A47F-1650C45EA13A}" sourceName="country">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3"/>
    <pivotTable tabId="2" name="PivotTable4"/>
    <pivotTable tabId="2" name="PivotTable5"/>
    <pivotTable tabId="2" name="PivotTable6"/>
    <pivotTable tabId="2" name="PivotTable7"/>
    <pivotTable tabId="2" name="PivotTable8"/>
    <pivotTable tabId="2" name="PivotTable9"/>
    <pivotTable tabId="2" name="PivotTable16"/>
  </pivotTables>
  <data>
    <tabular pivotCacheId="1426307817">
      <items count="7">
        <i x="6" s="1"/>
        <i x="4" s="1"/>
        <i x="3" s="1"/>
        <i x="5"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664747A5-AEA2-46C8-AA5A-3D7012965920}" cache="Slicer_platform" caption="platform" style="Marketing" rowHeight="241300"/>
  <slicer name="campaign_type" xr10:uid="{80531AE3-1BF9-4248-A883-DD5DDC0411E8}" cache="Slicer_campaign_type" caption="campaign_type" style="Marketing" rowHeight="241300"/>
  <slicer name="industry" xr10:uid="{61AFB43A-ABEE-4DD7-990C-162FC5CEE111}" cache="Slicer_industry" caption="industry" style="Marketing" rowHeight="241300"/>
  <slicer name="country" xr10:uid="{5319D65D-C548-481F-AFDA-C32A3CBB79B9}" cache="Slicer_country" caption="country" style="Market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85A6A-59B2-4DCF-9175-69FC537A4DCF}">
  <dimension ref="A1:J1801"/>
  <sheetViews>
    <sheetView workbookViewId="0">
      <pane ySplit="1" topLeftCell="A2" activePane="bottomLeft" state="frozen"/>
      <selection pane="bottomLeft" activeCell="Q10" sqref="Q10"/>
    </sheetView>
  </sheetViews>
  <sheetFormatPr defaultRowHeight="14.25" x14ac:dyDescent="0.45"/>
  <cols>
    <col min="1" max="1" width="16.73046875" customWidth="1"/>
    <col min="2" max="2" width="17.73046875" customWidth="1"/>
    <col min="3" max="3" width="20.46484375" customWidth="1"/>
    <col min="4" max="4" width="20.73046875" customWidth="1"/>
    <col min="5" max="5" width="16.1328125" customWidth="1"/>
    <col min="6" max="6" width="17.1328125" customWidth="1"/>
    <col min="7" max="7" width="14" customWidth="1"/>
    <col min="8" max="8" width="22.265625" customWidth="1"/>
    <col min="9" max="9" width="20.46484375" customWidth="1"/>
    <col min="10" max="10" width="16.1328125" customWidth="1"/>
  </cols>
  <sheetData>
    <row r="1" spans="1:10" x14ac:dyDescent="0.45">
      <c r="A1" s="1" t="s">
        <v>0</v>
      </c>
      <c r="B1" s="1" t="s">
        <v>1</v>
      </c>
      <c r="C1" s="1" t="s">
        <v>2</v>
      </c>
      <c r="D1" s="1" t="s">
        <v>3</v>
      </c>
      <c r="E1" s="1" t="s">
        <v>4</v>
      </c>
      <c r="F1" s="1" t="s">
        <v>5</v>
      </c>
      <c r="G1" s="1" t="s">
        <v>6</v>
      </c>
      <c r="H1" s="1" t="s">
        <v>9</v>
      </c>
      <c r="I1" s="1" t="s">
        <v>10</v>
      </c>
      <c r="J1" s="1" t="s">
        <v>12</v>
      </c>
    </row>
    <row r="2" spans="1:10" x14ac:dyDescent="0.45">
      <c r="A2" s="2" t="s">
        <v>14</v>
      </c>
      <c r="B2" s="2" t="s">
        <v>15</v>
      </c>
      <c r="C2" s="2" t="s">
        <v>16</v>
      </c>
      <c r="D2" s="2" t="s">
        <v>17</v>
      </c>
      <c r="E2" s="2" t="s">
        <v>18</v>
      </c>
      <c r="F2" s="2">
        <v>59886</v>
      </c>
      <c r="G2" s="2">
        <v>2113</v>
      </c>
      <c r="H2" s="2">
        <v>2662.38</v>
      </c>
      <c r="I2" s="2">
        <v>159</v>
      </c>
      <c r="J2" s="2">
        <v>4803.43</v>
      </c>
    </row>
    <row r="3" spans="1:10" x14ac:dyDescent="0.45">
      <c r="A3" s="2" t="s">
        <v>19</v>
      </c>
      <c r="B3" s="2" t="s">
        <v>20</v>
      </c>
      <c r="C3" s="2" t="s">
        <v>16</v>
      </c>
      <c r="D3" s="2" t="s">
        <v>21</v>
      </c>
      <c r="E3" s="2" t="s">
        <v>22</v>
      </c>
      <c r="F3" s="2">
        <v>135608</v>
      </c>
      <c r="G3" s="2">
        <v>5220</v>
      </c>
      <c r="H3" s="2">
        <v>6159.6</v>
      </c>
      <c r="I3" s="2">
        <v>411</v>
      </c>
      <c r="J3" s="2">
        <v>64126.68</v>
      </c>
    </row>
    <row r="4" spans="1:10" x14ac:dyDescent="0.45">
      <c r="A4" s="2" t="s">
        <v>23</v>
      </c>
      <c r="B4" s="2" t="s">
        <v>20</v>
      </c>
      <c r="C4" s="2" t="s">
        <v>24</v>
      </c>
      <c r="D4" s="2" t="s">
        <v>25</v>
      </c>
      <c r="E4" s="2" t="s">
        <v>26</v>
      </c>
      <c r="F4" s="2">
        <v>92313</v>
      </c>
      <c r="G4" s="2">
        <v>5991</v>
      </c>
      <c r="H4" s="2">
        <v>5092.3500000000004</v>
      </c>
      <c r="I4" s="2">
        <v>267</v>
      </c>
      <c r="J4" s="2">
        <v>10489.07</v>
      </c>
    </row>
    <row r="5" spans="1:10" x14ac:dyDescent="0.45">
      <c r="A5" s="2" t="s">
        <v>27</v>
      </c>
      <c r="B5" s="2" t="s">
        <v>20</v>
      </c>
      <c r="C5" s="2" t="s">
        <v>28</v>
      </c>
      <c r="D5" s="2" t="s">
        <v>29</v>
      </c>
      <c r="E5" s="2" t="s">
        <v>30</v>
      </c>
      <c r="F5" s="2">
        <v>83953</v>
      </c>
      <c r="G5" s="2">
        <v>5935</v>
      </c>
      <c r="H5" s="2">
        <v>7834.2</v>
      </c>
      <c r="I5" s="2">
        <v>296</v>
      </c>
      <c r="J5" s="2">
        <v>50505.07</v>
      </c>
    </row>
    <row r="6" spans="1:10" x14ac:dyDescent="0.45">
      <c r="A6" s="2" t="s">
        <v>31</v>
      </c>
      <c r="B6" s="2" t="s">
        <v>20</v>
      </c>
      <c r="C6" s="2" t="s">
        <v>16</v>
      </c>
      <c r="D6" s="2" t="s">
        <v>25</v>
      </c>
      <c r="E6" s="2" t="s">
        <v>22</v>
      </c>
      <c r="F6" s="2">
        <v>91807</v>
      </c>
      <c r="G6" s="2">
        <v>4489</v>
      </c>
      <c r="H6" s="2">
        <v>8663.77</v>
      </c>
      <c r="I6" s="2">
        <v>107</v>
      </c>
      <c r="J6" s="2">
        <v>3369.53</v>
      </c>
    </row>
    <row r="7" spans="1:10" x14ac:dyDescent="0.45">
      <c r="A7" s="2" t="s">
        <v>32</v>
      </c>
      <c r="B7" s="2" t="s">
        <v>20</v>
      </c>
      <c r="C7" s="2" t="s">
        <v>16</v>
      </c>
      <c r="D7" s="2" t="s">
        <v>17</v>
      </c>
      <c r="E7" s="2" t="s">
        <v>33</v>
      </c>
      <c r="F7" s="2">
        <v>17666</v>
      </c>
      <c r="G7" s="2">
        <v>724</v>
      </c>
      <c r="H7" s="2">
        <v>267.88</v>
      </c>
      <c r="I7" s="2">
        <v>23</v>
      </c>
      <c r="J7" s="2">
        <v>5220.8500000000004</v>
      </c>
    </row>
    <row r="8" spans="1:10" x14ac:dyDescent="0.45">
      <c r="A8" s="2" t="s">
        <v>34</v>
      </c>
      <c r="B8" s="2" t="s">
        <v>35</v>
      </c>
      <c r="C8" s="2" t="s">
        <v>24</v>
      </c>
      <c r="D8" s="2" t="s">
        <v>17</v>
      </c>
      <c r="E8" s="2" t="s">
        <v>26</v>
      </c>
      <c r="F8" s="2">
        <v>118252</v>
      </c>
      <c r="G8" s="2">
        <v>3748</v>
      </c>
      <c r="H8" s="2">
        <v>1574.16</v>
      </c>
      <c r="I8" s="2">
        <v>152</v>
      </c>
      <c r="J8" s="2">
        <v>12838.56</v>
      </c>
    </row>
    <row r="9" spans="1:10" x14ac:dyDescent="0.45">
      <c r="A9" s="2" t="s">
        <v>36</v>
      </c>
      <c r="B9" s="2" t="s">
        <v>20</v>
      </c>
      <c r="C9" s="2" t="s">
        <v>16</v>
      </c>
      <c r="D9" s="2" t="s">
        <v>21</v>
      </c>
      <c r="E9" s="2" t="s">
        <v>18</v>
      </c>
      <c r="F9" s="2">
        <v>92939</v>
      </c>
      <c r="G9" s="2">
        <v>5176</v>
      </c>
      <c r="H9" s="2">
        <v>3416.16</v>
      </c>
      <c r="I9" s="2">
        <v>388</v>
      </c>
      <c r="J9" s="2">
        <v>96298.69</v>
      </c>
    </row>
    <row r="10" spans="1:10" x14ac:dyDescent="0.45">
      <c r="A10" s="2" t="s">
        <v>37</v>
      </c>
      <c r="B10" s="2" t="s">
        <v>35</v>
      </c>
      <c r="C10" s="2" t="s">
        <v>38</v>
      </c>
      <c r="D10" s="2" t="s">
        <v>21</v>
      </c>
      <c r="E10" s="2" t="s">
        <v>30</v>
      </c>
      <c r="F10" s="2">
        <v>30939</v>
      </c>
      <c r="G10" s="2">
        <v>937</v>
      </c>
      <c r="H10" s="2">
        <v>552.83000000000004</v>
      </c>
      <c r="I10" s="2">
        <v>63</v>
      </c>
      <c r="J10" s="2">
        <v>16531.03</v>
      </c>
    </row>
    <row r="11" spans="1:10" x14ac:dyDescent="0.45">
      <c r="A11" s="2" t="s">
        <v>39</v>
      </c>
      <c r="B11" s="2" t="s">
        <v>15</v>
      </c>
      <c r="C11" s="2" t="s">
        <v>28</v>
      </c>
      <c r="D11" s="2" t="s">
        <v>17</v>
      </c>
      <c r="E11" s="2" t="s">
        <v>26</v>
      </c>
      <c r="F11" s="2">
        <v>8748</v>
      </c>
      <c r="G11" s="2">
        <v>362</v>
      </c>
      <c r="H11" s="2">
        <v>438.02</v>
      </c>
      <c r="I11" s="2">
        <v>10</v>
      </c>
      <c r="J11" s="2">
        <v>966.57</v>
      </c>
    </row>
    <row r="12" spans="1:10" x14ac:dyDescent="0.45">
      <c r="A12" s="2" t="s">
        <v>40</v>
      </c>
      <c r="B12" s="2" t="s">
        <v>35</v>
      </c>
      <c r="C12" s="2" t="s">
        <v>24</v>
      </c>
      <c r="D12" s="2" t="s">
        <v>41</v>
      </c>
      <c r="E12" s="2" t="s">
        <v>18</v>
      </c>
      <c r="F12" s="2">
        <v>98264</v>
      </c>
      <c r="G12" s="2">
        <v>3144</v>
      </c>
      <c r="H12" s="2">
        <v>4904.6400000000003</v>
      </c>
      <c r="I12" s="2">
        <v>129</v>
      </c>
      <c r="J12" s="2">
        <v>23127.27</v>
      </c>
    </row>
    <row r="13" spans="1:10" x14ac:dyDescent="0.45">
      <c r="A13" s="2" t="s">
        <v>42</v>
      </c>
      <c r="B13" s="2" t="s">
        <v>35</v>
      </c>
      <c r="C13" s="2" t="s">
        <v>24</v>
      </c>
      <c r="D13" s="2" t="s">
        <v>17</v>
      </c>
      <c r="E13" s="2" t="s">
        <v>33</v>
      </c>
      <c r="F13" s="2">
        <v>173229</v>
      </c>
      <c r="G13" s="2">
        <v>5092</v>
      </c>
      <c r="H13" s="2">
        <v>8758.24</v>
      </c>
      <c r="I13" s="2">
        <v>65</v>
      </c>
      <c r="J13" s="2">
        <v>12320.17</v>
      </c>
    </row>
    <row r="14" spans="1:10" x14ac:dyDescent="0.45">
      <c r="A14" s="2" t="s">
        <v>43</v>
      </c>
      <c r="B14" s="2" t="s">
        <v>35</v>
      </c>
      <c r="C14" s="2" t="s">
        <v>24</v>
      </c>
      <c r="D14" s="2" t="s">
        <v>29</v>
      </c>
      <c r="E14" s="2" t="s">
        <v>33</v>
      </c>
      <c r="F14" s="2">
        <v>147483</v>
      </c>
      <c r="G14" s="2">
        <v>2138</v>
      </c>
      <c r="H14" s="2">
        <v>1218.6600000000001</v>
      </c>
      <c r="I14" s="2">
        <v>159</v>
      </c>
      <c r="J14" s="2">
        <v>42434.18</v>
      </c>
    </row>
    <row r="15" spans="1:10" x14ac:dyDescent="0.45">
      <c r="A15" s="2" t="s">
        <v>44</v>
      </c>
      <c r="B15" s="2" t="s">
        <v>15</v>
      </c>
      <c r="C15" s="2" t="s">
        <v>28</v>
      </c>
      <c r="D15" s="2" t="s">
        <v>29</v>
      </c>
      <c r="E15" s="2" t="s">
        <v>26</v>
      </c>
      <c r="F15" s="2">
        <v>116472</v>
      </c>
      <c r="G15" s="2">
        <v>4006</v>
      </c>
      <c r="H15" s="2">
        <v>10736.08</v>
      </c>
      <c r="I15" s="2">
        <v>291</v>
      </c>
      <c r="J15" s="2">
        <v>78428.38</v>
      </c>
    </row>
    <row r="16" spans="1:10" x14ac:dyDescent="0.45">
      <c r="A16" s="2" t="s">
        <v>40</v>
      </c>
      <c r="B16" s="2" t="s">
        <v>20</v>
      </c>
      <c r="C16" s="2" t="s">
        <v>28</v>
      </c>
      <c r="D16" s="2" t="s">
        <v>21</v>
      </c>
      <c r="E16" s="2" t="s">
        <v>33</v>
      </c>
      <c r="F16" s="2">
        <v>37711</v>
      </c>
      <c r="G16" s="2">
        <v>2111</v>
      </c>
      <c r="H16" s="2">
        <v>1435.48</v>
      </c>
      <c r="I16" s="2">
        <v>92</v>
      </c>
      <c r="J16" s="2">
        <v>13898.86</v>
      </c>
    </row>
    <row r="17" spans="1:10" x14ac:dyDescent="0.45">
      <c r="A17" s="2" t="s">
        <v>32</v>
      </c>
      <c r="B17" s="2" t="s">
        <v>20</v>
      </c>
      <c r="C17" s="2" t="s">
        <v>28</v>
      </c>
      <c r="D17" s="2" t="s">
        <v>41</v>
      </c>
      <c r="E17" s="2" t="s">
        <v>30</v>
      </c>
      <c r="F17" s="2">
        <v>96412</v>
      </c>
      <c r="G17" s="2">
        <v>7047</v>
      </c>
      <c r="H17" s="2">
        <v>7822.17</v>
      </c>
      <c r="I17" s="2">
        <v>194</v>
      </c>
      <c r="J17" s="2">
        <v>36717.43</v>
      </c>
    </row>
    <row r="18" spans="1:10" x14ac:dyDescent="0.45">
      <c r="A18" s="2" t="s">
        <v>45</v>
      </c>
      <c r="B18" s="2" t="s">
        <v>20</v>
      </c>
      <c r="C18" s="2" t="s">
        <v>24</v>
      </c>
      <c r="D18" s="2" t="s">
        <v>17</v>
      </c>
      <c r="E18" s="2" t="s">
        <v>33</v>
      </c>
      <c r="F18" s="2">
        <v>184476</v>
      </c>
      <c r="G18" s="2">
        <v>8854</v>
      </c>
      <c r="H18" s="2">
        <v>3098.9</v>
      </c>
      <c r="I18" s="2">
        <v>198</v>
      </c>
      <c r="J18" s="2">
        <v>56216.92</v>
      </c>
    </row>
    <row r="19" spans="1:10" x14ac:dyDescent="0.45">
      <c r="A19" s="2" t="s">
        <v>46</v>
      </c>
      <c r="B19" s="2" t="s">
        <v>20</v>
      </c>
      <c r="C19" s="2" t="s">
        <v>16</v>
      </c>
      <c r="D19" s="2" t="s">
        <v>17</v>
      </c>
      <c r="E19" s="2" t="s">
        <v>30</v>
      </c>
      <c r="F19" s="2">
        <v>38828</v>
      </c>
      <c r="G19" s="2">
        <v>3607</v>
      </c>
      <c r="H19" s="2">
        <v>3498.79</v>
      </c>
      <c r="I19" s="2">
        <v>116</v>
      </c>
      <c r="J19" s="2">
        <v>8788.51</v>
      </c>
    </row>
    <row r="20" spans="1:10" x14ac:dyDescent="0.45">
      <c r="A20" s="2" t="s">
        <v>47</v>
      </c>
      <c r="B20" s="2" t="s">
        <v>35</v>
      </c>
      <c r="C20" s="2" t="s">
        <v>24</v>
      </c>
      <c r="D20" s="2" t="s">
        <v>29</v>
      </c>
      <c r="E20" s="2" t="s">
        <v>33</v>
      </c>
      <c r="F20" s="2">
        <v>187957</v>
      </c>
      <c r="G20" s="2">
        <v>4586</v>
      </c>
      <c r="H20" s="2">
        <v>9630.6</v>
      </c>
      <c r="I20" s="2">
        <v>271</v>
      </c>
      <c r="J20" s="2">
        <v>34433.97</v>
      </c>
    </row>
    <row r="21" spans="1:10" x14ac:dyDescent="0.45">
      <c r="A21" s="2" t="s">
        <v>48</v>
      </c>
      <c r="B21" s="2" t="s">
        <v>15</v>
      </c>
      <c r="C21" s="2" t="s">
        <v>24</v>
      </c>
      <c r="D21" s="2" t="s">
        <v>29</v>
      </c>
      <c r="E21" s="2" t="s">
        <v>33</v>
      </c>
      <c r="F21" s="2">
        <v>34592</v>
      </c>
      <c r="G21" s="2">
        <v>1615</v>
      </c>
      <c r="H21" s="2">
        <v>1857.25</v>
      </c>
      <c r="I21" s="2">
        <v>116</v>
      </c>
      <c r="J21" s="2">
        <v>4344.96</v>
      </c>
    </row>
    <row r="22" spans="1:10" x14ac:dyDescent="0.45">
      <c r="A22" s="2" t="s">
        <v>49</v>
      </c>
      <c r="B22" s="2" t="s">
        <v>35</v>
      </c>
      <c r="C22" s="2" t="s">
        <v>28</v>
      </c>
      <c r="D22" s="2" t="s">
        <v>17</v>
      </c>
      <c r="E22" s="2" t="s">
        <v>26</v>
      </c>
      <c r="F22" s="2">
        <v>185798</v>
      </c>
      <c r="G22" s="2">
        <v>5889</v>
      </c>
      <c r="H22" s="2">
        <v>5300.1</v>
      </c>
      <c r="I22" s="2">
        <v>400</v>
      </c>
      <c r="J22" s="2">
        <v>41326.629999999997</v>
      </c>
    </row>
    <row r="23" spans="1:10" x14ac:dyDescent="0.45">
      <c r="A23" s="2" t="s">
        <v>50</v>
      </c>
      <c r="B23" s="2" t="s">
        <v>20</v>
      </c>
      <c r="C23" s="2" t="s">
        <v>24</v>
      </c>
      <c r="D23" s="2" t="s">
        <v>21</v>
      </c>
      <c r="E23" s="2" t="s">
        <v>51</v>
      </c>
      <c r="F23" s="2">
        <v>194407</v>
      </c>
      <c r="G23" s="2">
        <v>13122</v>
      </c>
      <c r="H23" s="2">
        <v>11153.7</v>
      </c>
      <c r="I23" s="2">
        <v>379</v>
      </c>
      <c r="J23" s="2">
        <v>56289.95</v>
      </c>
    </row>
    <row r="24" spans="1:10" x14ac:dyDescent="0.45">
      <c r="A24" s="2" t="s">
        <v>39</v>
      </c>
      <c r="B24" s="2" t="s">
        <v>15</v>
      </c>
      <c r="C24" s="2" t="s">
        <v>16</v>
      </c>
      <c r="D24" s="2" t="s">
        <v>29</v>
      </c>
      <c r="E24" s="2" t="s">
        <v>18</v>
      </c>
      <c r="F24" s="2">
        <v>188062</v>
      </c>
      <c r="G24" s="2">
        <v>8143</v>
      </c>
      <c r="H24" s="2">
        <v>14657.4</v>
      </c>
      <c r="I24" s="2">
        <v>614</v>
      </c>
      <c r="J24" s="2">
        <v>124232.5</v>
      </c>
    </row>
    <row r="25" spans="1:10" x14ac:dyDescent="0.45">
      <c r="A25" s="2" t="s">
        <v>52</v>
      </c>
      <c r="B25" s="2" t="s">
        <v>35</v>
      </c>
      <c r="C25" s="2" t="s">
        <v>28</v>
      </c>
      <c r="D25" s="2" t="s">
        <v>25</v>
      </c>
      <c r="E25" s="2" t="s">
        <v>51</v>
      </c>
      <c r="F25" s="2">
        <v>195710</v>
      </c>
      <c r="G25" s="2">
        <v>4481</v>
      </c>
      <c r="H25" s="2">
        <v>2374.9299999999998</v>
      </c>
      <c r="I25" s="2">
        <v>352</v>
      </c>
      <c r="J25" s="2">
        <v>27223.39</v>
      </c>
    </row>
    <row r="26" spans="1:10" x14ac:dyDescent="0.45">
      <c r="A26" s="2" t="s">
        <v>53</v>
      </c>
      <c r="B26" s="2" t="s">
        <v>15</v>
      </c>
      <c r="C26" s="2" t="s">
        <v>38</v>
      </c>
      <c r="D26" s="2" t="s">
        <v>25</v>
      </c>
      <c r="E26" s="2" t="s">
        <v>54</v>
      </c>
      <c r="F26" s="2">
        <v>198824</v>
      </c>
      <c r="G26" s="2">
        <v>9046</v>
      </c>
      <c r="H26" s="2">
        <v>32656.06</v>
      </c>
      <c r="I26" s="2">
        <v>407</v>
      </c>
      <c r="J26" s="2">
        <v>71482.19</v>
      </c>
    </row>
    <row r="27" spans="1:10" x14ac:dyDescent="0.45">
      <c r="A27" s="2" t="s">
        <v>55</v>
      </c>
      <c r="B27" s="2" t="s">
        <v>35</v>
      </c>
      <c r="C27" s="2" t="s">
        <v>28</v>
      </c>
      <c r="D27" s="2" t="s">
        <v>29</v>
      </c>
      <c r="E27" s="2" t="s">
        <v>26</v>
      </c>
      <c r="F27" s="2">
        <v>196962</v>
      </c>
      <c r="G27" s="2">
        <v>5081</v>
      </c>
      <c r="H27" s="2">
        <v>10466.86</v>
      </c>
      <c r="I27" s="2">
        <v>282</v>
      </c>
      <c r="J27" s="2">
        <v>24196.95</v>
      </c>
    </row>
    <row r="28" spans="1:10" x14ac:dyDescent="0.45">
      <c r="A28" s="2" t="s">
        <v>56</v>
      </c>
      <c r="B28" s="2" t="s">
        <v>15</v>
      </c>
      <c r="C28" s="2" t="s">
        <v>28</v>
      </c>
      <c r="D28" s="2" t="s">
        <v>29</v>
      </c>
      <c r="E28" s="2" t="s">
        <v>18</v>
      </c>
      <c r="F28" s="2">
        <v>105386</v>
      </c>
      <c r="G28" s="2">
        <v>3783</v>
      </c>
      <c r="H28" s="2">
        <v>6885.06</v>
      </c>
      <c r="I28" s="2">
        <v>130</v>
      </c>
      <c r="J28" s="2">
        <v>36776.35</v>
      </c>
    </row>
    <row r="29" spans="1:10" x14ac:dyDescent="0.45">
      <c r="A29" s="2" t="s">
        <v>57</v>
      </c>
      <c r="B29" s="2" t="s">
        <v>15</v>
      </c>
      <c r="C29" s="2" t="s">
        <v>16</v>
      </c>
      <c r="D29" s="2" t="s">
        <v>25</v>
      </c>
      <c r="E29" s="2" t="s">
        <v>18</v>
      </c>
      <c r="F29" s="2">
        <v>49425</v>
      </c>
      <c r="G29" s="2">
        <v>1996</v>
      </c>
      <c r="H29" s="2">
        <v>2534.92</v>
      </c>
      <c r="I29" s="2">
        <v>98</v>
      </c>
      <c r="J29" s="2">
        <v>9253.27</v>
      </c>
    </row>
    <row r="30" spans="1:10" x14ac:dyDescent="0.45">
      <c r="A30" s="2" t="s">
        <v>58</v>
      </c>
      <c r="B30" s="2" t="s">
        <v>35</v>
      </c>
      <c r="C30" s="2" t="s">
        <v>24</v>
      </c>
      <c r="D30" s="2" t="s">
        <v>41</v>
      </c>
      <c r="E30" s="2" t="s">
        <v>33</v>
      </c>
      <c r="F30" s="2">
        <v>191141</v>
      </c>
      <c r="G30" s="2">
        <v>4453</v>
      </c>
      <c r="H30" s="2">
        <v>5477.19</v>
      </c>
      <c r="I30" s="2">
        <v>72</v>
      </c>
      <c r="J30" s="2">
        <v>8367.4599999999991</v>
      </c>
    </row>
    <row r="31" spans="1:10" x14ac:dyDescent="0.45">
      <c r="A31" s="2" t="s">
        <v>59</v>
      </c>
      <c r="B31" s="2" t="s">
        <v>20</v>
      </c>
      <c r="C31" s="2" t="s">
        <v>28</v>
      </c>
      <c r="D31" s="2" t="s">
        <v>21</v>
      </c>
      <c r="E31" s="2" t="s">
        <v>33</v>
      </c>
      <c r="F31" s="2">
        <v>91900</v>
      </c>
      <c r="G31" s="2">
        <v>4696</v>
      </c>
      <c r="H31" s="2">
        <v>2488.88</v>
      </c>
      <c r="I31" s="2">
        <v>367</v>
      </c>
      <c r="J31" s="2">
        <v>109696.83</v>
      </c>
    </row>
    <row r="32" spans="1:10" x14ac:dyDescent="0.45">
      <c r="A32" s="2" t="s">
        <v>60</v>
      </c>
      <c r="B32" s="2" t="s">
        <v>15</v>
      </c>
      <c r="C32" s="2" t="s">
        <v>24</v>
      </c>
      <c r="D32" s="2" t="s">
        <v>25</v>
      </c>
      <c r="E32" s="2" t="s">
        <v>33</v>
      </c>
      <c r="F32" s="2">
        <v>11801</v>
      </c>
      <c r="G32" s="2">
        <v>795</v>
      </c>
      <c r="H32" s="2">
        <v>2361.15</v>
      </c>
      <c r="I32" s="2">
        <v>57</v>
      </c>
      <c r="J32" s="2">
        <v>3966.25</v>
      </c>
    </row>
    <row r="33" spans="1:10" x14ac:dyDescent="0.45">
      <c r="A33" s="2" t="s">
        <v>61</v>
      </c>
      <c r="B33" s="2" t="s">
        <v>35</v>
      </c>
      <c r="C33" s="2" t="s">
        <v>38</v>
      </c>
      <c r="D33" s="2" t="s">
        <v>17</v>
      </c>
      <c r="E33" s="2" t="s">
        <v>18</v>
      </c>
      <c r="F33" s="2">
        <v>193926</v>
      </c>
      <c r="G33" s="2">
        <v>5837</v>
      </c>
      <c r="H33" s="2">
        <v>5837</v>
      </c>
      <c r="I33" s="2">
        <v>193</v>
      </c>
      <c r="J33" s="2">
        <v>28429.29</v>
      </c>
    </row>
    <row r="34" spans="1:10" x14ac:dyDescent="0.45">
      <c r="A34" s="2" t="s">
        <v>62</v>
      </c>
      <c r="B34" s="2" t="s">
        <v>15</v>
      </c>
      <c r="C34" s="2" t="s">
        <v>38</v>
      </c>
      <c r="D34" s="2" t="s">
        <v>21</v>
      </c>
      <c r="E34" s="2" t="s">
        <v>51</v>
      </c>
      <c r="F34" s="2">
        <v>35355</v>
      </c>
      <c r="G34" s="2">
        <v>961</v>
      </c>
      <c r="H34" s="2">
        <v>2133.42</v>
      </c>
      <c r="I34" s="2">
        <v>68</v>
      </c>
      <c r="J34" s="2">
        <v>6145.22</v>
      </c>
    </row>
    <row r="35" spans="1:10" x14ac:dyDescent="0.45">
      <c r="A35" s="2" t="s">
        <v>63</v>
      </c>
      <c r="B35" s="2" t="s">
        <v>20</v>
      </c>
      <c r="C35" s="2" t="s">
        <v>28</v>
      </c>
      <c r="D35" s="2" t="s">
        <v>25</v>
      </c>
      <c r="E35" s="2" t="s">
        <v>18</v>
      </c>
      <c r="F35" s="2">
        <v>133148</v>
      </c>
      <c r="G35" s="2">
        <v>9120</v>
      </c>
      <c r="H35" s="2">
        <v>4560</v>
      </c>
      <c r="I35" s="2">
        <v>279</v>
      </c>
      <c r="J35" s="2">
        <v>83385.98</v>
      </c>
    </row>
    <row r="36" spans="1:10" x14ac:dyDescent="0.45">
      <c r="A36" s="2" t="s">
        <v>64</v>
      </c>
      <c r="B36" s="2" t="s">
        <v>35</v>
      </c>
      <c r="C36" s="2" t="s">
        <v>24</v>
      </c>
      <c r="D36" s="2" t="s">
        <v>41</v>
      </c>
      <c r="E36" s="2" t="s">
        <v>33</v>
      </c>
      <c r="F36" s="2">
        <v>104657</v>
      </c>
      <c r="G36" s="2">
        <v>4029</v>
      </c>
      <c r="H36" s="2">
        <v>2860.59</v>
      </c>
      <c r="I36" s="2">
        <v>204</v>
      </c>
      <c r="J36" s="2">
        <v>10401.620000000001</v>
      </c>
    </row>
    <row r="37" spans="1:10" x14ac:dyDescent="0.45">
      <c r="A37" s="2" t="s">
        <v>65</v>
      </c>
      <c r="B37" s="2" t="s">
        <v>20</v>
      </c>
      <c r="C37" s="2" t="s">
        <v>28</v>
      </c>
      <c r="D37" s="2" t="s">
        <v>17</v>
      </c>
      <c r="E37" s="2" t="s">
        <v>51</v>
      </c>
      <c r="F37" s="2">
        <v>174160</v>
      </c>
      <c r="G37" s="2">
        <v>9683</v>
      </c>
      <c r="H37" s="2">
        <v>17816.72</v>
      </c>
      <c r="I37" s="2">
        <v>512</v>
      </c>
      <c r="J37" s="2">
        <v>73177.919999999998</v>
      </c>
    </row>
    <row r="38" spans="1:10" x14ac:dyDescent="0.45">
      <c r="A38" s="2" t="s">
        <v>66</v>
      </c>
      <c r="B38" s="2" t="s">
        <v>20</v>
      </c>
      <c r="C38" s="2" t="s">
        <v>38</v>
      </c>
      <c r="D38" s="2" t="s">
        <v>17</v>
      </c>
      <c r="E38" s="2" t="s">
        <v>18</v>
      </c>
      <c r="F38" s="2">
        <v>6015</v>
      </c>
      <c r="G38" s="2">
        <v>410</v>
      </c>
      <c r="H38" s="2">
        <v>791.3</v>
      </c>
      <c r="I38" s="2">
        <v>28</v>
      </c>
      <c r="J38" s="2">
        <v>4383.32</v>
      </c>
    </row>
    <row r="39" spans="1:10" x14ac:dyDescent="0.45">
      <c r="A39" s="2" t="s">
        <v>67</v>
      </c>
      <c r="B39" s="2" t="s">
        <v>35</v>
      </c>
      <c r="C39" s="2" t="s">
        <v>16</v>
      </c>
      <c r="D39" s="2" t="s">
        <v>25</v>
      </c>
      <c r="E39" s="2" t="s">
        <v>54</v>
      </c>
      <c r="F39" s="2">
        <v>17763</v>
      </c>
      <c r="G39" s="2">
        <v>726</v>
      </c>
      <c r="H39" s="2">
        <v>1408.44</v>
      </c>
      <c r="I39" s="2">
        <v>30</v>
      </c>
      <c r="J39" s="2">
        <v>1946.19</v>
      </c>
    </row>
    <row r="40" spans="1:10" x14ac:dyDescent="0.45">
      <c r="A40" s="2" t="s">
        <v>68</v>
      </c>
      <c r="B40" s="2" t="s">
        <v>20</v>
      </c>
      <c r="C40" s="2" t="s">
        <v>16</v>
      </c>
      <c r="D40" s="2" t="s">
        <v>21</v>
      </c>
      <c r="E40" s="2" t="s">
        <v>51</v>
      </c>
      <c r="F40" s="2">
        <v>97193</v>
      </c>
      <c r="G40" s="2">
        <v>6230</v>
      </c>
      <c r="H40" s="2">
        <v>9968</v>
      </c>
      <c r="I40" s="2">
        <v>306</v>
      </c>
      <c r="J40" s="2">
        <v>81609.119999999995</v>
      </c>
    </row>
    <row r="41" spans="1:10" x14ac:dyDescent="0.45">
      <c r="A41" s="2" t="s">
        <v>69</v>
      </c>
      <c r="B41" s="2" t="s">
        <v>35</v>
      </c>
      <c r="C41" s="2" t="s">
        <v>28</v>
      </c>
      <c r="D41" s="2" t="s">
        <v>25</v>
      </c>
      <c r="E41" s="2" t="s">
        <v>18</v>
      </c>
      <c r="F41" s="2">
        <v>58682</v>
      </c>
      <c r="G41" s="2">
        <v>1748</v>
      </c>
      <c r="H41" s="2">
        <v>2604.52</v>
      </c>
      <c r="I41" s="2">
        <v>84</v>
      </c>
      <c r="J41" s="2">
        <v>12746.65</v>
      </c>
    </row>
    <row r="42" spans="1:10" x14ac:dyDescent="0.45">
      <c r="A42" s="2" t="s">
        <v>70</v>
      </c>
      <c r="B42" s="2" t="s">
        <v>20</v>
      </c>
      <c r="C42" s="2" t="s">
        <v>38</v>
      </c>
      <c r="D42" s="2" t="s">
        <v>29</v>
      </c>
      <c r="E42" s="2" t="s">
        <v>33</v>
      </c>
      <c r="F42" s="2">
        <v>108196</v>
      </c>
      <c r="G42" s="2">
        <v>5334</v>
      </c>
      <c r="H42" s="2">
        <v>5280.66</v>
      </c>
      <c r="I42" s="2">
        <v>289</v>
      </c>
      <c r="J42" s="2">
        <v>27408.560000000001</v>
      </c>
    </row>
    <row r="43" spans="1:10" x14ac:dyDescent="0.45">
      <c r="A43" s="2" t="s">
        <v>71</v>
      </c>
      <c r="B43" s="2" t="s">
        <v>15</v>
      </c>
      <c r="C43" s="2" t="s">
        <v>16</v>
      </c>
      <c r="D43" s="2" t="s">
        <v>17</v>
      </c>
      <c r="E43" s="2" t="s">
        <v>51</v>
      </c>
      <c r="F43" s="2">
        <v>63243</v>
      </c>
      <c r="G43" s="2">
        <v>1707</v>
      </c>
      <c r="H43" s="2">
        <v>3823.68</v>
      </c>
      <c r="I43" s="2">
        <v>37</v>
      </c>
      <c r="J43" s="2">
        <v>3893.12</v>
      </c>
    </row>
    <row r="44" spans="1:10" x14ac:dyDescent="0.45">
      <c r="A44" s="2" t="s">
        <v>46</v>
      </c>
      <c r="B44" s="2" t="s">
        <v>15</v>
      </c>
      <c r="C44" s="2" t="s">
        <v>16</v>
      </c>
      <c r="D44" s="2" t="s">
        <v>41</v>
      </c>
      <c r="E44" s="2" t="s">
        <v>18</v>
      </c>
      <c r="F44" s="2">
        <v>152979</v>
      </c>
      <c r="G44" s="2">
        <v>4650</v>
      </c>
      <c r="H44" s="2">
        <v>3673.5</v>
      </c>
      <c r="I44" s="2">
        <v>330</v>
      </c>
      <c r="J44" s="2">
        <v>91949.73</v>
      </c>
    </row>
    <row r="45" spans="1:10" x14ac:dyDescent="0.45">
      <c r="A45" s="2" t="s">
        <v>71</v>
      </c>
      <c r="B45" s="2" t="s">
        <v>15</v>
      </c>
      <c r="C45" s="2" t="s">
        <v>38</v>
      </c>
      <c r="D45" s="2" t="s">
        <v>21</v>
      </c>
      <c r="E45" s="2" t="s">
        <v>26</v>
      </c>
      <c r="F45" s="2">
        <v>132600</v>
      </c>
      <c r="G45" s="2">
        <v>6802</v>
      </c>
      <c r="H45" s="2">
        <v>10407.06</v>
      </c>
      <c r="I45" s="2">
        <v>97</v>
      </c>
      <c r="J45" s="2">
        <v>6779.29</v>
      </c>
    </row>
    <row r="46" spans="1:10" x14ac:dyDescent="0.45">
      <c r="A46" s="2" t="s">
        <v>72</v>
      </c>
      <c r="B46" s="2" t="s">
        <v>15</v>
      </c>
      <c r="C46" s="2" t="s">
        <v>24</v>
      </c>
      <c r="D46" s="2" t="s">
        <v>17</v>
      </c>
      <c r="E46" s="2" t="s">
        <v>54</v>
      </c>
      <c r="F46" s="2">
        <v>110977</v>
      </c>
      <c r="G46" s="2">
        <v>4150</v>
      </c>
      <c r="H46" s="2">
        <v>4689.5</v>
      </c>
      <c r="I46" s="2">
        <v>197</v>
      </c>
      <c r="J46" s="2">
        <v>18314.78</v>
      </c>
    </row>
    <row r="47" spans="1:10" x14ac:dyDescent="0.45">
      <c r="A47" s="2" t="s">
        <v>73</v>
      </c>
      <c r="B47" s="2" t="s">
        <v>15</v>
      </c>
      <c r="C47" s="2" t="s">
        <v>16</v>
      </c>
      <c r="D47" s="2" t="s">
        <v>21</v>
      </c>
      <c r="E47" s="2" t="s">
        <v>22</v>
      </c>
      <c r="F47" s="2">
        <v>87152</v>
      </c>
      <c r="G47" s="2">
        <v>3599</v>
      </c>
      <c r="H47" s="2">
        <v>9465.3700000000008</v>
      </c>
      <c r="I47" s="2">
        <v>127</v>
      </c>
      <c r="J47" s="2">
        <v>25958.5</v>
      </c>
    </row>
    <row r="48" spans="1:10" x14ac:dyDescent="0.45">
      <c r="A48" s="2" t="s">
        <v>74</v>
      </c>
      <c r="B48" s="2" t="s">
        <v>35</v>
      </c>
      <c r="C48" s="2" t="s">
        <v>28</v>
      </c>
      <c r="D48" s="2" t="s">
        <v>17</v>
      </c>
      <c r="E48" s="2" t="s">
        <v>18</v>
      </c>
      <c r="F48" s="2">
        <v>164096</v>
      </c>
      <c r="G48" s="2">
        <v>1919</v>
      </c>
      <c r="H48" s="2">
        <v>1266.54</v>
      </c>
      <c r="I48" s="2">
        <v>139</v>
      </c>
      <c r="J48" s="2">
        <v>7181.17</v>
      </c>
    </row>
    <row r="49" spans="1:10" x14ac:dyDescent="0.45">
      <c r="A49" s="2" t="s">
        <v>75</v>
      </c>
      <c r="B49" s="2" t="s">
        <v>35</v>
      </c>
      <c r="C49" s="2" t="s">
        <v>28</v>
      </c>
      <c r="D49" s="2" t="s">
        <v>25</v>
      </c>
      <c r="E49" s="2" t="s">
        <v>30</v>
      </c>
      <c r="F49" s="2">
        <v>21389</v>
      </c>
      <c r="G49" s="2">
        <v>941</v>
      </c>
      <c r="H49" s="2">
        <v>752.8</v>
      </c>
      <c r="I49" s="2">
        <v>46</v>
      </c>
      <c r="J49" s="2">
        <v>8479.43</v>
      </c>
    </row>
    <row r="50" spans="1:10" x14ac:dyDescent="0.45">
      <c r="A50" s="2" t="s">
        <v>76</v>
      </c>
      <c r="B50" s="2" t="s">
        <v>15</v>
      </c>
      <c r="C50" s="2" t="s">
        <v>28</v>
      </c>
      <c r="D50" s="2" t="s">
        <v>25</v>
      </c>
      <c r="E50" s="2" t="s">
        <v>51</v>
      </c>
      <c r="F50" s="2">
        <v>69323</v>
      </c>
      <c r="G50" s="2">
        <v>2169</v>
      </c>
      <c r="H50" s="2">
        <v>4750.1099999999997</v>
      </c>
      <c r="I50" s="2">
        <v>94</v>
      </c>
      <c r="J50" s="2">
        <v>16337.12</v>
      </c>
    </row>
    <row r="51" spans="1:10" x14ac:dyDescent="0.45">
      <c r="A51" s="2" t="s">
        <v>77</v>
      </c>
      <c r="B51" s="2" t="s">
        <v>15</v>
      </c>
      <c r="C51" s="2" t="s">
        <v>38</v>
      </c>
      <c r="D51" s="2" t="s">
        <v>29</v>
      </c>
      <c r="E51" s="2" t="s">
        <v>18</v>
      </c>
      <c r="F51" s="2">
        <v>138291</v>
      </c>
      <c r="G51" s="2">
        <v>3318</v>
      </c>
      <c r="H51" s="2">
        <v>2753.94</v>
      </c>
      <c r="I51" s="2">
        <v>217</v>
      </c>
      <c r="J51" s="2">
        <v>12761.51</v>
      </c>
    </row>
    <row r="52" spans="1:10" x14ac:dyDescent="0.45">
      <c r="A52" s="2" t="s">
        <v>78</v>
      </c>
      <c r="B52" s="2" t="s">
        <v>20</v>
      </c>
      <c r="C52" s="2" t="s">
        <v>28</v>
      </c>
      <c r="D52" s="2" t="s">
        <v>21</v>
      </c>
      <c r="E52" s="2" t="s">
        <v>22</v>
      </c>
      <c r="F52" s="2">
        <v>72444</v>
      </c>
      <c r="G52" s="2">
        <v>2339</v>
      </c>
      <c r="H52" s="2">
        <v>3251.21</v>
      </c>
      <c r="I52" s="2">
        <v>153</v>
      </c>
      <c r="J52" s="2">
        <v>12919.22</v>
      </c>
    </row>
    <row r="53" spans="1:10" x14ac:dyDescent="0.45">
      <c r="A53" s="2" t="s">
        <v>79</v>
      </c>
      <c r="B53" s="2" t="s">
        <v>15</v>
      </c>
      <c r="C53" s="2" t="s">
        <v>16</v>
      </c>
      <c r="D53" s="2" t="s">
        <v>25</v>
      </c>
      <c r="E53" s="2" t="s">
        <v>18</v>
      </c>
      <c r="F53" s="2">
        <v>160002</v>
      </c>
      <c r="G53" s="2">
        <v>7520</v>
      </c>
      <c r="H53" s="2">
        <v>22259.200000000001</v>
      </c>
      <c r="I53" s="2">
        <v>403</v>
      </c>
      <c r="J53" s="2">
        <v>70823.58</v>
      </c>
    </row>
    <row r="54" spans="1:10" x14ac:dyDescent="0.45">
      <c r="A54" s="2" t="s">
        <v>80</v>
      </c>
      <c r="B54" s="2" t="s">
        <v>35</v>
      </c>
      <c r="C54" s="2" t="s">
        <v>16</v>
      </c>
      <c r="D54" s="2" t="s">
        <v>41</v>
      </c>
      <c r="E54" s="2" t="s">
        <v>26</v>
      </c>
      <c r="F54" s="2">
        <v>16246</v>
      </c>
      <c r="G54" s="2">
        <v>448</v>
      </c>
      <c r="H54" s="2">
        <v>891.52</v>
      </c>
      <c r="I54" s="2">
        <v>8</v>
      </c>
      <c r="J54" s="2">
        <v>1955.09</v>
      </c>
    </row>
    <row r="55" spans="1:10" x14ac:dyDescent="0.45">
      <c r="A55" s="2" t="s">
        <v>81</v>
      </c>
      <c r="B55" s="2" t="s">
        <v>35</v>
      </c>
      <c r="C55" s="2" t="s">
        <v>28</v>
      </c>
      <c r="D55" s="2" t="s">
        <v>17</v>
      </c>
      <c r="E55" s="2" t="s">
        <v>30</v>
      </c>
      <c r="F55" s="2">
        <v>15789</v>
      </c>
      <c r="G55" s="2">
        <v>423</v>
      </c>
      <c r="H55" s="2">
        <v>765.63</v>
      </c>
      <c r="I55" s="2">
        <v>7</v>
      </c>
      <c r="J55" s="2">
        <v>1223.95</v>
      </c>
    </row>
    <row r="56" spans="1:10" x14ac:dyDescent="0.45">
      <c r="A56" s="2" t="s">
        <v>81</v>
      </c>
      <c r="B56" s="2" t="s">
        <v>15</v>
      </c>
      <c r="C56" s="2" t="s">
        <v>16</v>
      </c>
      <c r="D56" s="2" t="s">
        <v>21</v>
      </c>
      <c r="E56" s="2" t="s">
        <v>54</v>
      </c>
      <c r="F56" s="2">
        <v>25103</v>
      </c>
      <c r="G56" s="2">
        <v>710</v>
      </c>
      <c r="H56" s="2">
        <v>1661.4</v>
      </c>
      <c r="I56" s="2">
        <v>24</v>
      </c>
      <c r="J56" s="2">
        <v>1896.75</v>
      </c>
    </row>
    <row r="57" spans="1:10" x14ac:dyDescent="0.45">
      <c r="A57" s="2" t="s">
        <v>82</v>
      </c>
      <c r="B57" s="2" t="s">
        <v>20</v>
      </c>
      <c r="C57" s="2" t="s">
        <v>38</v>
      </c>
      <c r="D57" s="2" t="s">
        <v>29</v>
      </c>
      <c r="E57" s="2" t="s">
        <v>51</v>
      </c>
      <c r="F57" s="2">
        <v>138515</v>
      </c>
      <c r="G57" s="2">
        <v>4377</v>
      </c>
      <c r="H57" s="2">
        <v>2232.27</v>
      </c>
      <c r="I57" s="2">
        <v>285</v>
      </c>
      <c r="J57" s="2">
        <v>10321.59</v>
      </c>
    </row>
    <row r="58" spans="1:10" x14ac:dyDescent="0.45">
      <c r="A58" s="2" t="s">
        <v>83</v>
      </c>
      <c r="B58" s="2" t="s">
        <v>35</v>
      </c>
      <c r="C58" s="2" t="s">
        <v>16</v>
      </c>
      <c r="D58" s="2" t="s">
        <v>21</v>
      </c>
      <c r="E58" s="2" t="s">
        <v>54</v>
      </c>
      <c r="F58" s="2">
        <v>180399</v>
      </c>
      <c r="G58" s="2">
        <v>6025</v>
      </c>
      <c r="H58" s="2">
        <v>4217.5</v>
      </c>
      <c r="I58" s="2">
        <v>191</v>
      </c>
      <c r="J58" s="2">
        <v>17456.79</v>
      </c>
    </row>
    <row r="59" spans="1:10" x14ac:dyDescent="0.45">
      <c r="A59" s="2" t="s">
        <v>84</v>
      </c>
      <c r="B59" s="2" t="s">
        <v>35</v>
      </c>
      <c r="C59" s="2" t="s">
        <v>24</v>
      </c>
      <c r="D59" s="2" t="s">
        <v>41</v>
      </c>
      <c r="E59" s="2" t="s">
        <v>18</v>
      </c>
      <c r="F59" s="2">
        <v>62545</v>
      </c>
      <c r="G59" s="2">
        <v>606</v>
      </c>
      <c r="H59" s="2">
        <v>1187.76</v>
      </c>
      <c r="I59" s="2">
        <v>37</v>
      </c>
      <c r="J59" s="2">
        <v>5627.66</v>
      </c>
    </row>
    <row r="60" spans="1:10" x14ac:dyDescent="0.45">
      <c r="A60" s="2" t="s">
        <v>85</v>
      </c>
      <c r="B60" s="2" t="s">
        <v>15</v>
      </c>
      <c r="C60" s="2" t="s">
        <v>28</v>
      </c>
      <c r="D60" s="2" t="s">
        <v>17</v>
      </c>
      <c r="E60" s="2" t="s">
        <v>33</v>
      </c>
      <c r="F60" s="2">
        <v>72526</v>
      </c>
      <c r="G60" s="2">
        <v>2146</v>
      </c>
      <c r="H60" s="2">
        <v>3347.76</v>
      </c>
      <c r="I60" s="2">
        <v>168</v>
      </c>
      <c r="J60" s="2">
        <v>25859.74</v>
      </c>
    </row>
    <row r="61" spans="1:10" x14ac:dyDescent="0.45">
      <c r="A61" s="2" t="s">
        <v>86</v>
      </c>
      <c r="B61" s="2" t="s">
        <v>35</v>
      </c>
      <c r="C61" s="2" t="s">
        <v>38</v>
      </c>
      <c r="D61" s="2" t="s">
        <v>21</v>
      </c>
      <c r="E61" s="2" t="s">
        <v>54</v>
      </c>
      <c r="F61" s="2">
        <v>67823</v>
      </c>
      <c r="G61" s="2">
        <v>2075</v>
      </c>
      <c r="H61" s="2">
        <v>3797.25</v>
      </c>
      <c r="I61" s="2">
        <v>26</v>
      </c>
      <c r="J61" s="2">
        <v>4093.91</v>
      </c>
    </row>
    <row r="62" spans="1:10" x14ac:dyDescent="0.45">
      <c r="A62" s="2" t="s">
        <v>87</v>
      </c>
      <c r="B62" s="2" t="s">
        <v>35</v>
      </c>
      <c r="C62" s="2" t="s">
        <v>38</v>
      </c>
      <c r="D62" s="2" t="s">
        <v>41</v>
      </c>
      <c r="E62" s="2" t="s">
        <v>51</v>
      </c>
      <c r="F62" s="2">
        <v>164937</v>
      </c>
      <c r="G62" s="2">
        <v>4453</v>
      </c>
      <c r="H62" s="2">
        <v>4809.24</v>
      </c>
      <c r="I62" s="2">
        <v>129</v>
      </c>
      <c r="J62" s="2">
        <v>35127.5</v>
      </c>
    </row>
    <row r="63" spans="1:10" x14ac:dyDescent="0.45">
      <c r="A63" s="2" t="s">
        <v>52</v>
      </c>
      <c r="B63" s="2" t="s">
        <v>35</v>
      </c>
      <c r="C63" s="2" t="s">
        <v>16</v>
      </c>
      <c r="D63" s="2" t="s">
        <v>21</v>
      </c>
      <c r="E63" s="2" t="s">
        <v>22</v>
      </c>
      <c r="F63" s="2">
        <v>114575</v>
      </c>
      <c r="G63" s="2">
        <v>2039</v>
      </c>
      <c r="H63" s="2">
        <v>1080.67</v>
      </c>
      <c r="I63" s="2">
        <v>113</v>
      </c>
      <c r="J63" s="2">
        <v>10656.96</v>
      </c>
    </row>
    <row r="64" spans="1:10" x14ac:dyDescent="0.45">
      <c r="A64" s="2" t="s">
        <v>88</v>
      </c>
      <c r="B64" s="2" t="s">
        <v>15</v>
      </c>
      <c r="C64" s="2" t="s">
        <v>28</v>
      </c>
      <c r="D64" s="2" t="s">
        <v>17</v>
      </c>
      <c r="E64" s="2" t="s">
        <v>30</v>
      </c>
      <c r="F64" s="2">
        <v>132157</v>
      </c>
      <c r="G64" s="2">
        <v>2999</v>
      </c>
      <c r="H64" s="2">
        <v>2789.07</v>
      </c>
      <c r="I64" s="2">
        <v>152</v>
      </c>
      <c r="J64" s="2">
        <v>21855.26</v>
      </c>
    </row>
    <row r="65" spans="1:10" x14ac:dyDescent="0.45">
      <c r="A65" s="2" t="s">
        <v>89</v>
      </c>
      <c r="B65" s="2" t="s">
        <v>20</v>
      </c>
      <c r="C65" s="2" t="s">
        <v>24</v>
      </c>
      <c r="D65" s="2" t="s">
        <v>25</v>
      </c>
      <c r="E65" s="2" t="s">
        <v>30</v>
      </c>
      <c r="F65" s="2">
        <v>108145</v>
      </c>
      <c r="G65" s="2">
        <v>3882</v>
      </c>
      <c r="H65" s="2">
        <v>3649.08</v>
      </c>
      <c r="I65" s="2">
        <v>98</v>
      </c>
      <c r="J65" s="2">
        <v>28726.52</v>
      </c>
    </row>
    <row r="66" spans="1:10" x14ac:dyDescent="0.45">
      <c r="A66" s="2" t="s">
        <v>90</v>
      </c>
      <c r="B66" s="2" t="s">
        <v>20</v>
      </c>
      <c r="C66" s="2" t="s">
        <v>16</v>
      </c>
      <c r="D66" s="2" t="s">
        <v>29</v>
      </c>
      <c r="E66" s="2" t="s">
        <v>51</v>
      </c>
      <c r="F66" s="2">
        <v>72642</v>
      </c>
      <c r="G66" s="2">
        <v>3014</v>
      </c>
      <c r="H66" s="2">
        <v>3496.24</v>
      </c>
      <c r="I66" s="2">
        <v>59</v>
      </c>
      <c r="J66" s="2">
        <v>15070.44</v>
      </c>
    </row>
    <row r="67" spans="1:10" x14ac:dyDescent="0.45">
      <c r="A67" s="2" t="s">
        <v>91</v>
      </c>
      <c r="B67" s="2" t="s">
        <v>20</v>
      </c>
      <c r="C67" s="2" t="s">
        <v>38</v>
      </c>
      <c r="D67" s="2" t="s">
        <v>25</v>
      </c>
      <c r="E67" s="2" t="s">
        <v>18</v>
      </c>
      <c r="F67" s="2">
        <v>131678</v>
      </c>
      <c r="G67" s="2">
        <v>8374</v>
      </c>
      <c r="H67" s="2">
        <v>7620.34</v>
      </c>
      <c r="I67" s="2">
        <v>505</v>
      </c>
      <c r="J67" s="2">
        <v>29682.01</v>
      </c>
    </row>
    <row r="68" spans="1:10" x14ac:dyDescent="0.45">
      <c r="A68" s="2" t="s">
        <v>92</v>
      </c>
      <c r="B68" s="2" t="s">
        <v>15</v>
      </c>
      <c r="C68" s="2" t="s">
        <v>24</v>
      </c>
      <c r="D68" s="2" t="s">
        <v>41</v>
      </c>
      <c r="E68" s="2" t="s">
        <v>54</v>
      </c>
      <c r="F68" s="2">
        <v>34402</v>
      </c>
      <c r="G68" s="2">
        <v>1314</v>
      </c>
      <c r="H68" s="2">
        <v>4323.0600000000004</v>
      </c>
      <c r="I68" s="2">
        <v>17</v>
      </c>
      <c r="J68" s="2">
        <v>1273.24</v>
      </c>
    </row>
    <row r="69" spans="1:10" x14ac:dyDescent="0.45">
      <c r="A69" s="2" t="s">
        <v>93</v>
      </c>
      <c r="B69" s="2" t="s">
        <v>35</v>
      </c>
      <c r="C69" s="2" t="s">
        <v>24</v>
      </c>
      <c r="D69" s="2" t="s">
        <v>25</v>
      </c>
      <c r="E69" s="2" t="s">
        <v>30</v>
      </c>
      <c r="F69" s="2">
        <v>58276</v>
      </c>
      <c r="G69" s="2">
        <v>1183</v>
      </c>
      <c r="H69" s="2">
        <v>1762.67</v>
      </c>
      <c r="I69" s="2">
        <v>89</v>
      </c>
      <c r="J69" s="2">
        <v>20273.71</v>
      </c>
    </row>
    <row r="70" spans="1:10" x14ac:dyDescent="0.45">
      <c r="A70" s="2" t="s">
        <v>34</v>
      </c>
      <c r="B70" s="2" t="s">
        <v>15</v>
      </c>
      <c r="C70" s="2" t="s">
        <v>28</v>
      </c>
      <c r="D70" s="2" t="s">
        <v>21</v>
      </c>
      <c r="E70" s="2" t="s">
        <v>33</v>
      </c>
      <c r="F70" s="2">
        <v>168059</v>
      </c>
      <c r="G70" s="2">
        <v>3462</v>
      </c>
      <c r="H70" s="2">
        <v>10662.96</v>
      </c>
      <c r="I70" s="2">
        <v>154</v>
      </c>
      <c r="J70" s="2">
        <v>33243.769999999997</v>
      </c>
    </row>
    <row r="71" spans="1:10" x14ac:dyDescent="0.45">
      <c r="A71" s="2" t="s">
        <v>74</v>
      </c>
      <c r="B71" s="2" t="s">
        <v>35</v>
      </c>
      <c r="C71" s="2" t="s">
        <v>24</v>
      </c>
      <c r="D71" s="2" t="s">
        <v>17</v>
      </c>
      <c r="E71" s="2" t="s">
        <v>33</v>
      </c>
      <c r="F71" s="2">
        <v>91123</v>
      </c>
      <c r="G71" s="2">
        <v>1567</v>
      </c>
      <c r="H71" s="2">
        <v>3651.11</v>
      </c>
      <c r="I71" s="2">
        <v>64</v>
      </c>
      <c r="J71" s="2">
        <v>5119.1000000000004</v>
      </c>
    </row>
    <row r="72" spans="1:10" x14ac:dyDescent="0.45">
      <c r="A72" s="2" t="s">
        <v>94</v>
      </c>
      <c r="B72" s="2" t="s">
        <v>35</v>
      </c>
      <c r="C72" s="2" t="s">
        <v>28</v>
      </c>
      <c r="D72" s="2" t="s">
        <v>17</v>
      </c>
      <c r="E72" s="2" t="s">
        <v>54</v>
      </c>
      <c r="F72" s="2">
        <v>16344</v>
      </c>
      <c r="G72" s="2">
        <v>452</v>
      </c>
      <c r="H72" s="2">
        <v>406.8</v>
      </c>
      <c r="I72" s="2">
        <v>5</v>
      </c>
      <c r="J72" s="2">
        <v>1102.53</v>
      </c>
    </row>
    <row r="73" spans="1:10" x14ac:dyDescent="0.45">
      <c r="A73" s="2" t="s">
        <v>95</v>
      </c>
      <c r="B73" s="2" t="s">
        <v>20</v>
      </c>
      <c r="C73" s="2" t="s">
        <v>24</v>
      </c>
      <c r="D73" s="2" t="s">
        <v>29</v>
      </c>
      <c r="E73" s="2" t="s">
        <v>18</v>
      </c>
      <c r="F73" s="2">
        <v>99457</v>
      </c>
      <c r="G73" s="2">
        <v>5808</v>
      </c>
      <c r="H73" s="2">
        <v>9292.7999999999993</v>
      </c>
      <c r="I73" s="2">
        <v>80</v>
      </c>
      <c r="J73" s="2">
        <v>12231.1</v>
      </c>
    </row>
    <row r="74" spans="1:10" x14ac:dyDescent="0.45">
      <c r="A74" s="2" t="s">
        <v>96</v>
      </c>
      <c r="B74" s="2" t="s">
        <v>35</v>
      </c>
      <c r="C74" s="2" t="s">
        <v>24</v>
      </c>
      <c r="D74" s="2" t="s">
        <v>41</v>
      </c>
      <c r="E74" s="2" t="s">
        <v>51</v>
      </c>
      <c r="F74" s="2">
        <v>57375</v>
      </c>
      <c r="G74" s="2">
        <v>843</v>
      </c>
      <c r="H74" s="2">
        <v>1357.23</v>
      </c>
      <c r="I74" s="2">
        <v>40</v>
      </c>
      <c r="J74" s="2">
        <v>9739.81</v>
      </c>
    </row>
    <row r="75" spans="1:10" x14ac:dyDescent="0.45">
      <c r="A75" s="2" t="s">
        <v>37</v>
      </c>
      <c r="B75" s="2" t="s">
        <v>15</v>
      </c>
      <c r="C75" s="2" t="s">
        <v>38</v>
      </c>
      <c r="D75" s="2" t="s">
        <v>41</v>
      </c>
      <c r="E75" s="2" t="s">
        <v>18</v>
      </c>
      <c r="F75" s="2">
        <v>115017</v>
      </c>
      <c r="G75" s="2">
        <v>2771</v>
      </c>
      <c r="H75" s="2">
        <v>7093.76</v>
      </c>
      <c r="I75" s="2">
        <v>95</v>
      </c>
      <c r="J75" s="2">
        <v>22528.38</v>
      </c>
    </row>
    <row r="76" spans="1:10" x14ac:dyDescent="0.45">
      <c r="A76" s="2" t="s">
        <v>97</v>
      </c>
      <c r="B76" s="2" t="s">
        <v>35</v>
      </c>
      <c r="C76" s="2" t="s">
        <v>16</v>
      </c>
      <c r="D76" s="2" t="s">
        <v>21</v>
      </c>
      <c r="E76" s="2" t="s">
        <v>26</v>
      </c>
      <c r="F76" s="2">
        <v>90431</v>
      </c>
      <c r="G76" s="2">
        <v>1853</v>
      </c>
      <c r="H76" s="2">
        <v>3150.1</v>
      </c>
      <c r="I76" s="2">
        <v>57</v>
      </c>
      <c r="J76" s="2">
        <v>14834.93</v>
      </c>
    </row>
    <row r="77" spans="1:10" x14ac:dyDescent="0.45">
      <c r="A77" s="2" t="s">
        <v>98</v>
      </c>
      <c r="B77" s="2" t="s">
        <v>35</v>
      </c>
      <c r="C77" s="2" t="s">
        <v>16</v>
      </c>
      <c r="D77" s="2" t="s">
        <v>41</v>
      </c>
      <c r="E77" s="2" t="s">
        <v>26</v>
      </c>
      <c r="F77" s="2">
        <v>140566</v>
      </c>
      <c r="G77" s="2">
        <v>5046</v>
      </c>
      <c r="H77" s="2">
        <v>3128.52</v>
      </c>
      <c r="I77" s="2">
        <v>384</v>
      </c>
      <c r="J77" s="2">
        <v>59980.19</v>
      </c>
    </row>
    <row r="78" spans="1:10" x14ac:dyDescent="0.45">
      <c r="A78" s="2" t="s">
        <v>99</v>
      </c>
      <c r="B78" s="2" t="s">
        <v>35</v>
      </c>
      <c r="C78" s="2" t="s">
        <v>16</v>
      </c>
      <c r="D78" s="2" t="s">
        <v>21</v>
      </c>
      <c r="E78" s="2" t="s">
        <v>30</v>
      </c>
      <c r="F78" s="2">
        <v>133583</v>
      </c>
      <c r="G78" s="2">
        <v>3954</v>
      </c>
      <c r="H78" s="2">
        <v>2570.1</v>
      </c>
      <c r="I78" s="2">
        <v>255</v>
      </c>
      <c r="J78" s="2">
        <v>31756.12</v>
      </c>
    </row>
    <row r="79" spans="1:10" x14ac:dyDescent="0.45">
      <c r="A79" s="2" t="s">
        <v>100</v>
      </c>
      <c r="B79" s="2" t="s">
        <v>15</v>
      </c>
      <c r="C79" s="2" t="s">
        <v>24</v>
      </c>
      <c r="D79" s="2" t="s">
        <v>41</v>
      </c>
      <c r="E79" s="2" t="s">
        <v>26</v>
      </c>
      <c r="F79" s="2">
        <v>198555</v>
      </c>
      <c r="G79" s="2">
        <v>13104</v>
      </c>
      <c r="H79" s="2">
        <v>32235.84</v>
      </c>
      <c r="I79" s="2">
        <v>336</v>
      </c>
      <c r="J79" s="2">
        <v>58794.32</v>
      </c>
    </row>
    <row r="80" spans="1:10" x14ac:dyDescent="0.45">
      <c r="A80" s="2" t="s">
        <v>101</v>
      </c>
      <c r="B80" s="2" t="s">
        <v>35</v>
      </c>
      <c r="C80" s="2" t="s">
        <v>38</v>
      </c>
      <c r="D80" s="2" t="s">
        <v>25</v>
      </c>
      <c r="E80" s="2" t="s">
        <v>22</v>
      </c>
      <c r="F80" s="2">
        <v>88560</v>
      </c>
      <c r="G80" s="2">
        <v>1319</v>
      </c>
      <c r="H80" s="2">
        <v>685.88</v>
      </c>
      <c r="I80" s="2">
        <v>81</v>
      </c>
      <c r="J80" s="2">
        <v>8584.02</v>
      </c>
    </row>
    <row r="81" spans="1:10" x14ac:dyDescent="0.45">
      <c r="A81" s="2" t="s">
        <v>102</v>
      </c>
      <c r="B81" s="2" t="s">
        <v>15</v>
      </c>
      <c r="C81" s="2" t="s">
        <v>38</v>
      </c>
      <c r="D81" s="2" t="s">
        <v>17</v>
      </c>
      <c r="E81" s="2" t="s">
        <v>18</v>
      </c>
      <c r="F81" s="2">
        <v>117217</v>
      </c>
      <c r="G81" s="2">
        <v>5602</v>
      </c>
      <c r="H81" s="2">
        <v>19550.98</v>
      </c>
      <c r="I81" s="2">
        <v>411</v>
      </c>
      <c r="J81" s="2">
        <v>75729.259999999995</v>
      </c>
    </row>
    <row r="82" spans="1:10" x14ac:dyDescent="0.45">
      <c r="A82" s="2" t="s">
        <v>103</v>
      </c>
      <c r="B82" s="2" t="s">
        <v>35</v>
      </c>
      <c r="C82" s="2" t="s">
        <v>28</v>
      </c>
      <c r="D82" s="2" t="s">
        <v>17</v>
      </c>
      <c r="E82" s="2" t="s">
        <v>18</v>
      </c>
      <c r="F82" s="2">
        <v>104616</v>
      </c>
      <c r="G82" s="2">
        <v>4048</v>
      </c>
      <c r="H82" s="2">
        <v>7164.96</v>
      </c>
      <c r="I82" s="2">
        <v>233</v>
      </c>
      <c r="J82" s="2">
        <v>45906.84</v>
      </c>
    </row>
    <row r="83" spans="1:10" x14ac:dyDescent="0.45">
      <c r="A83" s="2" t="s">
        <v>104</v>
      </c>
      <c r="B83" s="2" t="s">
        <v>20</v>
      </c>
      <c r="C83" s="2" t="s">
        <v>24</v>
      </c>
      <c r="D83" s="2" t="s">
        <v>25</v>
      </c>
      <c r="E83" s="2" t="s">
        <v>33</v>
      </c>
      <c r="F83" s="2">
        <v>79553</v>
      </c>
      <c r="G83" s="2">
        <v>2712</v>
      </c>
      <c r="H83" s="2">
        <v>840.72</v>
      </c>
      <c r="I83" s="2">
        <v>170</v>
      </c>
      <c r="J83" s="2">
        <v>16973.79</v>
      </c>
    </row>
    <row r="84" spans="1:10" x14ac:dyDescent="0.45">
      <c r="A84" s="2" t="s">
        <v>46</v>
      </c>
      <c r="B84" s="2" t="s">
        <v>15</v>
      </c>
      <c r="C84" s="2" t="s">
        <v>16</v>
      </c>
      <c r="D84" s="2" t="s">
        <v>17</v>
      </c>
      <c r="E84" s="2" t="s">
        <v>26</v>
      </c>
      <c r="F84" s="2">
        <v>170904</v>
      </c>
      <c r="G84" s="2">
        <v>4751</v>
      </c>
      <c r="H84" s="2">
        <v>5321.12</v>
      </c>
      <c r="I84" s="2">
        <v>326</v>
      </c>
      <c r="J84" s="2">
        <v>44297.15</v>
      </c>
    </row>
    <row r="85" spans="1:10" x14ac:dyDescent="0.45">
      <c r="A85" s="2" t="s">
        <v>105</v>
      </c>
      <c r="B85" s="2" t="s">
        <v>15</v>
      </c>
      <c r="C85" s="2" t="s">
        <v>16</v>
      </c>
      <c r="D85" s="2" t="s">
        <v>25</v>
      </c>
      <c r="E85" s="2" t="s">
        <v>51</v>
      </c>
      <c r="F85" s="2">
        <v>88807</v>
      </c>
      <c r="G85" s="2">
        <v>4999</v>
      </c>
      <c r="H85" s="2">
        <v>11847.63</v>
      </c>
      <c r="I85" s="2">
        <v>348</v>
      </c>
      <c r="J85" s="2">
        <v>103474.34</v>
      </c>
    </row>
    <row r="86" spans="1:10" x14ac:dyDescent="0.45">
      <c r="A86" s="2" t="s">
        <v>34</v>
      </c>
      <c r="B86" s="2" t="s">
        <v>35</v>
      </c>
      <c r="C86" s="2" t="s">
        <v>28</v>
      </c>
      <c r="D86" s="2" t="s">
        <v>21</v>
      </c>
      <c r="E86" s="2" t="s">
        <v>33</v>
      </c>
      <c r="F86" s="2">
        <v>157499</v>
      </c>
      <c r="G86" s="2">
        <v>1574</v>
      </c>
      <c r="H86" s="2">
        <v>2770.24</v>
      </c>
      <c r="I86" s="2">
        <v>45</v>
      </c>
      <c r="J86" s="2">
        <v>13465.06</v>
      </c>
    </row>
    <row r="87" spans="1:10" x14ac:dyDescent="0.45">
      <c r="A87" s="2" t="s">
        <v>106</v>
      </c>
      <c r="B87" s="2" t="s">
        <v>35</v>
      </c>
      <c r="C87" s="2" t="s">
        <v>16</v>
      </c>
      <c r="D87" s="2" t="s">
        <v>41</v>
      </c>
      <c r="E87" s="2" t="s">
        <v>54</v>
      </c>
      <c r="F87" s="2">
        <v>46846</v>
      </c>
      <c r="G87" s="2">
        <v>983</v>
      </c>
      <c r="H87" s="2">
        <v>707.76</v>
      </c>
      <c r="I87" s="2">
        <v>11</v>
      </c>
      <c r="J87" s="2">
        <v>2501.87</v>
      </c>
    </row>
    <row r="88" spans="1:10" x14ac:dyDescent="0.45">
      <c r="A88" s="2" t="s">
        <v>107</v>
      </c>
      <c r="B88" s="2" t="s">
        <v>20</v>
      </c>
      <c r="C88" s="2" t="s">
        <v>16</v>
      </c>
      <c r="D88" s="2" t="s">
        <v>17</v>
      </c>
      <c r="E88" s="2" t="s">
        <v>30</v>
      </c>
      <c r="F88" s="2">
        <v>104986</v>
      </c>
      <c r="G88" s="2">
        <v>6131</v>
      </c>
      <c r="H88" s="2">
        <v>2207.16</v>
      </c>
      <c r="I88" s="2">
        <v>219</v>
      </c>
      <c r="J88" s="2">
        <v>57679.5</v>
      </c>
    </row>
    <row r="89" spans="1:10" x14ac:dyDescent="0.45">
      <c r="A89" s="2" t="s">
        <v>65</v>
      </c>
      <c r="B89" s="2" t="s">
        <v>35</v>
      </c>
      <c r="C89" s="2" t="s">
        <v>28</v>
      </c>
      <c r="D89" s="2" t="s">
        <v>21</v>
      </c>
      <c r="E89" s="2" t="s">
        <v>51</v>
      </c>
      <c r="F89" s="2">
        <v>172516</v>
      </c>
      <c r="G89" s="2">
        <v>6314</v>
      </c>
      <c r="H89" s="2">
        <v>4546.08</v>
      </c>
      <c r="I89" s="2">
        <v>335</v>
      </c>
      <c r="J89" s="2">
        <v>82096.800000000003</v>
      </c>
    </row>
    <row r="90" spans="1:10" x14ac:dyDescent="0.45">
      <c r="A90" s="2" t="s">
        <v>108</v>
      </c>
      <c r="B90" s="2" t="s">
        <v>35</v>
      </c>
      <c r="C90" s="2" t="s">
        <v>38</v>
      </c>
      <c r="D90" s="2" t="s">
        <v>41</v>
      </c>
      <c r="E90" s="2" t="s">
        <v>51</v>
      </c>
      <c r="F90" s="2">
        <v>187099</v>
      </c>
      <c r="G90" s="2">
        <v>2469</v>
      </c>
      <c r="H90" s="2">
        <v>2049.27</v>
      </c>
      <c r="I90" s="2">
        <v>103</v>
      </c>
      <c r="J90" s="2">
        <v>3413.17</v>
      </c>
    </row>
    <row r="91" spans="1:10" x14ac:dyDescent="0.45">
      <c r="A91" s="2" t="s">
        <v>109</v>
      </c>
      <c r="B91" s="2" t="s">
        <v>15</v>
      </c>
      <c r="C91" s="2" t="s">
        <v>28</v>
      </c>
      <c r="D91" s="2" t="s">
        <v>29</v>
      </c>
      <c r="E91" s="2" t="s">
        <v>51</v>
      </c>
      <c r="F91" s="2">
        <v>111661</v>
      </c>
      <c r="G91" s="2">
        <v>3930</v>
      </c>
      <c r="H91" s="2">
        <v>3301.2</v>
      </c>
      <c r="I91" s="2">
        <v>310</v>
      </c>
      <c r="J91" s="2">
        <v>21226.880000000001</v>
      </c>
    </row>
    <row r="92" spans="1:10" x14ac:dyDescent="0.45">
      <c r="A92" s="2" t="s">
        <v>110</v>
      </c>
      <c r="B92" s="2" t="s">
        <v>35</v>
      </c>
      <c r="C92" s="2" t="s">
        <v>38</v>
      </c>
      <c r="D92" s="2" t="s">
        <v>21</v>
      </c>
      <c r="E92" s="2" t="s">
        <v>30</v>
      </c>
      <c r="F92" s="2">
        <v>79441</v>
      </c>
      <c r="G92" s="2">
        <v>3082</v>
      </c>
      <c r="H92" s="2">
        <v>1633.46</v>
      </c>
      <c r="I92" s="2">
        <v>100</v>
      </c>
      <c r="J92" s="2">
        <v>29391.59</v>
      </c>
    </row>
    <row r="93" spans="1:10" x14ac:dyDescent="0.45">
      <c r="A93" s="2" t="s">
        <v>111</v>
      </c>
      <c r="B93" s="2" t="s">
        <v>15</v>
      </c>
      <c r="C93" s="2" t="s">
        <v>38</v>
      </c>
      <c r="D93" s="2" t="s">
        <v>29</v>
      </c>
      <c r="E93" s="2" t="s">
        <v>54</v>
      </c>
      <c r="F93" s="2">
        <v>14078</v>
      </c>
      <c r="G93" s="2">
        <v>763</v>
      </c>
      <c r="H93" s="2">
        <v>1724.38</v>
      </c>
      <c r="I93" s="2">
        <v>57</v>
      </c>
      <c r="J93" s="2">
        <v>16289.72</v>
      </c>
    </row>
    <row r="94" spans="1:10" x14ac:dyDescent="0.45">
      <c r="A94" s="2" t="s">
        <v>112</v>
      </c>
      <c r="B94" s="2" t="s">
        <v>35</v>
      </c>
      <c r="C94" s="2" t="s">
        <v>28</v>
      </c>
      <c r="D94" s="2" t="s">
        <v>17</v>
      </c>
      <c r="E94" s="2" t="s">
        <v>54</v>
      </c>
      <c r="F94" s="2">
        <v>182235</v>
      </c>
      <c r="G94" s="2">
        <v>5047</v>
      </c>
      <c r="H94" s="2">
        <v>3734.78</v>
      </c>
      <c r="I94" s="2">
        <v>260</v>
      </c>
      <c r="J94" s="2">
        <v>53450.65</v>
      </c>
    </row>
    <row r="95" spans="1:10" x14ac:dyDescent="0.45">
      <c r="A95" s="2" t="s">
        <v>113</v>
      </c>
      <c r="B95" s="2" t="s">
        <v>35</v>
      </c>
      <c r="C95" s="2" t="s">
        <v>24</v>
      </c>
      <c r="D95" s="2" t="s">
        <v>29</v>
      </c>
      <c r="E95" s="2" t="s">
        <v>33</v>
      </c>
      <c r="F95" s="2">
        <v>128629</v>
      </c>
      <c r="G95" s="2">
        <v>2109</v>
      </c>
      <c r="H95" s="2">
        <v>2720.61</v>
      </c>
      <c r="I95" s="2">
        <v>168</v>
      </c>
      <c r="J95" s="2">
        <v>49256.62</v>
      </c>
    </row>
    <row r="96" spans="1:10" x14ac:dyDescent="0.45">
      <c r="A96" s="2" t="s">
        <v>114</v>
      </c>
      <c r="B96" s="2" t="s">
        <v>35</v>
      </c>
      <c r="C96" s="2" t="s">
        <v>38</v>
      </c>
      <c r="D96" s="2" t="s">
        <v>17</v>
      </c>
      <c r="E96" s="2" t="s">
        <v>33</v>
      </c>
      <c r="F96" s="2">
        <v>21309</v>
      </c>
      <c r="G96" s="2">
        <v>432</v>
      </c>
      <c r="H96" s="2">
        <v>717.12</v>
      </c>
      <c r="I96" s="2">
        <v>15</v>
      </c>
      <c r="J96" s="2">
        <v>4449.9799999999996</v>
      </c>
    </row>
    <row r="97" spans="1:10" x14ac:dyDescent="0.45">
      <c r="A97" s="2" t="s">
        <v>115</v>
      </c>
      <c r="B97" s="2" t="s">
        <v>15</v>
      </c>
      <c r="C97" s="2" t="s">
        <v>16</v>
      </c>
      <c r="D97" s="2" t="s">
        <v>17</v>
      </c>
      <c r="E97" s="2" t="s">
        <v>26</v>
      </c>
      <c r="F97" s="2">
        <v>167932</v>
      </c>
      <c r="G97" s="2">
        <v>6717</v>
      </c>
      <c r="H97" s="2">
        <v>16523.82</v>
      </c>
      <c r="I97" s="2">
        <v>247</v>
      </c>
      <c r="J97" s="2">
        <v>38475.06</v>
      </c>
    </row>
    <row r="98" spans="1:10" x14ac:dyDescent="0.45">
      <c r="A98" s="2" t="s">
        <v>71</v>
      </c>
      <c r="B98" s="2" t="s">
        <v>20</v>
      </c>
      <c r="C98" s="2" t="s">
        <v>16</v>
      </c>
      <c r="D98" s="2" t="s">
        <v>17</v>
      </c>
      <c r="E98" s="2" t="s">
        <v>22</v>
      </c>
      <c r="F98" s="2">
        <v>162795</v>
      </c>
      <c r="G98" s="2">
        <v>8107</v>
      </c>
      <c r="H98" s="2">
        <v>7782.72</v>
      </c>
      <c r="I98" s="2">
        <v>575</v>
      </c>
      <c r="J98" s="2">
        <v>86383.64</v>
      </c>
    </row>
    <row r="99" spans="1:10" x14ac:dyDescent="0.45">
      <c r="A99" s="2" t="s">
        <v>116</v>
      </c>
      <c r="B99" s="2" t="s">
        <v>35</v>
      </c>
      <c r="C99" s="2" t="s">
        <v>16</v>
      </c>
      <c r="D99" s="2" t="s">
        <v>21</v>
      </c>
      <c r="E99" s="2" t="s">
        <v>22</v>
      </c>
      <c r="F99" s="2">
        <v>50893</v>
      </c>
      <c r="G99" s="2">
        <v>1124</v>
      </c>
      <c r="H99" s="2">
        <v>1584.84</v>
      </c>
      <c r="I99" s="2">
        <v>29</v>
      </c>
      <c r="J99" s="2">
        <v>2707.5</v>
      </c>
    </row>
    <row r="100" spans="1:10" x14ac:dyDescent="0.45">
      <c r="A100" s="2" t="s">
        <v>117</v>
      </c>
      <c r="B100" s="2" t="s">
        <v>20</v>
      </c>
      <c r="C100" s="2" t="s">
        <v>38</v>
      </c>
      <c r="D100" s="2" t="s">
        <v>29</v>
      </c>
      <c r="E100" s="2" t="s">
        <v>18</v>
      </c>
      <c r="F100" s="2">
        <v>81619</v>
      </c>
      <c r="G100" s="2">
        <v>3623</v>
      </c>
      <c r="H100" s="2">
        <v>1702.81</v>
      </c>
      <c r="I100" s="2">
        <v>222</v>
      </c>
      <c r="J100" s="2">
        <v>46448.44</v>
      </c>
    </row>
    <row r="101" spans="1:10" x14ac:dyDescent="0.45">
      <c r="A101" s="2" t="s">
        <v>118</v>
      </c>
      <c r="B101" s="2" t="s">
        <v>35</v>
      </c>
      <c r="C101" s="2" t="s">
        <v>16</v>
      </c>
      <c r="D101" s="2" t="s">
        <v>21</v>
      </c>
      <c r="E101" s="2" t="s">
        <v>30</v>
      </c>
      <c r="F101" s="2">
        <v>154381</v>
      </c>
      <c r="G101" s="2">
        <v>1698</v>
      </c>
      <c r="H101" s="2">
        <v>3141.3</v>
      </c>
      <c r="I101" s="2">
        <v>70</v>
      </c>
      <c r="J101" s="2">
        <v>19750.240000000002</v>
      </c>
    </row>
    <row r="102" spans="1:10" x14ac:dyDescent="0.45">
      <c r="A102" s="2" t="s">
        <v>64</v>
      </c>
      <c r="B102" s="2" t="s">
        <v>15</v>
      </c>
      <c r="C102" s="2" t="s">
        <v>16</v>
      </c>
      <c r="D102" s="2" t="s">
        <v>17</v>
      </c>
      <c r="E102" s="2" t="s">
        <v>51</v>
      </c>
      <c r="F102" s="2">
        <v>124273</v>
      </c>
      <c r="G102" s="2">
        <v>3603</v>
      </c>
      <c r="H102" s="2">
        <v>5584.65</v>
      </c>
      <c r="I102" s="2">
        <v>167</v>
      </c>
      <c r="J102" s="2">
        <v>20460.25</v>
      </c>
    </row>
    <row r="103" spans="1:10" x14ac:dyDescent="0.45">
      <c r="A103" s="2" t="s">
        <v>119</v>
      </c>
      <c r="B103" s="2" t="s">
        <v>35</v>
      </c>
      <c r="C103" s="2" t="s">
        <v>24</v>
      </c>
      <c r="D103" s="2" t="s">
        <v>25</v>
      </c>
      <c r="E103" s="2" t="s">
        <v>30</v>
      </c>
      <c r="F103" s="2">
        <v>6969</v>
      </c>
      <c r="G103" s="2">
        <v>176</v>
      </c>
      <c r="H103" s="2">
        <v>190.08</v>
      </c>
      <c r="I103" s="2">
        <v>10</v>
      </c>
      <c r="J103" s="2">
        <v>2562.91</v>
      </c>
    </row>
    <row r="104" spans="1:10" x14ac:dyDescent="0.45">
      <c r="A104" s="2" t="s">
        <v>65</v>
      </c>
      <c r="B104" s="2" t="s">
        <v>20</v>
      </c>
      <c r="C104" s="2" t="s">
        <v>38</v>
      </c>
      <c r="D104" s="2" t="s">
        <v>29</v>
      </c>
      <c r="E104" s="2" t="s">
        <v>22</v>
      </c>
      <c r="F104" s="2">
        <v>29089</v>
      </c>
      <c r="G104" s="2">
        <v>1076</v>
      </c>
      <c r="H104" s="2">
        <v>699.4</v>
      </c>
      <c r="I104" s="2">
        <v>40</v>
      </c>
      <c r="J104" s="2">
        <v>8233.32</v>
      </c>
    </row>
    <row r="105" spans="1:10" x14ac:dyDescent="0.45">
      <c r="A105" s="2" t="s">
        <v>120</v>
      </c>
      <c r="B105" s="2" t="s">
        <v>15</v>
      </c>
      <c r="C105" s="2" t="s">
        <v>28</v>
      </c>
      <c r="D105" s="2" t="s">
        <v>29</v>
      </c>
      <c r="E105" s="2" t="s">
        <v>22</v>
      </c>
      <c r="F105" s="2">
        <v>10704</v>
      </c>
      <c r="G105" s="2">
        <v>489</v>
      </c>
      <c r="H105" s="2">
        <v>836.19</v>
      </c>
      <c r="I105" s="2">
        <v>36</v>
      </c>
      <c r="J105" s="2">
        <v>5339.04</v>
      </c>
    </row>
    <row r="106" spans="1:10" x14ac:dyDescent="0.45">
      <c r="A106" s="2" t="s">
        <v>79</v>
      </c>
      <c r="B106" s="2" t="s">
        <v>20</v>
      </c>
      <c r="C106" s="2" t="s">
        <v>16</v>
      </c>
      <c r="D106" s="2" t="s">
        <v>41</v>
      </c>
      <c r="E106" s="2" t="s">
        <v>54</v>
      </c>
      <c r="F106" s="2">
        <v>22772</v>
      </c>
      <c r="G106" s="2">
        <v>1045</v>
      </c>
      <c r="H106" s="2">
        <v>992.75</v>
      </c>
      <c r="I106" s="2">
        <v>38</v>
      </c>
      <c r="J106" s="2">
        <v>5743.6</v>
      </c>
    </row>
    <row r="107" spans="1:10" x14ac:dyDescent="0.45">
      <c r="A107" s="2" t="s">
        <v>121</v>
      </c>
      <c r="B107" s="2" t="s">
        <v>15</v>
      </c>
      <c r="C107" s="2" t="s">
        <v>16</v>
      </c>
      <c r="D107" s="2" t="s">
        <v>17</v>
      </c>
      <c r="E107" s="2" t="s">
        <v>30</v>
      </c>
      <c r="F107" s="2">
        <v>68449</v>
      </c>
      <c r="G107" s="2">
        <v>3285</v>
      </c>
      <c r="H107" s="2">
        <v>7818.3</v>
      </c>
      <c r="I107" s="2">
        <v>243</v>
      </c>
      <c r="J107" s="2">
        <v>60681.21</v>
      </c>
    </row>
    <row r="108" spans="1:10" x14ac:dyDescent="0.45">
      <c r="A108" s="2" t="s">
        <v>122</v>
      </c>
      <c r="B108" s="2" t="s">
        <v>15</v>
      </c>
      <c r="C108" s="2" t="s">
        <v>16</v>
      </c>
      <c r="D108" s="2" t="s">
        <v>29</v>
      </c>
      <c r="E108" s="2" t="s">
        <v>18</v>
      </c>
      <c r="F108" s="2">
        <v>51819</v>
      </c>
      <c r="G108" s="2">
        <v>2497</v>
      </c>
      <c r="H108" s="2">
        <v>7191.36</v>
      </c>
      <c r="I108" s="2">
        <v>138</v>
      </c>
      <c r="J108" s="2">
        <v>37600.620000000003</v>
      </c>
    </row>
    <row r="109" spans="1:10" x14ac:dyDescent="0.45">
      <c r="A109" s="2" t="s">
        <v>123</v>
      </c>
      <c r="B109" s="2" t="s">
        <v>15</v>
      </c>
      <c r="C109" s="2" t="s">
        <v>24</v>
      </c>
      <c r="D109" s="2" t="s">
        <v>17</v>
      </c>
      <c r="E109" s="2" t="s">
        <v>54</v>
      </c>
      <c r="F109" s="2">
        <v>173722</v>
      </c>
      <c r="G109" s="2">
        <v>3821</v>
      </c>
      <c r="H109" s="2">
        <v>5884.34</v>
      </c>
      <c r="I109" s="2">
        <v>201</v>
      </c>
      <c r="J109" s="2">
        <v>44895.5</v>
      </c>
    </row>
    <row r="110" spans="1:10" x14ac:dyDescent="0.45">
      <c r="A110" s="2" t="s">
        <v>124</v>
      </c>
      <c r="B110" s="2" t="s">
        <v>15</v>
      </c>
      <c r="C110" s="2" t="s">
        <v>28</v>
      </c>
      <c r="D110" s="2" t="s">
        <v>29</v>
      </c>
      <c r="E110" s="2" t="s">
        <v>26</v>
      </c>
      <c r="F110" s="2">
        <v>119014</v>
      </c>
      <c r="G110" s="2">
        <v>5938</v>
      </c>
      <c r="H110" s="2">
        <v>17101.439999999999</v>
      </c>
      <c r="I110" s="2">
        <v>95</v>
      </c>
      <c r="J110" s="2">
        <v>23773.95</v>
      </c>
    </row>
    <row r="111" spans="1:10" x14ac:dyDescent="0.45">
      <c r="A111" s="2" t="s">
        <v>125</v>
      </c>
      <c r="B111" s="2" t="s">
        <v>15</v>
      </c>
      <c r="C111" s="2" t="s">
        <v>16</v>
      </c>
      <c r="D111" s="2" t="s">
        <v>29</v>
      </c>
      <c r="E111" s="2" t="s">
        <v>54</v>
      </c>
      <c r="F111" s="2">
        <v>159741</v>
      </c>
      <c r="G111" s="2">
        <v>6868</v>
      </c>
      <c r="H111" s="2">
        <v>9409.16</v>
      </c>
      <c r="I111" s="2">
        <v>336</v>
      </c>
      <c r="J111" s="2">
        <v>33272.11</v>
      </c>
    </row>
    <row r="112" spans="1:10" x14ac:dyDescent="0.45">
      <c r="A112" s="2" t="s">
        <v>44</v>
      </c>
      <c r="B112" s="2" t="s">
        <v>15</v>
      </c>
      <c r="C112" s="2" t="s">
        <v>28</v>
      </c>
      <c r="D112" s="2" t="s">
        <v>17</v>
      </c>
      <c r="E112" s="2" t="s">
        <v>30</v>
      </c>
      <c r="F112" s="2">
        <v>167982</v>
      </c>
      <c r="G112" s="2">
        <v>7693</v>
      </c>
      <c r="H112" s="2">
        <v>20309.52</v>
      </c>
      <c r="I112" s="2">
        <v>193</v>
      </c>
      <c r="J112" s="2">
        <v>10777.69</v>
      </c>
    </row>
    <row r="113" spans="1:10" x14ac:dyDescent="0.45">
      <c r="A113" s="2" t="s">
        <v>55</v>
      </c>
      <c r="B113" s="2" t="s">
        <v>15</v>
      </c>
      <c r="C113" s="2" t="s">
        <v>24</v>
      </c>
      <c r="D113" s="2" t="s">
        <v>17</v>
      </c>
      <c r="E113" s="2" t="s">
        <v>30</v>
      </c>
      <c r="F113" s="2">
        <v>96658</v>
      </c>
      <c r="G113" s="2">
        <v>2822</v>
      </c>
      <c r="H113" s="2">
        <v>9510.14</v>
      </c>
      <c r="I113" s="2">
        <v>112</v>
      </c>
      <c r="J113" s="2">
        <v>25060.16</v>
      </c>
    </row>
    <row r="114" spans="1:10" x14ac:dyDescent="0.45">
      <c r="A114" s="2" t="s">
        <v>126</v>
      </c>
      <c r="B114" s="2" t="s">
        <v>35</v>
      </c>
      <c r="C114" s="2" t="s">
        <v>24</v>
      </c>
      <c r="D114" s="2" t="s">
        <v>21</v>
      </c>
      <c r="E114" s="2" t="s">
        <v>51</v>
      </c>
      <c r="F114" s="2">
        <v>43467</v>
      </c>
      <c r="G114" s="2">
        <v>991</v>
      </c>
      <c r="H114" s="2">
        <v>1882.9</v>
      </c>
      <c r="I114" s="2">
        <v>25</v>
      </c>
      <c r="J114" s="2">
        <v>3146.23</v>
      </c>
    </row>
    <row r="115" spans="1:10" x14ac:dyDescent="0.45">
      <c r="A115" s="2" t="s">
        <v>66</v>
      </c>
      <c r="B115" s="2" t="s">
        <v>15</v>
      </c>
      <c r="C115" s="2" t="s">
        <v>16</v>
      </c>
      <c r="D115" s="2" t="s">
        <v>21</v>
      </c>
      <c r="E115" s="2" t="s">
        <v>22</v>
      </c>
      <c r="F115" s="2">
        <v>41378</v>
      </c>
      <c r="G115" s="2">
        <v>2023</v>
      </c>
      <c r="H115" s="2">
        <v>2488.29</v>
      </c>
      <c r="I115" s="2">
        <v>73</v>
      </c>
      <c r="J115" s="2">
        <v>9343.6299999999992</v>
      </c>
    </row>
    <row r="116" spans="1:10" x14ac:dyDescent="0.45">
      <c r="A116" s="2" t="s">
        <v>122</v>
      </c>
      <c r="B116" s="2" t="s">
        <v>20</v>
      </c>
      <c r="C116" s="2" t="s">
        <v>24</v>
      </c>
      <c r="D116" s="2" t="s">
        <v>21</v>
      </c>
      <c r="E116" s="2" t="s">
        <v>51</v>
      </c>
      <c r="F116" s="2">
        <v>100673</v>
      </c>
      <c r="G116" s="2">
        <v>5718</v>
      </c>
      <c r="H116" s="2">
        <v>6003.9</v>
      </c>
      <c r="I116" s="2">
        <v>196</v>
      </c>
      <c r="J116" s="2">
        <v>41067.129999999997</v>
      </c>
    </row>
    <row r="117" spans="1:10" x14ac:dyDescent="0.45">
      <c r="A117" s="2" t="s">
        <v>127</v>
      </c>
      <c r="B117" s="2" t="s">
        <v>20</v>
      </c>
      <c r="C117" s="2" t="s">
        <v>28</v>
      </c>
      <c r="D117" s="2" t="s">
        <v>25</v>
      </c>
      <c r="E117" s="2" t="s">
        <v>54</v>
      </c>
      <c r="F117" s="2">
        <v>191994</v>
      </c>
      <c r="G117" s="2">
        <v>14898</v>
      </c>
      <c r="H117" s="2">
        <v>16089.84</v>
      </c>
      <c r="I117" s="2">
        <v>936</v>
      </c>
      <c r="J117" s="2">
        <v>60355.75</v>
      </c>
    </row>
    <row r="118" spans="1:10" x14ac:dyDescent="0.45">
      <c r="A118" s="2" t="s">
        <v>128</v>
      </c>
      <c r="B118" s="2" t="s">
        <v>20</v>
      </c>
      <c r="C118" s="2" t="s">
        <v>38</v>
      </c>
      <c r="D118" s="2" t="s">
        <v>21</v>
      </c>
      <c r="E118" s="2" t="s">
        <v>22</v>
      </c>
      <c r="F118" s="2">
        <v>152235</v>
      </c>
      <c r="G118" s="2">
        <v>6104</v>
      </c>
      <c r="H118" s="2">
        <v>4455.92</v>
      </c>
      <c r="I118" s="2">
        <v>252</v>
      </c>
      <c r="J118" s="2">
        <v>48424.44</v>
      </c>
    </row>
    <row r="119" spans="1:10" x14ac:dyDescent="0.45">
      <c r="A119" s="2" t="s">
        <v>129</v>
      </c>
      <c r="B119" s="2" t="s">
        <v>35</v>
      </c>
      <c r="C119" s="2" t="s">
        <v>24</v>
      </c>
      <c r="D119" s="2" t="s">
        <v>17</v>
      </c>
      <c r="E119" s="2" t="s">
        <v>54</v>
      </c>
      <c r="F119" s="2">
        <v>66929</v>
      </c>
      <c r="G119" s="2">
        <v>1539</v>
      </c>
      <c r="H119" s="2">
        <v>1862.19</v>
      </c>
      <c r="I119" s="2">
        <v>38</v>
      </c>
      <c r="J119" s="2">
        <v>9540.2199999999993</v>
      </c>
    </row>
    <row r="120" spans="1:10" x14ac:dyDescent="0.45">
      <c r="A120" s="2" t="s">
        <v>130</v>
      </c>
      <c r="B120" s="2" t="s">
        <v>15</v>
      </c>
      <c r="C120" s="2" t="s">
        <v>24</v>
      </c>
      <c r="D120" s="2" t="s">
        <v>29</v>
      </c>
      <c r="E120" s="2" t="s">
        <v>33</v>
      </c>
      <c r="F120" s="2">
        <v>188202</v>
      </c>
      <c r="G120" s="2">
        <v>7189</v>
      </c>
      <c r="H120" s="2">
        <v>8267.35</v>
      </c>
      <c r="I120" s="2">
        <v>376</v>
      </c>
      <c r="J120" s="2">
        <v>88923.49</v>
      </c>
    </row>
    <row r="121" spans="1:10" x14ac:dyDescent="0.45">
      <c r="A121" s="2" t="s">
        <v>131</v>
      </c>
      <c r="B121" s="2" t="s">
        <v>15</v>
      </c>
      <c r="C121" s="2" t="s">
        <v>24</v>
      </c>
      <c r="D121" s="2" t="s">
        <v>17</v>
      </c>
      <c r="E121" s="2" t="s">
        <v>26</v>
      </c>
      <c r="F121" s="2">
        <v>184316</v>
      </c>
      <c r="G121" s="2">
        <v>4091</v>
      </c>
      <c r="H121" s="2">
        <v>4254.6400000000003</v>
      </c>
      <c r="I121" s="2">
        <v>309</v>
      </c>
      <c r="J121" s="2">
        <v>82363.460000000006</v>
      </c>
    </row>
    <row r="122" spans="1:10" x14ac:dyDescent="0.45">
      <c r="A122" s="2" t="s">
        <v>132</v>
      </c>
      <c r="B122" s="2" t="s">
        <v>15</v>
      </c>
      <c r="C122" s="2" t="s">
        <v>24</v>
      </c>
      <c r="D122" s="2" t="s">
        <v>25</v>
      </c>
      <c r="E122" s="2" t="s">
        <v>33</v>
      </c>
      <c r="F122" s="2">
        <v>65545</v>
      </c>
      <c r="G122" s="2">
        <v>3355</v>
      </c>
      <c r="H122" s="2">
        <v>5938.35</v>
      </c>
      <c r="I122" s="2">
        <v>196</v>
      </c>
      <c r="J122" s="2">
        <v>57936.29</v>
      </c>
    </row>
    <row r="123" spans="1:10" x14ac:dyDescent="0.45">
      <c r="A123" s="2" t="s">
        <v>133</v>
      </c>
      <c r="B123" s="2" t="s">
        <v>15</v>
      </c>
      <c r="C123" s="2" t="s">
        <v>24</v>
      </c>
      <c r="D123" s="2" t="s">
        <v>25</v>
      </c>
      <c r="E123" s="2" t="s">
        <v>26</v>
      </c>
      <c r="F123" s="2">
        <v>33141</v>
      </c>
      <c r="G123" s="2">
        <v>798</v>
      </c>
      <c r="H123" s="2">
        <v>2625.42</v>
      </c>
      <c r="I123" s="2">
        <v>42</v>
      </c>
      <c r="J123" s="2">
        <v>7236.65</v>
      </c>
    </row>
    <row r="124" spans="1:10" x14ac:dyDescent="0.45">
      <c r="A124" s="2" t="s">
        <v>134</v>
      </c>
      <c r="B124" s="2" t="s">
        <v>35</v>
      </c>
      <c r="C124" s="2" t="s">
        <v>24</v>
      </c>
      <c r="D124" s="2" t="s">
        <v>25</v>
      </c>
      <c r="E124" s="2" t="s">
        <v>30</v>
      </c>
      <c r="F124" s="2">
        <v>76229</v>
      </c>
      <c r="G124" s="2">
        <v>1562</v>
      </c>
      <c r="H124" s="2">
        <v>1577.62</v>
      </c>
      <c r="I124" s="2">
        <v>30</v>
      </c>
      <c r="J124" s="2">
        <v>4290.5</v>
      </c>
    </row>
    <row r="125" spans="1:10" x14ac:dyDescent="0.45">
      <c r="A125" s="2" t="s">
        <v>135</v>
      </c>
      <c r="B125" s="2" t="s">
        <v>20</v>
      </c>
      <c r="C125" s="2" t="s">
        <v>16</v>
      </c>
      <c r="D125" s="2" t="s">
        <v>29</v>
      </c>
      <c r="E125" s="2" t="s">
        <v>54</v>
      </c>
      <c r="F125" s="2">
        <v>141614</v>
      </c>
      <c r="G125" s="2">
        <v>10677</v>
      </c>
      <c r="H125" s="2">
        <v>3736.95</v>
      </c>
      <c r="I125" s="2">
        <v>305</v>
      </c>
      <c r="J125" s="2">
        <v>62355.519999999997</v>
      </c>
    </row>
    <row r="126" spans="1:10" x14ac:dyDescent="0.45">
      <c r="A126" s="2" t="s">
        <v>105</v>
      </c>
      <c r="B126" s="2" t="s">
        <v>35</v>
      </c>
      <c r="C126" s="2" t="s">
        <v>28</v>
      </c>
      <c r="D126" s="2" t="s">
        <v>25</v>
      </c>
      <c r="E126" s="2" t="s">
        <v>22</v>
      </c>
      <c r="F126" s="2">
        <v>161193</v>
      </c>
      <c r="G126" s="2">
        <v>4916</v>
      </c>
      <c r="H126" s="2">
        <v>6734.92</v>
      </c>
      <c r="I126" s="2">
        <v>377</v>
      </c>
      <c r="J126" s="2">
        <v>91408.9</v>
      </c>
    </row>
    <row r="127" spans="1:10" x14ac:dyDescent="0.45">
      <c r="A127" s="2" t="s">
        <v>136</v>
      </c>
      <c r="B127" s="2" t="s">
        <v>15</v>
      </c>
      <c r="C127" s="2" t="s">
        <v>16</v>
      </c>
      <c r="D127" s="2" t="s">
        <v>29</v>
      </c>
      <c r="E127" s="2" t="s">
        <v>30</v>
      </c>
      <c r="F127" s="2">
        <v>142244</v>
      </c>
      <c r="G127" s="2">
        <v>4935</v>
      </c>
      <c r="H127" s="2">
        <v>14706.3</v>
      </c>
      <c r="I127" s="2">
        <v>127</v>
      </c>
      <c r="J127" s="2">
        <v>34307.21</v>
      </c>
    </row>
    <row r="128" spans="1:10" x14ac:dyDescent="0.45">
      <c r="A128" s="2" t="s">
        <v>137</v>
      </c>
      <c r="B128" s="2" t="s">
        <v>35</v>
      </c>
      <c r="C128" s="2" t="s">
        <v>16</v>
      </c>
      <c r="D128" s="2" t="s">
        <v>17</v>
      </c>
      <c r="E128" s="2" t="s">
        <v>18</v>
      </c>
      <c r="F128" s="2">
        <v>178063</v>
      </c>
      <c r="G128" s="2">
        <v>1851</v>
      </c>
      <c r="H128" s="2">
        <v>832.95</v>
      </c>
      <c r="I128" s="2">
        <v>64</v>
      </c>
      <c r="J128" s="2">
        <v>7044.13</v>
      </c>
    </row>
    <row r="129" spans="1:10" x14ac:dyDescent="0.45">
      <c r="A129" s="2" t="s">
        <v>138</v>
      </c>
      <c r="B129" s="2" t="s">
        <v>15</v>
      </c>
      <c r="C129" s="2" t="s">
        <v>24</v>
      </c>
      <c r="D129" s="2" t="s">
        <v>17</v>
      </c>
      <c r="E129" s="2" t="s">
        <v>54</v>
      </c>
      <c r="F129" s="2">
        <v>193978</v>
      </c>
      <c r="G129" s="2">
        <v>5780</v>
      </c>
      <c r="H129" s="2">
        <v>9999.4</v>
      </c>
      <c r="I129" s="2">
        <v>177</v>
      </c>
      <c r="J129" s="2">
        <v>42071.17</v>
      </c>
    </row>
    <row r="130" spans="1:10" x14ac:dyDescent="0.45">
      <c r="A130" s="2" t="s">
        <v>139</v>
      </c>
      <c r="B130" s="2" t="s">
        <v>35</v>
      </c>
      <c r="C130" s="2" t="s">
        <v>38</v>
      </c>
      <c r="D130" s="2" t="s">
        <v>29</v>
      </c>
      <c r="E130" s="2" t="s">
        <v>33</v>
      </c>
      <c r="F130" s="2">
        <v>187051</v>
      </c>
      <c r="G130" s="2">
        <v>6284</v>
      </c>
      <c r="H130" s="2">
        <v>12630.84</v>
      </c>
      <c r="I130" s="2">
        <v>493</v>
      </c>
      <c r="J130" s="2">
        <v>94906.46</v>
      </c>
    </row>
    <row r="131" spans="1:10" x14ac:dyDescent="0.45">
      <c r="A131" s="2" t="s">
        <v>89</v>
      </c>
      <c r="B131" s="2" t="s">
        <v>35</v>
      </c>
      <c r="C131" s="2" t="s">
        <v>24</v>
      </c>
      <c r="D131" s="2" t="s">
        <v>21</v>
      </c>
      <c r="E131" s="2" t="s">
        <v>22</v>
      </c>
      <c r="F131" s="2">
        <v>152977</v>
      </c>
      <c r="G131" s="2">
        <v>5491</v>
      </c>
      <c r="H131" s="2">
        <v>7412.85</v>
      </c>
      <c r="I131" s="2">
        <v>147</v>
      </c>
      <c r="J131" s="2">
        <v>9232.39</v>
      </c>
    </row>
    <row r="132" spans="1:10" x14ac:dyDescent="0.45">
      <c r="A132" s="2" t="s">
        <v>140</v>
      </c>
      <c r="B132" s="2" t="s">
        <v>15</v>
      </c>
      <c r="C132" s="2" t="s">
        <v>38</v>
      </c>
      <c r="D132" s="2" t="s">
        <v>41</v>
      </c>
      <c r="E132" s="2" t="s">
        <v>18</v>
      </c>
      <c r="F132" s="2">
        <v>129447</v>
      </c>
      <c r="G132" s="2">
        <v>4310</v>
      </c>
      <c r="H132" s="2">
        <v>11637</v>
      </c>
      <c r="I132" s="2">
        <v>211</v>
      </c>
      <c r="J132" s="2">
        <v>16618.47</v>
      </c>
    </row>
    <row r="133" spans="1:10" x14ac:dyDescent="0.45">
      <c r="A133" s="2" t="s">
        <v>19</v>
      </c>
      <c r="B133" s="2" t="s">
        <v>15</v>
      </c>
      <c r="C133" s="2" t="s">
        <v>28</v>
      </c>
      <c r="D133" s="2" t="s">
        <v>17</v>
      </c>
      <c r="E133" s="2" t="s">
        <v>26</v>
      </c>
      <c r="F133" s="2">
        <v>28387</v>
      </c>
      <c r="G133" s="2">
        <v>672</v>
      </c>
      <c r="H133" s="2">
        <v>2231.04</v>
      </c>
      <c r="I133" s="2">
        <v>41</v>
      </c>
      <c r="J133" s="2">
        <v>7232.57</v>
      </c>
    </row>
    <row r="134" spans="1:10" x14ac:dyDescent="0.45">
      <c r="A134" s="2" t="s">
        <v>76</v>
      </c>
      <c r="B134" s="2" t="s">
        <v>35</v>
      </c>
      <c r="C134" s="2" t="s">
        <v>28</v>
      </c>
      <c r="D134" s="2" t="s">
        <v>17</v>
      </c>
      <c r="E134" s="2" t="s">
        <v>54</v>
      </c>
      <c r="F134" s="2">
        <v>88986</v>
      </c>
      <c r="G134" s="2">
        <v>1308</v>
      </c>
      <c r="H134" s="2">
        <v>981</v>
      </c>
      <c r="I134" s="2">
        <v>80</v>
      </c>
      <c r="J134" s="2">
        <v>21439.34</v>
      </c>
    </row>
    <row r="135" spans="1:10" x14ac:dyDescent="0.45">
      <c r="A135" s="2" t="s">
        <v>141</v>
      </c>
      <c r="B135" s="2" t="s">
        <v>15</v>
      </c>
      <c r="C135" s="2" t="s">
        <v>24</v>
      </c>
      <c r="D135" s="2" t="s">
        <v>29</v>
      </c>
      <c r="E135" s="2" t="s">
        <v>22</v>
      </c>
      <c r="F135" s="2">
        <v>170268</v>
      </c>
      <c r="G135" s="2">
        <v>7917</v>
      </c>
      <c r="H135" s="2">
        <v>24859.38</v>
      </c>
      <c r="I135" s="2">
        <v>98</v>
      </c>
      <c r="J135" s="2">
        <v>22672.12</v>
      </c>
    </row>
    <row r="136" spans="1:10" x14ac:dyDescent="0.45">
      <c r="A136" s="2" t="s">
        <v>142</v>
      </c>
      <c r="B136" s="2" t="s">
        <v>15</v>
      </c>
      <c r="C136" s="2" t="s">
        <v>38</v>
      </c>
      <c r="D136" s="2" t="s">
        <v>25</v>
      </c>
      <c r="E136" s="2" t="s">
        <v>26</v>
      </c>
      <c r="F136" s="2">
        <v>122322</v>
      </c>
      <c r="G136" s="2">
        <v>6152</v>
      </c>
      <c r="H136" s="2">
        <v>7566.96</v>
      </c>
      <c r="I136" s="2">
        <v>155</v>
      </c>
      <c r="J136" s="2">
        <v>10417.89</v>
      </c>
    </row>
    <row r="137" spans="1:10" x14ac:dyDescent="0.45">
      <c r="A137" s="2" t="s">
        <v>143</v>
      </c>
      <c r="B137" s="2" t="s">
        <v>35</v>
      </c>
      <c r="C137" s="2" t="s">
        <v>38</v>
      </c>
      <c r="D137" s="2" t="s">
        <v>25</v>
      </c>
      <c r="E137" s="2" t="s">
        <v>22</v>
      </c>
      <c r="F137" s="2">
        <v>69429</v>
      </c>
      <c r="G137" s="2">
        <v>2430</v>
      </c>
      <c r="H137" s="2">
        <v>3863.7</v>
      </c>
      <c r="I137" s="2">
        <v>119</v>
      </c>
      <c r="J137" s="2">
        <v>21584.01</v>
      </c>
    </row>
    <row r="138" spans="1:10" x14ac:dyDescent="0.45">
      <c r="A138" s="2" t="s">
        <v>96</v>
      </c>
      <c r="B138" s="2" t="s">
        <v>35</v>
      </c>
      <c r="C138" s="2" t="s">
        <v>38</v>
      </c>
      <c r="D138" s="2" t="s">
        <v>29</v>
      </c>
      <c r="E138" s="2" t="s">
        <v>33</v>
      </c>
      <c r="F138" s="2">
        <v>196675</v>
      </c>
      <c r="G138" s="2">
        <v>4031</v>
      </c>
      <c r="H138" s="2">
        <v>7941.07</v>
      </c>
      <c r="I138" s="2">
        <v>186</v>
      </c>
      <c r="J138" s="2">
        <v>27686.79</v>
      </c>
    </row>
    <row r="139" spans="1:10" x14ac:dyDescent="0.45">
      <c r="A139" s="2" t="s">
        <v>144</v>
      </c>
      <c r="B139" s="2" t="s">
        <v>15</v>
      </c>
      <c r="C139" s="2" t="s">
        <v>24</v>
      </c>
      <c r="D139" s="2" t="s">
        <v>41</v>
      </c>
      <c r="E139" s="2" t="s">
        <v>54</v>
      </c>
      <c r="F139" s="2">
        <v>104134</v>
      </c>
      <c r="G139" s="2">
        <v>3603</v>
      </c>
      <c r="H139" s="2">
        <v>12466.38</v>
      </c>
      <c r="I139" s="2">
        <v>234</v>
      </c>
      <c r="J139" s="2">
        <v>14496.48</v>
      </c>
    </row>
    <row r="140" spans="1:10" x14ac:dyDescent="0.45">
      <c r="A140" s="2" t="s">
        <v>145</v>
      </c>
      <c r="B140" s="2" t="s">
        <v>35</v>
      </c>
      <c r="C140" s="2" t="s">
        <v>38</v>
      </c>
      <c r="D140" s="2" t="s">
        <v>21</v>
      </c>
      <c r="E140" s="2" t="s">
        <v>33</v>
      </c>
      <c r="F140" s="2">
        <v>150544</v>
      </c>
      <c r="G140" s="2">
        <v>2890</v>
      </c>
      <c r="H140" s="2">
        <v>4913</v>
      </c>
      <c r="I140" s="2">
        <v>170</v>
      </c>
      <c r="J140" s="2">
        <v>47769.42</v>
      </c>
    </row>
    <row r="141" spans="1:10" x14ac:dyDescent="0.45">
      <c r="A141" s="2" t="s">
        <v>146</v>
      </c>
      <c r="B141" s="2" t="s">
        <v>20</v>
      </c>
      <c r="C141" s="2" t="s">
        <v>24</v>
      </c>
      <c r="D141" s="2" t="s">
        <v>29</v>
      </c>
      <c r="E141" s="2" t="s">
        <v>33</v>
      </c>
      <c r="F141" s="2">
        <v>75553</v>
      </c>
      <c r="G141" s="2">
        <v>3331</v>
      </c>
      <c r="H141" s="2">
        <v>1465.64</v>
      </c>
      <c r="I141" s="2">
        <v>203</v>
      </c>
      <c r="J141" s="2">
        <v>33301.040000000001</v>
      </c>
    </row>
    <row r="142" spans="1:10" x14ac:dyDescent="0.45">
      <c r="A142" s="2" t="s">
        <v>147</v>
      </c>
      <c r="B142" s="2" t="s">
        <v>35</v>
      </c>
      <c r="C142" s="2" t="s">
        <v>16</v>
      </c>
      <c r="D142" s="2" t="s">
        <v>21</v>
      </c>
      <c r="E142" s="2" t="s">
        <v>51</v>
      </c>
      <c r="F142" s="2">
        <v>149565</v>
      </c>
      <c r="G142" s="2">
        <v>2437</v>
      </c>
      <c r="H142" s="2">
        <v>901.69</v>
      </c>
      <c r="I142" s="2">
        <v>30</v>
      </c>
      <c r="J142" s="2">
        <v>3133.33</v>
      </c>
    </row>
    <row r="143" spans="1:10" x14ac:dyDescent="0.45">
      <c r="A143" s="2" t="s">
        <v>111</v>
      </c>
      <c r="B143" s="2" t="s">
        <v>15</v>
      </c>
      <c r="C143" s="2" t="s">
        <v>38</v>
      </c>
      <c r="D143" s="2" t="s">
        <v>29</v>
      </c>
      <c r="E143" s="2" t="s">
        <v>51</v>
      </c>
      <c r="F143" s="2">
        <v>12896</v>
      </c>
      <c r="G143" s="2">
        <v>535</v>
      </c>
      <c r="H143" s="2">
        <v>524.29999999999995</v>
      </c>
      <c r="I143" s="2">
        <v>20</v>
      </c>
      <c r="J143" s="2">
        <v>2475.65</v>
      </c>
    </row>
    <row r="144" spans="1:10" x14ac:dyDescent="0.45">
      <c r="A144" s="2" t="s">
        <v>148</v>
      </c>
      <c r="B144" s="2" t="s">
        <v>20</v>
      </c>
      <c r="C144" s="2" t="s">
        <v>38</v>
      </c>
      <c r="D144" s="2" t="s">
        <v>17</v>
      </c>
      <c r="E144" s="2" t="s">
        <v>30</v>
      </c>
      <c r="F144" s="2">
        <v>70428</v>
      </c>
      <c r="G144" s="2">
        <v>3310</v>
      </c>
      <c r="H144" s="2">
        <v>3872.7</v>
      </c>
      <c r="I144" s="2">
        <v>164</v>
      </c>
      <c r="J144" s="2">
        <v>25462.93</v>
      </c>
    </row>
    <row r="145" spans="1:10" x14ac:dyDescent="0.45">
      <c r="A145" s="2" t="s">
        <v>110</v>
      </c>
      <c r="B145" s="2" t="s">
        <v>20</v>
      </c>
      <c r="C145" s="2" t="s">
        <v>28</v>
      </c>
      <c r="D145" s="2" t="s">
        <v>21</v>
      </c>
      <c r="E145" s="2" t="s">
        <v>26</v>
      </c>
      <c r="F145" s="2">
        <v>12345</v>
      </c>
      <c r="G145" s="2">
        <v>456</v>
      </c>
      <c r="H145" s="2">
        <v>282.72000000000003</v>
      </c>
      <c r="I145" s="2">
        <v>21</v>
      </c>
      <c r="J145" s="2">
        <v>5118.9399999999996</v>
      </c>
    </row>
    <row r="146" spans="1:10" x14ac:dyDescent="0.45">
      <c r="A146" s="2" t="s">
        <v>149</v>
      </c>
      <c r="B146" s="2" t="s">
        <v>35</v>
      </c>
      <c r="C146" s="2" t="s">
        <v>38</v>
      </c>
      <c r="D146" s="2" t="s">
        <v>29</v>
      </c>
      <c r="E146" s="2" t="s">
        <v>26</v>
      </c>
      <c r="F146" s="2">
        <v>18140</v>
      </c>
      <c r="G146" s="2">
        <v>455</v>
      </c>
      <c r="H146" s="2">
        <v>523.25</v>
      </c>
      <c r="I146" s="2">
        <v>29</v>
      </c>
      <c r="J146" s="2">
        <v>1746.46</v>
      </c>
    </row>
    <row r="147" spans="1:10" x14ac:dyDescent="0.45">
      <c r="A147" s="2" t="s">
        <v>139</v>
      </c>
      <c r="B147" s="2" t="s">
        <v>15</v>
      </c>
      <c r="C147" s="2" t="s">
        <v>24</v>
      </c>
      <c r="D147" s="2" t="s">
        <v>17</v>
      </c>
      <c r="E147" s="2" t="s">
        <v>54</v>
      </c>
      <c r="F147" s="2">
        <v>42823</v>
      </c>
      <c r="G147" s="2">
        <v>1588</v>
      </c>
      <c r="H147" s="2">
        <v>4716.3599999999997</v>
      </c>
      <c r="I147" s="2">
        <v>33</v>
      </c>
      <c r="J147" s="2">
        <v>3266.45</v>
      </c>
    </row>
    <row r="148" spans="1:10" x14ac:dyDescent="0.45">
      <c r="A148" s="2" t="s">
        <v>150</v>
      </c>
      <c r="B148" s="2" t="s">
        <v>20</v>
      </c>
      <c r="C148" s="2" t="s">
        <v>28</v>
      </c>
      <c r="D148" s="2" t="s">
        <v>29</v>
      </c>
      <c r="E148" s="2" t="s">
        <v>30</v>
      </c>
      <c r="F148" s="2">
        <v>34118</v>
      </c>
      <c r="G148" s="2">
        <v>1470</v>
      </c>
      <c r="H148" s="2">
        <v>1249.5</v>
      </c>
      <c r="I148" s="2">
        <v>55</v>
      </c>
      <c r="J148" s="2">
        <v>3037.11</v>
      </c>
    </row>
    <row r="149" spans="1:10" x14ac:dyDescent="0.45">
      <c r="A149" s="2" t="s">
        <v>71</v>
      </c>
      <c r="B149" s="2" t="s">
        <v>35</v>
      </c>
      <c r="C149" s="2" t="s">
        <v>24</v>
      </c>
      <c r="D149" s="2" t="s">
        <v>21</v>
      </c>
      <c r="E149" s="2" t="s">
        <v>22</v>
      </c>
      <c r="F149" s="2">
        <v>127775</v>
      </c>
      <c r="G149" s="2">
        <v>3871</v>
      </c>
      <c r="H149" s="2">
        <v>2941.96</v>
      </c>
      <c r="I149" s="2">
        <v>159</v>
      </c>
      <c r="J149" s="2">
        <v>28717.22</v>
      </c>
    </row>
    <row r="150" spans="1:10" x14ac:dyDescent="0.45">
      <c r="A150" s="2" t="s">
        <v>151</v>
      </c>
      <c r="B150" s="2" t="s">
        <v>15</v>
      </c>
      <c r="C150" s="2" t="s">
        <v>28</v>
      </c>
      <c r="D150" s="2" t="s">
        <v>17</v>
      </c>
      <c r="E150" s="2" t="s">
        <v>18</v>
      </c>
      <c r="F150" s="2">
        <v>136354</v>
      </c>
      <c r="G150" s="2">
        <v>3736</v>
      </c>
      <c r="H150" s="2">
        <v>4333.76</v>
      </c>
      <c r="I150" s="2">
        <v>152</v>
      </c>
      <c r="J150" s="2">
        <v>29811.83</v>
      </c>
    </row>
    <row r="151" spans="1:10" x14ac:dyDescent="0.45">
      <c r="A151" s="2" t="s">
        <v>146</v>
      </c>
      <c r="B151" s="2" t="s">
        <v>15</v>
      </c>
      <c r="C151" s="2" t="s">
        <v>28</v>
      </c>
      <c r="D151" s="2" t="s">
        <v>41</v>
      </c>
      <c r="E151" s="2" t="s">
        <v>30</v>
      </c>
      <c r="F151" s="2">
        <v>115454</v>
      </c>
      <c r="G151" s="2">
        <v>7227</v>
      </c>
      <c r="H151" s="2">
        <v>17778.419999999998</v>
      </c>
      <c r="I151" s="2">
        <v>154</v>
      </c>
      <c r="J151" s="2">
        <v>5144.22</v>
      </c>
    </row>
    <row r="152" spans="1:10" x14ac:dyDescent="0.45">
      <c r="A152" s="2" t="s">
        <v>152</v>
      </c>
      <c r="B152" s="2" t="s">
        <v>35</v>
      </c>
      <c r="C152" s="2" t="s">
        <v>16</v>
      </c>
      <c r="D152" s="2" t="s">
        <v>21</v>
      </c>
      <c r="E152" s="2" t="s">
        <v>26</v>
      </c>
      <c r="F152" s="2">
        <v>37994</v>
      </c>
      <c r="G152" s="2">
        <v>1379</v>
      </c>
      <c r="H152" s="2">
        <v>1461.74</v>
      </c>
      <c r="I152" s="2">
        <v>58</v>
      </c>
      <c r="J152" s="2">
        <v>7343.12</v>
      </c>
    </row>
    <row r="153" spans="1:10" x14ac:dyDescent="0.45">
      <c r="A153" s="2" t="s">
        <v>153</v>
      </c>
      <c r="B153" s="2" t="s">
        <v>35</v>
      </c>
      <c r="C153" s="2" t="s">
        <v>24</v>
      </c>
      <c r="D153" s="2" t="s">
        <v>21</v>
      </c>
      <c r="E153" s="2" t="s">
        <v>30</v>
      </c>
      <c r="F153" s="2">
        <v>74615</v>
      </c>
      <c r="G153" s="2">
        <v>2327</v>
      </c>
      <c r="H153" s="2">
        <v>2559.6999999999998</v>
      </c>
      <c r="I153" s="2">
        <v>129</v>
      </c>
      <c r="J153" s="2">
        <v>25496.94</v>
      </c>
    </row>
    <row r="154" spans="1:10" x14ac:dyDescent="0.45">
      <c r="A154" s="2" t="s">
        <v>124</v>
      </c>
      <c r="B154" s="2" t="s">
        <v>15</v>
      </c>
      <c r="C154" s="2" t="s">
        <v>16</v>
      </c>
      <c r="D154" s="2" t="s">
        <v>21</v>
      </c>
      <c r="E154" s="2" t="s">
        <v>33</v>
      </c>
      <c r="F154" s="2">
        <v>176790</v>
      </c>
      <c r="G154" s="2">
        <v>4490</v>
      </c>
      <c r="H154" s="2">
        <v>6690.1</v>
      </c>
      <c r="I154" s="2">
        <v>250</v>
      </c>
      <c r="J154" s="2">
        <v>74442.63</v>
      </c>
    </row>
    <row r="155" spans="1:10" x14ac:dyDescent="0.45">
      <c r="A155" s="2" t="s">
        <v>154</v>
      </c>
      <c r="B155" s="2" t="s">
        <v>15</v>
      </c>
      <c r="C155" s="2" t="s">
        <v>28</v>
      </c>
      <c r="D155" s="2" t="s">
        <v>17</v>
      </c>
      <c r="E155" s="2" t="s">
        <v>30</v>
      </c>
      <c r="F155" s="2">
        <v>60077</v>
      </c>
      <c r="G155" s="2">
        <v>1994</v>
      </c>
      <c r="H155" s="2">
        <v>6201.34</v>
      </c>
      <c r="I155" s="2">
        <v>28</v>
      </c>
      <c r="J155" s="2">
        <v>7635.29</v>
      </c>
    </row>
    <row r="156" spans="1:10" x14ac:dyDescent="0.45">
      <c r="A156" s="2" t="s">
        <v>155</v>
      </c>
      <c r="B156" s="2" t="s">
        <v>35</v>
      </c>
      <c r="C156" s="2" t="s">
        <v>38</v>
      </c>
      <c r="D156" s="2" t="s">
        <v>17</v>
      </c>
      <c r="E156" s="2" t="s">
        <v>33</v>
      </c>
      <c r="F156" s="2">
        <v>151295</v>
      </c>
      <c r="G156" s="2">
        <v>2163</v>
      </c>
      <c r="H156" s="2">
        <v>3417.54</v>
      </c>
      <c r="I156" s="2">
        <v>85</v>
      </c>
      <c r="J156" s="2">
        <v>3173.67</v>
      </c>
    </row>
    <row r="157" spans="1:10" x14ac:dyDescent="0.45">
      <c r="A157" s="2" t="s">
        <v>156</v>
      </c>
      <c r="B157" s="2" t="s">
        <v>20</v>
      </c>
      <c r="C157" s="2" t="s">
        <v>38</v>
      </c>
      <c r="D157" s="2" t="s">
        <v>41</v>
      </c>
      <c r="E157" s="2" t="s">
        <v>33</v>
      </c>
      <c r="F157" s="2">
        <v>20282</v>
      </c>
      <c r="G157" s="2">
        <v>1740</v>
      </c>
      <c r="H157" s="2">
        <v>2175</v>
      </c>
      <c r="I157" s="2">
        <v>94</v>
      </c>
      <c r="J157" s="2">
        <v>14237</v>
      </c>
    </row>
    <row r="158" spans="1:10" x14ac:dyDescent="0.45">
      <c r="A158" s="2" t="s">
        <v>153</v>
      </c>
      <c r="B158" s="2" t="s">
        <v>15</v>
      </c>
      <c r="C158" s="2" t="s">
        <v>16</v>
      </c>
      <c r="D158" s="2" t="s">
        <v>25</v>
      </c>
      <c r="E158" s="2" t="s">
        <v>30</v>
      </c>
      <c r="F158" s="2">
        <v>185488</v>
      </c>
      <c r="G158" s="2">
        <v>3950</v>
      </c>
      <c r="H158" s="2">
        <v>5490.5</v>
      </c>
      <c r="I158" s="2">
        <v>289</v>
      </c>
      <c r="J158" s="2">
        <v>75172.149999999994</v>
      </c>
    </row>
    <row r="159" spans="1:10" x14ac:dyDescent="0.45">
      <c r="A159" s="2" t="s">
        <v>42</v>
      </c>
      <c r="B159" s="2" t="s">
        <v>35</v>
      </c>
      <c r="C159" s="2" t="s">
        <v>38</v>
      </c>
      <c r="D159" s="2" t="s">
        <v>41</v>
      </c>
      <c r="E159" s="2" t="s">
        <v>54</v>
      </c>
      <c r="F159" s="2">
        <v>28567</v>
      </c>
      <c r="G159" s="2">
        <v>999</v>
      </c>
      <c r="H159" s="2">
        <v>1688.31</v>
      </c>
      <c r="I159" s="2">
        <v>68</v>
      </c>
      <c r="J159" s="2">
        <v>13037.25</v>
      </c>
    </row>
    <row r="160" spans="1:10" x14ac:dyDescent="0.45">
      <c r="A160" s="2" t="s">
        <v>123</v>
      </c>
      <c r="B160" s="2" t="s">
        <v>15</v>
      </c>
      <c r="C160" s="2" t="s">
        <v>16</v>
      </c>
      <c r="D160" s="2" t="s">
        <v>41</v>
      </c>
      <c r="E160" s="2" t="s">
        <v>18</v>
      </c>
      <c r="F160" s="2">
        <v>96170</v>
      </c>
      <c r="G160" s="2">
        <v>5145</v>
      </c>
      <c r="H160" s="2">
        <v>10907.4</v>
      </c>
      <c r="I160" s="2">
        <v>268</v>
      </c>
      <c r="J160" s="2">
        <v>72622.990000000005</v>
      </c>
    </row>
    <row r="161" spans="1:10" x14ac:dyDescent="0.45">
      <c r="A161" s="2" t="s">
        <v>143</v>
      </c>
      <c r="B161" s="2" t="s">
        <v>35</v>
      </c>
      <c r="C161" s="2" t="s">
        <v>28</v>
      </c>
      <c r="D161" s="2" t="s">
        <v>25</v>
      </c>
      <c r="E161" s="2" t="s">
        <v>33</v>
      </c>
      <c r="F161" s="2">
        <v>101019</v>
      </c>
      <c r="G161" s="2">
        <v>2515</v>
      </c>
      <c r="H161" s="2">
        <v>4250.3500000000004</v>
      </c>
      <c r="I161" s="2">
        <v>72</v>
      </c>
      <c r="J161" s="2">
        <v>11353.12</v>
      </c>
    </row>
    <row r="162" spans="1:10" x14ac:dyDescent="0.45">
      <c r="A162" s="2" t="s">
        <v>157</v>
      </c>
      <c r="B162" s="2" t="s">
        <v>20</v>
      </c>
      <c r="C162" s="2" t="s">
        <v>28</v>
      </c>
      <c r="D162" s="2" t="s">
        <v>41</v>
      </c>
      <c r="E162" s="2" t="s">
        <v>22</v>
      </c>
      <c r="F162" s="2">
        <v>91795</v>
      </c>
      <c r="G162" s="2">
        <v>3800</v>
      </c>
      <c r="H162" s="2">
        <v>4636</v>
      </c>
      <c r="I162" s="2">
        <v>157</v>
      </c>
      <c r="J162" s="2">
        <v>24815.09</v>
      </c>
    </row>
    <row r="163" spans="1:10" x14ac:dyDescent="0.45">
      <c r="A163" s="2" t="s">
        <v>158</v>
      </c>
      <c r="B163" s="2" t="s">
        <v>35</v>
      </c>
      <c r="C163" s="2" t="s">
        <v>16</v>
      </c>
      <c r="D163" s="2" t="s">
        <v>41</v>
      </c>
      <c r="E163" s="2" t="s">
        <v>51</v>
      </c>
      <c r="F163" s="2">
        <v>22543</v>
      </c>
      <c r="G163" s="2">
        <v>333</v>
      </c>
      <c r="H163" s="2">
        <v>496.17</v>
      </c>
      <c r="I163" s="2">
        <v>12</v>
      </c>
      <c r="J163" s="2">
        <v>642.17999999999995</v>
      </c>
    </row>
    <row r="164" spans="1:10" x14ac:dyDescent="0.45">
      <c r="A164" s="2" t="s">
        <v>99</v>
      </c>
      <c r="B164" s="2" t="s">
        <v>35</v>
      </c>
      <c r="C164" s="2" t="s">
        <v>28</v>
      </c>
      <c r="D164" s="2" t="s">
        <v>25</v>
      </c>
      <c r="E164" s="2" t="s">
        <v>33</v>
      </c>
      <c r="F164" s="2">
        <v>119598</v>
      </c>
      <c r="G164" s="2">
        <v>1064</v>
      </c>
      <c r="H164" s="2">
        <v>2128</v>
      </c>
      <c r="I164" s="2">
        <v>64</v>
      </c>
      <c r="J164" s="2">
        <v>17165.43</v>
      </c>
    </row>
    <row r="165" spans="1:10" x14ac:dyDescent="0.45">
      <c r="A165" s="2" t="s">
        <v>159</v>
      </c>
      <c r="B165" s="2" t="s">
        <v>35</v>
      </c>
      <c r="C165" s="2" t="s">
        <v>16</v>
      </c>
      <c r="D165" s="2" t="s">
        <v>21</v>
      </c>
      <c r="E165" s="2" t="s">
        <v>18</v>
      </c>
      <c r="F165" s="2">
        <v>158504</v>
      </c>
      <c r="G165" s="2">
        <v>4897</v>
      </c>
      <c r="H165" s="2">
        <v>2105.71</v>
      </c>
      <c r="I165" s="2">
        <v>255</v>
      </c>
      <c r="J165" s="2">
        <v>54921.72</v>
      </c>
    </row>
    <row r="166" spans="1:10" x14ac:dyDescent="0.45">
      <c r="A166" s="2" t="s">
        <v>160</v>
      </c>
      <c r="B166" s="2" t="s">
        <v>15</v>
      </c>
      <c r="C166" s="2" t="s">
        <v>38</v>
      </c>
      <c r="D166" s="2" t="s">
        <v>41</v>
      </c>
      <c r="E166" s="2" t="s">
        <v>54</v>
      </c>
      <c r="F166" s="2">
        <v>39542</v>
      </c>
      <c r="G166" s="2">
        <v>1209</v>
      </c>
      <c r="H166" s="2">
        <v>2236.65</v>
      </c>
      <c r="I166" s="2">
        <v>42</v>
      </c>
      <c r="J166" s="2">
        <v>7992.11</v>
      </c>
    </row>
    <row r="167" spans="1:10" x14ac:dyDescent="0.45">
      <c r="A167" s="2" t="s">
        <v>161</v>
      </c>
      <c r="B167" s="2" t="s">
        <v>15</v>
      </c>
      <c r="C167" s="2" t="s">
        <v>38</v>
      </c>
      <c r="D167" s="2" t="s">
        <v>17</v>
      </c>
      <c r="E167" s="2" t="s">
        <v>51</v>
      </c>
      <c r="F167" s="2">
        <v>110848</v>
      </c>
      <c r="G167" s="2">
        <v>3181</v>
      </c>
      <c r="H167" s="2">
        <v>7793.45</v>
      </c>
      <c r="I167" s="2">
        <v>186</v>
      </c>
      <c r="J167" s="2">
        <v>32321.78</v>
      </c>
    </row>
    <row r="168" spans="1:10" x14ac:dyDescent="0.45">
      <c r="A168" s="2" t="s">
        <v>162</v>
      </c>
      <c r="B168" s="2" t="s">
        <v>35</v>
      </c>
      <c r="C168" s="2" t="s">
        <v>24</v>
      </c>
      <c r="D168" s="2" t="s">
        <v>25</v>
      </c>
      <c r="E168" s="2" t="s">
        <v>54</v>
      </c>
      <c r="F168" s="2">
        <v>79964</v>
      </c>
      <c r="G168" s="2">
        <v>1487</v>
      </c>
      <c r="H168" s="2">
        <v>1591.09</v>
      </c>
      <c r="I168" s="2">
        <v>22</v>
      </c>
      <c r="J168" s="2">
        <v>3882.65</v>
      </c>
    </row>
    <row r="169" spans="1:10" x14ac:dyDescent="0.45">
      <c r="A169" s="2" t="s">
        <v>163</v>
      </c>
      <c r="B169" s="2" t="s">
        <v>20</v>
      </c>
      <c r="C169" s="2" t="s">
        <v>38</v>
      </c>
      <c r="D169" s="2" t="s">
        <v>21</v>
      </c>
      <c r="E169" s="2" t="s">
        <v>30</v>
      </c>
      <c r="F169" s="2">
        <v>105127</v>
      </c>
      <c r="G169" s="2">
        <v>7747</v>
      </c>
      <c r="H169" s="2">
        <v>6817.36</v>
      </c>
      <c r="I169" s="2">
        <v>460</v>
      </c>
      <c r="J169" s="2">
        <v>99299.9</v>
      </c>
    </row>
    <row r="170" spans="1:10" x14ac:dyDescent="0.45">
      <c r="A170" s="2" t="s">
        <v>112</v>
      </c>
      <c r="B170" s="2" t="s">
        <v>15</v>
      </c>
      <c r="C170" s="2" t="s">
        <v>28</v>
      </c>
      <c r="D170" s="2" t="s">
        <v>21</v>
      </c>
      <c r="E170" s="2" t="s">
        <v>18</v>
      </c>
      <c r="F170" s="2">
        <v>73803</v>
      </c>
      <c r="G170" s="2">
        <v>1505</v>
      </c>
      <c r="H170" s="2">
        <v>3190.6</v>
      </c>
      <c r="I170" s="2">
        <v>98</v>
      </c>
      <c r="J170" s="2">
        <v>18709.86</v>
      </c>
    </row>
    <row r="171" spans="1:10" x14ac:dyDescent="0.45">
      <c r="A171" s="2" t="s">
        <v>102</v>
      </c>
      <c r="B171" s="2" t="s">
        <v>15</v>
      </c>
      <c r="C171" s="2" t="s">
        <v>28</v>
      </c>
      <c r="D171" s="2" t="s">
        <v>25</v>
      </c>
      <c r="E171" s="2" t="s">
        <v>22</v>
      </c>
      <c r="F171" s="2">
        <v>96575</v>
      </c>
      <c r="G171" s="2">
        <v>4925</v>
      </c>
      <c r="H171" s="2">
        <v>11820</v>
      </c>
      <c r="I171" s="2">
        <v>181</v>
      </c>
      <c r="J171" s="2">
        <v>7335.74</v>
      </c>
    </row>
    <row r="172" spans="1:10" x14ac:dyDescent="0.45">
      <c r="A172" s="2" t="s">
        <v>83</v>
      </c>
      <c r="B172" s="2" t="s">
        <v>15</v>
      </c>
      <c r="C172" s="2" t="s">
        <v>28</v>
      </c>
      <c r="D172" s="2" t="s">
        <v>17</v>
      </c>
      <c r="E172" s="2" t="s">
        <v>22</v>
      </c>
      <c r="F172" s="2">
        <v>162489</v>
      </c>
      <c r="G172" s="2">
        <v>4500</v>
      </c>
      <c r="H172" s="2">
        <v>13635</v>
      </c>
      <c r="I172" s="2">
        <v>184</v>
      </c>
      <c r="J172" s="2">
        <v>54944.54</v>
      </c>
    </row>
    <row r="173" spans="1:10" x14ac:dyDescent="0.45">
      <c r="A173" s="2" t="s">
        <v>164</v>
      </c>
      <c r="B173" s="2" t="s">
        <v>35</v>
      </c>
      <c r="C173" s="2" t="s">
        <v>16</v>
      </c>
      <c r="D173" s="2" t="s">
        <v>25</v>
      </c>
      <c r="E173" s="2" t="s">
        <v>33</v>
      </c>
      <c r="F173" s="2">
        <v>76155</v>
      </c>
      <c r="G173" s="2">
        <v>3548</v>
      </c>
      <c r="H173" s="2">
        <v>4435</v>
      </c>
      <c r="I173" s="2">
        <v>243</v>
      </c>
      <c r="J173" s="2">
        <v>30659.34</v>
      </c>
    </row>
    <row r="174" spans="1:10" x14ac:dyDescent="0.45">
      <c r="A174" s="2" t="s">
        <v>165</v>
      </c>
      <c r="B174" s="2" t="s">
        <v>20</v>
      </c>
      <c r="C174" s="2" t="s">
        <v>16</v>
      </c>
      <c r="D174" s="2" t="s">
        <v>17</v>
      </c>
      <c r="E174" s="2" t="s">
        <v>22</v>
      </c>
      <c r="F174" s="2">
        <v>180021</v>
      </c>
      <c r="G174" s="2">
        <v>13105</v>
      </c>
      <c r="H174" s="2">
        <v>21099.05</v>
      </c>
      <c r="I174" s="2">
        <v>880</v>
      </c>
      <c r="J174" s="2">
        <v>75656.62</v>
      </c>
    </row>
    <row r="175" spans="1:10" x14ac:dyDescent="0.45">
      <c r="A175" s="2" t="s">
        <v>166</v>
      </c>
      <c r="B175" s="2" t="s">
        <v>20</v>
      </c>
      <c r="C175" s="2" t="s">
        <v>24</v>
      </c>
      <c r="D175" s="2" t="s">
        <v>21</v>
      </c>
      <c r="E175" s="2" t="s">
        <v>22</v>
      </c>
      <c r="F175" s="2">
        <v>79965</v>
      </c>
      <c r="G175" s="2">
        <v>3070</v>
      </c>
      <c r="H175" s="2">
        <v>3131.4</v>
      </c>
      <c r="I175" s="2">
        <v>237</v>
      </c>
      <c r="J175" s="2">
        <v>65306</v>
      </c>
    </row>
    <row r="176" spans="1:10" x14ac:dyDescent="0.45">
      <c r="A176" s="2" t="s">
        <v>94</v>
      </c>
      <c r="B176" s="2" t="s">
        <v>35</v>
      </c>
      <c r="C176" s="2" t="s">
        <v>16</v>
      </c>
      <c r="D176" s="2" t="s">
        <v>21</v>
      </c>
      <c r="E176" s="2" t="s">
        <v>51</v>
      </c>
      <c r="F176" s="2">
        <v>49789</v>
      </c>
      <c r="G176" s="2">
        <v>622</v>
      </c>
      <c r="H176" s="2">
        <v>1293.76</v>
      </c>
      <c r="I176" s="2">
        <v>48</v>
      </c>
      <c r="J176" s="2">
        <v>7704.96</v>
      </c>
    </row>
    <row r="177" spans="1:10" x14ac:dyDescent="0.45">
      <c r="A177" s="2" t="s">
        <v>121</v>
      </c>
      <c r="B177" s="2" t="s">
        <v>20</v>
      </c>
      <c r="C177" s="2" t="s">
        <v>24</v>
      </c>
      <c r="D177" s="2" t="s">
        <v>29</v>
      </c>
      <c r="E177" s="2" t="s">
        <v>30</v>
      </c>
      <c r="F177" s="2">
        <v>195026</v>
      </c>
      <c r="G177" s="2">
        <v>9653</v>
      </c>
      <c r="H177" s="2">
        <v>17664.990000000002</v>
      </c>
      <c r="I177" s="2">
        <v>371</v>
      </c>
      <c r="J177" s="2">
        <v>94022.57</v>
      </c>
    </row>
    <row r="178" spans="1:10" x14ac:dyDescent="0.45">
      <c r="A178" s="2" t="s">
        <v>136</v>
      </c>
      <c r="B178" s="2" t="s">
        <v>20</v>
      </c>
      <c r="C178" s="2" t="s">
        <v>28</v>
      </c>
      <c r="D178" s="2" t="s">
        <v>25</v>
      </c>
      <c r="E178" s="2" t="s">
        <v>33</v>
      </c>
      <c r="F178" s="2">
        <v>130438</v>
      </c>
      <c r="G178" s="2">
        <v>7721</v>
      </c>
      <c r="H178" s="2">
        <v>12353.6</v>
      </c>
      <c r="I178" s="2">
        <v>353</v>
      </c>
      <c r="J178" s="2">
        <v>70310.53</v>
      </c>
    </row>
    <row r="179" spans="1:10" x14ac:dyDescent="0.45">
      <c r="A179" s="2" t="s">
        <v>52</v>
      </c>
      <c r="B179" s="2" t="s">
        <v>20</v>
      </c>
      <c r="C179" s="2" t="s">
        <v>28</v>
      </c>
      <c r="D179" s="2" t="s">
        <v>29</v>
      </c>
      <c r="E179" s="2" t="s">
        <v>51</v>
      </c>
      <c r="F179" s="2">
        <v>141917</v>
      </c>
      <c r="G179" s="2">
        <v>4796</v>
      </c>
      <c r="H179" s="2">
        <v>3165.36</v>
      </c>
      <c r="I179" s="2">
        <v>369</v>
      </c>
      <c r="J179" s="2">
        <v>11953.05</v>
      </c>
    </row>
    <row r="180" spans="1:10" x14ac:dyDescent="0.45">
      <c r="A180" s="2" t="s">
        <v>167</v>
      </c>
      <c r="B180" s="2" t="s">
        <v>20</v>
      </c>
      <c r="C180" s="2" t="s">
        <v>28</v>
      </c>
      <c r="D180" s="2" t="s">
        <v>29</v>
      </c>
      <c r="E180" s="2" t="s">
        <v>26</v>
      </c>
      <c r="F180" s="2">
        <v>146958</v>
      </c>
      <c r="G180" s="2">
        <v>7494</v>
      </c>
      <c r="H180" s="2">
        <v>12589.92</v>
      </c>
      <c r="I180" s="2">
        <v>538</v>
      </c>
      <c r="J180" s="2">
        <v>117826.98</v>
      </c>
    </row>
    <row r="181" spans="1:10" x14ac:dyDescent="0.45">
      <c r="A181" s="2" t="s">
        <v>168</v>
      </c>
      <c r="B181" s="2" t="s">
        <v>15</v>
      </c>
      <c r="C181" s="2" t="s">
        <v>24</v>
      </c>
      <c r="D181" s="2" t="s">
        <v>41</v>
      </c>
      <c r="E181" s="2" t="s">
        <v>22</v>
      </c>
      <c r="F181" s="2">
        <v>13605</v>
      </c>
      <c r="G181" s="2">
        <v>300</v>
      </c>
      <c r="H181" s="2">
        <v>624</v>
      </c>
      <c r="I181" s="2">
        <v>21</v>
      </c>
      <c r="J181" s="2">
        <v>4495.51</v>
      </c>
    </row>
    <row r="182" spans="1:10" x14ac:dyDescent="0.45">
      <c r="A182" s="2" t="s">
        <v>59</v>
      </c>
      <c r="B182" s="2" t="s">
        <v>15</v>
      </c>
      <c r="C182" s="2" t="s">
        <v>38</v>
      </c>
      <c r="D182" s="2" t="s">
        <v>29</v>
      </c>
      <c r="E182" s="2" t="s">
        <v>30</v>
      </c>
      <c r="F182" s="2">
        <v>116041</v>
      </c>
      <c r="G182" s="2">
        <v>6428</v>
      </c>
      <c r="H182" s="2">
        <v>11249</v>
      </c>
      <c r="I182" s="2">
        <v>74</v>
      </c>
      <c r="J182" s="2">
        <v>13873.48</v>
      </c>
    </row>
    <row r="183" spans="1:10" x14ac:dyDescent="0.45">
      <c r="A183" s="2" t="s">
        <v>169</v>
      </c>
      <c r="B183" s="2" t="s">
        <v>20</v>
      </c>
      <c r="C183" s="2" t="s">
        <v>16</v>
      </c>
      <c r="D183" s="2" t="s">
        <v>41</v>
      </c>
      <c r="E183" s="2" t="s">
        <v>51</v>
      </c>
      <c r="F183" s="2">
        <v>170396</v>
      </c>
      <c r="G183" s="2">
        <v>10138</v>
      </c>
      <c r="H183" s="2">
        <v>10949.04</v>
      </c>
      <c r="I183" s="2">
        <v>494</v>
      </c>
      <c r="J183" s="2">
        <v>99795.18</v>
      </c>
    </row>
    <row r="184" spans="1:10" x14ac:dyDescent="0.45">
      <c r="A184" s="2" t="s">
        <v>31</v>
      </c>
      <c r="B184" s="2" t="s">
        <v>35</v>
      </c>
      <c r="C184" s="2" t="s">
        <v>38</v>
      </c>
      <c r="D184" s="2" t="s">
        <v>21</v>
      </c>
      <c r="E184" s="2" t="s">
        <v>51</v>
      </c>
      <c r="F184" s="2">
        <v>19743</v>
      </c>
      <c r="G184" s="2">
        <v>619</v>
      </c>
      <c r="H184" s="2">
        <v>773.75</v>
      </c>
      <c r="I184" s="2">
        <v>41</v>
      </c>
      <c r="J184" s="2">
        <v>9219.4599999999991</v>
      </c>
    </row>
    <row r="185" spans="1:10" x14ac:dyDescent="0.45">
      <c r="A185" s="2" t="s">
        <v>170</v>
      </c>
      <c r="B185" s="2" t="s">
        <v>15</v>
      </c>
      <c r="C185" s="2" t="s">
        <v>16</v>
      </c>
      <c r="D185" s="2" t="s">
        <v>41</v>
      </c>
      <c r="E185" s="2" t="s">
        <v>54</v>
      </c>
      <c r="F185" s="2">
        <v>94081</v>
      </c>
      <c r="G185" s="2">
        <v>5588</v>
      </c>
      <c r="H185" s="2">
        <v>15031.72</v>
      </c>
      <c r="I185" s="2">
        <v>88</v>
      </c>
      <c r="J185" s="2">
        <v>24757.88</v>
      </c>
    </row>
    <row r="186" spans="1:10" x14ac:dyDescent="0.45">
      <c r="A186" s="2" t="s">
        <v>171</v>
      </c>
      <c r="B186" s="2" t="s">
        <v>20</v>
      </c>
      <c r="C186" s="2" t="s">
        <v>24</v>
      </c>
      <c r="D186" s="2" t="s">
        <v>17</v>
      </c>
      <c r="E186" s="2" t="s">
        <v>26</v>
      </c>
      <c r="F186" s="2">
        <v>141643</v>
      </c>
      <c r="G186" s="2">
        <v>8526</v>
      </c>
      <c r="H186" s="2">
        <v>3921.96</v>
      </c>
      <c r="I186" s="2">
        <v>379</v>
      </c>
      <c r="J186" s="2">
        <v>51038.1</v>
      </c>
    </row>
    <row r="187" spans="1:10" x14ac:dyDescent="0.45">
      <c r="A187" s="2" t="s">
        <v>172</v>
      </c>
      <c r="B187" s="2" t="s">
        <v>35</v>
      </c>
      <c r="C187" s="2" t="s">
        <v>28</v>
      </c>
      <c r="D187" s="2" t="s">
        <v>29</v>
      </c>
      <c r="E187" s="2" t="s">
        <v>54</v>
      </c>
      <c r="F187" s="2">
        <v>90716</v>
      </c>
      <c r="G187" s="2">
        <v>3002</v>
      </c>
      <c r="H187" s="2">
        <v>4412.9399999999996</v>
      </c>
      <c r="I187" s="2">
        <v>194</v>
      </c>
      <c r="J187" s="2">
        <v>39560.54</v>
      </c>
    </row>
    <row r="188" spans="1:10" x14ac:dyDescent="0.45">
      <c r="A188" s="2" t="s">
        <v>173</v>
      </c>
      <c r="B188" s="2" t="s">
        <v>15</v>
      </c>
      <c r="C188" s="2" t="s">
        <v>16</v>
      </c>
      <c r="D188" s="2" t="s">
        <v>21</v>
      </c>
      <c r="E188" s="2" t="s">
        <v>26</v>
      </c>
      <c r="F188" s="2">
        <v>72055</v>
      </c>
      <c r="G188" s="2">
        <v>1678</v>
      </c>
      <c r="H188" s="2">
        <v>5319.26</v>
      </c>
      <c r="I188" s="2">
        <v>41</v>
      </c>
      <c r="J188" s="2">
        <v>8506.9</v>
      </c>
    </row>
    <row r="189" spans="1:10" x14ac:dyDescent="0.45">
      <c r="A189" s="2" t="s">
        <v>174</v>
      </c>
      <c r="B189" s="2" t="s">
        <v>35</v>
      </c>
      <c r="C189" s="2" t="s">
        <v>28</v>
      </c>
      <c r="D189" s="2" t="s">
        <v>41</v>
      </c>
      <c r="E189" s="2" t="s">
        <v>30</v>
      </c>
      <c r="F189" s="2">
        <v>112692</v>
      </c>
      <c r="G189" s="2">
        <v>2096</v>
      </c>
      <c r="H189" s="2">
        <v>4757.92</v>
      </c>
      <c r="I189" s="2">
        <v>89</v>
      </c>
      <c r="J189" s="2">
        <v>16587.580000000002</v>
      </c>
    </row>
    <row r="190" spans="1:10" x14ac:dyDescent="0.45">
      <c r="A190" s="2" t="s">
        <v>175</v>
      </c>
      <c r="B190" s="2" t="s">
        <v>15</v>
      </c>
      <c r="C190" s="2" t="s">
        <v>24</v>
      </c>
      <c r="D190" s="2" t="s">
        <v>17</v>
      </c>
      <c r="E190" s="2" t="s">
        <v>18</v>
      </c>
      <c r="F190" s="2">
        <v>31672</v>
      </c>
      <c r="G190" s="2">
        <v>877</v>
      </c>
      <c r="H190" s="2">
        <v>631.44000000000005</v>
      </c>
      <c r="I190" s="2">
        <v>16</v>
      </c>
      <c r="J190" s="2">
        <v>2266.94</v>
      </c>
    </row>
    <row r="191" spans="1:10" x14ac:dyDescent="0.45">
      <c r="A191" s="2" t="s">
        <v>85</v>
      </c>
      <c r="B191" s="2" t="s">
        <v>35</v>
      </c>
      <c r="C191" s="2" t="s">
        <v>24</v>
      </c>
      <c r="D191" s="2" t="s">
        <v>41</v>
      </c>
      <c r="E191" s="2" t="s">
        <v>30</v>
      </c>
      <c r="F191" s="2">
        <v>59131</v>
      </c>
      <c r="G191" s="2">
        <v>1425</v>
      </c>
      <c r="H191" s="2">
        <v>1482</v>
      </c>
      <c r="I191" s="2">
        <v>66</v>
      </c>
      <c r="J191" s="2">
        <v>19372.57</v>
      </c>
    </row>
    <row r="192" spans="1:10" x14ac:dyDescent="0.45">
      <c r="A192" s="2" t="s">
        <v>87</v>
      </c>
      <c r="B192" s="2" t="s">
        <v>15</v>
      </c>
      <c r="C192" s="2" t="s">
        <v>16</v>
      </c>
      <c r="D192" s="2" t="s">
        <v>29</v>
      </c>
      <c r="E192" s="2" t="s">
        <v>33</v>
      </c>
      <c r="F192" s="2">
        <v>119397</v>
      </c>
      <c r="G192" s="2">
        <v>3868</v>
      </c>
      <c r="H192" s="2">
        <v>6962.4</v>
      </c>
      <c r="I192" s="2">
        <v>193</v>
      </c>
      <c r="J192" s="2">
        <v>35393.300000000003</v>
      </c>
    </row>
    <row r="193" spans="1:10" x14ac:dyDescent="0.45">
      <c r="A193" s="2" t="s">
        <v>176</v>
      </c>
      <c r="B193" s="2" t="s">
        <v>35</v>
      </c>
      <c r="C193" s="2" t="s">
        <v>16</v>
      </c>
      <c r="D193" s="2" t="s">
        <v>21</v>
      </c>
      <c r="E193" s="2" t="s">
        <v>54</v>
      </c>
      <c r="F193" s="2">
        <v>157008</v>
      </c>
      <c r="G193" s="2">
        <v>5024</v>
      </c>
      <c r="H193" s="2">
        <v>3617.28</v>
      </c>
      <c r="I193" s="2">
        <v>379</v>
      </c>
      <c r="J193" s="2">
        <v>73104.850000000006</v>
      </c>
    </row>
    <row r="194" spans="1:10" x14ac:dyDescent="0.45">
      <c r="A194" s="2" t="s">
        <v>177</v>
      </c>
      <c r="B194" s="2" t="s">
        <v>35</v>
      </c>
      <c r="C194" s="2" t="s">
        <v>28</v>
      </c>
      <c r="D194" s="2" t="s">
        <v>21</v>
      </c>
      <c r="E194" s="2" t="s">
        <v>22</v>
      </c>
      <c r="F194" s="2">
        <v>117217</v>
      </c>
      <c r="G194" s="2">
        <v>2133</v>
      </c>
      <c r="H194" s="2">
        <v>2751.57</v>
      </c>
      <c r="I194" s="2">
        <v>129</v>
      </c>
      <c r="J194" s="2">
        <v>25455.360000000001</v>
      </c>
    </row>
    <row r="195" spans="1:10" x14ac:dyDescent="0.45">
      <c r="A195" s="2" t="s">
        <v>178</v>
      </c>
      <c r="B195" s="2" t="s">
        <v>20</v>
      </c>
      <c r="C195" s="2" t="s">
        <v>16</v>
      </c>
      <c r="D195" s="2" t="s">
        <v>29</v>
      </c>
      <c r="E195" s="2" t="s">
        <v>33</v>
      </c>
      <c r="F195" s="2">
        <v>111956</v>
      </c>
      <c r="G195" s="2">
        <v>5911</v>
      </c>
      <c r="H195" s="2">
        <v>9280.27</v>
      </c>
      <c r="I195" s="2">
        <v>253</v>
      </c>
      <c r="J195" s="2">
        <v>68395.539999999994</v>
      </c>
    </row>
    <row r="196" spans="1:10" x14ac:dyDescent="0.45">
      <c r="A196" s="2" t="s">
        <v>66</v>
      </c>
      <c r="B196" s="2" t="s">
        <v>35</v>
      </c>
      <c r="C196" s="2" t="s">
        <v>38</v>
      </c>
      <c r="D196" s="2" t="s">
        <v>29</v>
      </c>
      <c r="E196" s="2" t="s">
        <v>26</v>
      </c>
      <c r="F196" s="2">
        <v>10939</v>
      </c>
      <c r="G196" s="2">
        <v>113</v>
      </c>
      <c r="H196" s="2">
        <v>133.34</v>
      </c>
      <c r="I196" s="2">
        <v>6</v>
      </c>
      <c r="J196" s="2">
        <v>1684.43</v>
      </c>
    </row>
    <row r="197" spans="1:10" x14ac:dyDescent="0.45">
      <c r="A197" s="2" t="s">
        <v>75</v>
      </c>
      <c r="B197" s="2" t="s">
        <v>20</v>
      </c>
      <c r="C197" s="2" t="s">
        <v>38</v>
      </c>
      <c r="D197" s="2" t="s">
        <v>29</v>
      </c>
      <c r="E197" s="2" t="s">
        <v>51</v>
      </c>
      <c r="F197" s="2">
        <v>72293</v>
      </c>
      <c r="G197" s="2">
        <v>4532</v>
      </c>
      <c r="H197" s="2">
        <v>8202.92</v>
      </c>
      <c r="I197" s="2">
        <v>169</v>
      </c>
      <c r="J197" s="2">
        <v>35145.360000000001</v>
      </c>
    </row>
    <row r="198" spans="1:10" x14ac:dyDescent="0.45">
      <c r="A198" s="2" t="s">
        <v>136</v>
      </c>
      <c r="B198" s="2" t="s">
        <v>15</v>
      </c>
      <c r="C198" s="2" t="s">
        <v>28</v>
      </c>
      <c r="D198" s="2" t="s">
        <v>17</v>
      </c>
      <c r="E198" s="2" t="s">
        <v>30</v>
      </c>
      <c r="F198" s="2">
        <v>78402</v>
      </c>
      <c r="G198" s="2">
        <v>4531</v>
      </c>
      <c r="H198" s="2">
        <v>12460.25</v>
      </c>
      <c r="I198" s="2">
        <v>105</v>
      </c>
      <c r="J198" s="2">
        <v>25620.07</v>
      </c>
    </row>
    <row r="199" spans="1:10" x14ac:dyDescent="0.45">
      <c r="A199" s="2" t="s">
        <v>179</v>
      </c>
      <c r="B199" s="2" t="s">
        <v>20</v>
      </c>
      <c r="C199" s="2" t="s">
        <v>38</v>
      </c>
      <c r="D199" s="2" t="s">
        <v>41</v>
      </c>
      <c r="E199" s="2" t="s">
        <v>33</v>
      </c>
      <c r="F199" s="2">
        <v>160892</v>
      </c>
      <c r="G199" s="2">
        <v>9122</v>
      </c>
      <c r="H199" s="2">
        <v>5838.08</v>
      </c>
      <c r="I199" s="2">
        <v>590</v>
      </c>
      <c r="J199" s="2">
        <v>170654.73</v>
      </c>
    </row>
    <row r="200" spans="1:10" x14ac:dyDescent="0.45">
      <c r="A200" s="2" t="s">
        <v>180</v>
      </c>
      <c r="B200" s="2" t="s">
        <v>20</v>
      </c>
      <c r="C200" s="2" t="s">
        <v>16</v>
      </c>
      <c r="D200" s="2" t="s">
        <v>21</v>
      </c>
      <c r="E200" s="2" t="s">
        <v>26</v>
      </c>
      <c r="F200" s="2">
        <v>154092</v>
      </c>
      <c r="G200" s="2">
        <v>8860</v>
      </c>
      <c r="H200" s="2">
        <v>10366.200000000001</v>
      </c>
      <c r="I200" s="2">
        <v>246</v>
      </c>
      <c r="J200" s="2">
        <v>23706.53</v>
      </c>
    </row>
    <row r="201" spans="1:10" x14ac:dyDescent="0.45">
      <c r="A201" s="2" t="s">
        <v>141</v>
      </c>
      <c r="B201" s="2" t="s">
        <v>35</v>
      </c>
      <c r="C201" s="2" t="s">
        <v>28</v>
      </c>
      <c r="D201" s="2" t="s">
        <v>25</v>
      </c>
      <c r="E201" s="2" t="s">
        <v>18</v>
      </c>
      <c r="F201" s="2">
        <v>73323</v>
      </c>
      <c r="G201" s="2">
        <v>1928</v>
      </c>
      <c r="H201" s="2">
        <v>3296.88</v>
      </c>
      <c r="I201" s="2">
        <v>121</v>
      </c>
      <c r="J201" s="2">
        <v>33634.99</v>
      </c>
    </row>
    <row r="202" spans="1:10" x14ac:dyDescent="0.45">
      <c r="A202" s="2" t="s">
        <v>181</v>
      </c>
      <c r="B202" s="2" t="s">
        <v>20</v>
      </c>
      <c r="C202" s="2" t="s">
        <v>24</v>
      </c>
      <c r="D202" s="2" t="s">
        <v>29</v>
      </c>
      <c r="E202" s="2" t="s">
        <v>51</v>
      </c>
      <c r="F202" s="2">
        <v>58521</v>
      </c>
      <c r="G202" s="2">
        <v>3318</v>
      </c>
      <c r="H202" s="2">
        <v>6138.3</v>
      </c>
      <c r="I202" s="2">
        <v>39</v>
      </c>
      <c r="J202" s="2">
        <v>10013.26</v>
      </c>
    </row>
    <row r="203" spans="1:10" x14ac:dyDescent="0.45">
      <c r="A203" s="2" t="s">
        <v>182</v>
      </c>
      <c r="B203" s="2" t="s">
        <v>20</v>
      </c>
      <c r="C203" s="2" t="s">
        <v>16</v>
      </c>
      <c r="D203" s="2" t="s">
        <v>29</v>
      </c>
      <c r="E203" s="2" t="s">
        <v>26</v>
      </c>
      <c r="F203" s="2">
        <v>48361</v>
      </c>
      <c r="G203" s="2">
        <v>2713</v>
      </c>
      <c r="H203" s="2">
        <v>2360.31</v>
      </c>
      <c r="I203" s="2">
        <v>54</v>
      </c>
      <c r="J203" s="2">
        <v>7890.9</v>
      </c>
    </row>
    <row r="204" spans="1:10" x14ac:dyDescent="0.45">
      <c r="A204" s="2" t="s">
        <v>183</v>
      </c>
      <c r="B204" s="2" t="s">
        <v>20</v>
      </c>
      <c r="C204" s="2" t="s">
        <v>38</v>
      </c>
      <c r="D204" s="2" t="s">
        <v>25</v>
      </c>
      <c r="E204" s="2" t="s">
        <v>18</v>
      </c>
      <c r="F204" s="2">
        <v>179870</v>
      </c>
      <c r="G204" s="2">
        <v>7500</v>
      </c>
      <c r="H204" s="2">
        <v>10800</v>
      </c>
      <c r="I204" s="2">
        <v>112</v>
      </c>
      <c r="J204" s="2">
        <v>5446.79</v>
      </c>
    </row>
    <row r="205" spans="1:10" x14ac:dyDescent="0.45">
      <c r="A205" s="2" t="s">
        <v>184</v>
      </c>
      <c r="B205" s="2" t="s">
        <v>20</v>
      </c>
      <c r="C205" s="2" t="s">
        <v>16</v>
      </c>
      <c r="D205" s="2" t="s">
        <v>41</v>
      </c>
      <c r="E205" s="2" t="s">
        <v>33</v>
      </c>
      <c r="F205" s="2">
        <v>114850</v>
      </c>
      <c r="G205" s="2">
        <v>8234</v>
      </c>
      <c r="H205" s="2">
        <v>13421.42</v>
      </c>
      <c r="I205" s="2">
        <v>245</v>
      </c>
      <c r="J205" s="2">
        <v>35478.839999999997</v>
      </c>
    </row>
    <row r="206" spans="1:10" x14ac:dyDescent="0.45">
      <c r="A206" s="2" t="s">
        <v>185</v>
      </c>
      <c r="B206" s="2" t="s">
        <v>15</v>
      </c>
      <c r="C206" s="2" t="s">
        <v>38</v>
      </c>
      <c r="D206" s="2" t="s">
        <v>25</v>
      </c>
      <c r="E206" s="2" t="s">
        <v>51</v>
      </c>
      <c r="F206" s="2">
        <v>54976</v>
      </c>
      <c r="G206" s="2">
        <v>2611</v>
      </c>
      <c r="H206" s="2">
        <v>3446.52</v>
      </c>
      <c r="I206" s="2">
        <v>187</v>
      </c>
      <c r="J206" s="2">
        <v>8230.48</v>
      </c>
    </row>
    <row r="207" spans="1:10" x14ac:dyDescent="0.45">
      <c r="A207" s="2" t="s">
        <v>186</v>
      </c>
      <c r="B207" s="2" t="s">
        <v>15</v>
      </c>
      <c r="C207" s="2" t="s">
        <v>28</v>
      </c>
      <c r="D207" s="2" t="s">
        <v>17</v>
      </c>
      <c r="E207" s="2" t="s">
        <v>54</v>
      </c>
      <c r="F207" s="2">
        <v>162636</v>
      </c>
      <c r="G207" s="2">
        <v>9237</v>
      </c>
      <c r="H207" s="2">
        <v>13024.17</v>
      </c>
      <c r="I207" s="2">
        <v>738</v>
      </c>
      <c r="J207" s="2">
        <v>102989.98</v>
      </c>
    </row>
    <row r="208" spans="1:10" x14ac:dyDescent="0.45">
      <c r="A208" s="2" t="s">
        <v>94</v>
      </c>
      <c r="B208" s="2" t="s">
        <v>15</v>
      </c>
      <c r="C208" s="2" t="s">
        <v>38</v>
      </c>
      <c r="D208" s="2" t="s">
        <v>25</v>
      </c>
      <c r="E208" s="2" t="s">
        <v>51</v>
      </c>
      <c r="F208" s="2">
        <v>23375</v>
      </c>
      <c r="G208" s="2">
        <v>1175</v>
      </c>
      <c r="H208" s="2">
        <v>1668.5</v>
      </c>
      <c r="I208" s="2">
        <v>15</v>
      </c>
      <c r="J208" s="2">
        <v>1524.57</v>
      </c>
    </row>
    <row r="209" spans="1:10" x14ac:dyDescent="0.45">
      <c r="A209" s="2" t="s">
        <v>162</v>
      </c>
      <c r="B209" s="2" t="s">
        <v>35</v>
      </c>
      <c r="C209" s="2" t="s">
        <v>28</v>
      </c>
      <c r="D209" s="2" t="s">
        <v>41</v>
      </c>
      <c r="E209" s="2" t="s">
        <v>33</v>
      </c>
      <c r="F209" s="2">
        <v>167917</v>
      </c>
      <c r="G209" s="2">
        <v>6246</v>
      </c>
      <c r="H209" s="2">
        <v>3747.6</v>
      </c>
      <c r="I209" s="2">
        <v>413</v>
      </c>
      <c r="J209" s="2">
        <v>25997.62</v>
      </c>
    </row>
    <row r="210" spans="1:10" x14ac:dyDescent="0.45">
      <c r="A210" s="2" t="s">
        <v>187</v>
      </c>
      <c r="B210" s="2" t="s">
        <v>15</v>
      </c>
      <c r="C210" s="2" t="s">
        <v>16</v>
      </c>
      <c r="D210" s="2" t="s">
        <v>41</v>
      </c>
      <c r="E210" s="2" t="s">
        <v>26</v>
      </c>
      <c r="F210" s="2">
        <v>71216</v>
      </c>
      <c r="G210" s="2">
        <v>2357</v>
      </c>
      <c r="H210" s="2">
        <v>7471.69</v>
      </c>
      <c r="I210" s="2">
        <v>179</v>
      </c>
      <c r="J210" s="2">
        <v>29354.19</v>
      </c>
    </row>
    <row r="211" spans="1:10" x14ac:dyDescent="0.45">
      <c r="A211" s="2" t="s">
        <v>79</v>
      </c>
      <c r="B211" s="2" t="s">
        <v>15</v>
      </c>
      <c r="C211" s="2" t="s">
        <v>24</v>
      </c>
      <c r="D211" s="2" t="s">
        <v>21</v>
      </c>
      <c r="E211" s="2" t="s">
        <v>30</v>
      </c>
      <c r="F211" s="2">
        <v>29618</v>
      </c>
      <c r="G211" s="2">
        <v>1883</v>
      </c>
      <c r="H211" s="2">
        <v>4086.11</v>
      </c>
      <c r="I211" s="2">
        <v>90</v>
      </c>
      <c r="J211" s="2">
        <v>26198.959999999999</v>
      </c>
    </row>
    <row r="212" spans="1:10" x14ac:dyDescent="0.45">
      <c r="A212" s="2" t="s">
        <v>119</v>
      </c>
      <c r="B212" s="2" t="s">
        <v>15</v>
      </c>
      <c r="C212" s="2" t="s">
        <v>16</v>
      </c>
      <c r="D212" s="2" t="s">
        <v>25</v>
      </c>
      <c r="E212" s="2" t="s">
        <v>33</v>
      </c>
      <c r="F212" s="2">
        <v>136461</v>
      </c>
      <c r="G212" s="2">
        <v>3984</v>
      </c>
      <c r="H212" s="2">
        <v>5936.16</v>
      </c>
      <c r="I212" s="2">
        <v>214</v>
      </c>
      <c r="J212" s="2">
        <v>24710.240000000002</v>
      </c>
    </row>
    <row r="213" spans="1:10" x14ac:dyDescent="0.45">
      <c r="A213" s="2" t="s">
        <v>188</v>
      </c>
      <c r="B213" s="2" t="s">
        <v>20</v>
      </c>
      <c r="C213" s="2" t="s">
        <v>16</v>
      </c>
      <c r="D213" s="2" t="s">
        <v>25</v>
      </c>
      <c r="E213" s="2" t="s">
        <v>54</v>
      </c>
      <c r="F213" s="2">
        <v>132426</v>
      </c>
      <c r="G213" s="2">
        <v>7309</v>
      </c>
      <c r="H213" s="2">
        <v>2338.88</v>
      </c>
      <c r="I213" s="2">
        <v>171</v>
      </c>
      <c r="J213" s="2">
        <v>24136.13</v>
      </c>
    </row>
    <row r="214" spans="1:10" x14ac:dyDescent="0.45">
      <c r="A214" s="2" t="s">
        <v>78</v>
      </c>
      <c r="B214" s="2" t="s">
        <v>20</v>
      </c>
      <c r="C214" s="2" t="s">
        <v>16</v>
      </c>
      <c r="D214" s="2" t="s">
        <v>41</v>
      </c>
      <c r="E214" s="2" t="s">
        <v>30</v>
      </c>
      <c r="F214" s="2">
        <v>159692</v>
      </c>
      <c r="G214" s="2">
        <v>6882</v>
      </c>
      <c r="H214" s="2">
        <v>2546.34</v>
      </c>
      <c r="I214" s="2">
        <v>523</v>
      </c>
      <c r="J214" s="2">
        <v>106309.31</v>
      </c>
    </row>
    <row r="215" spans="1:10" x14ac:dyDescent="0.45">
      <c r="A215" s="2" t="s">
        <v>189</v>
      </c>
      <c r="B215" s="2" t="s">
        <v>35</v>
      </c>
      <c r="C215" s="2" t="s">
        <v>24</v>
      </c>
      <c r="D215" s="2" t="s">
        <v>17</v>
      </c>
      <c r="E215" s="2" t="s">
        <v>51</v>
      </c>
      <c r="F215" s="2">
        <v>27931</v>
      </c>
      <c r="G215" s="2">
        <v>608</v>
      </c>
      <c r="H215" s="2">
        <v>924.16</v>
      </c>
      <c r="I215" s="2">
        <v>10</v>
      </c>
      <c r="J215" s="2">
        <v>1389.72</v>
      </c>
    </row>
    <row r="216" spans="1:10" x14ac:dyDescent="0.45">
      <c r="A216" s="2" t="s">
        <v>190</v>
      </c>
      <c r="B216" s="2" t="s">
        <v>35</v>
      </c>
      <c r="C216" s="2" t="s">
        <v>38</v>
      </c>
      <c r="D216" s="2" t="s">
        <v>21</v>
      </c>
      <c r="E216" s="2" t="s">
        <v>26</v>
      </c>
      <c r="F216" s="2">
        <v>131155</v>
      </c>
      <c r="G216" s="2">
        <v>4052</v>
      </c>
      <c r="H216" s="2">
        <v>5024.4799999999996</v>
      </c>
      <c r="I216" s="2">
        <v>209</v>
      </c>
      <c r="J216" s="2">
        <v>15982.2</v>
      </c>
    </row>
    <row r="217" spans="1:10" x14ac:dyDescent="0.45">
      <c r="A217" s="2" t="s">
        <v>191</v>
      </c>
      <c r="B217" s="2" t="s">
        <v>20</v>
      </c>
      <c r="C217" s="2" t="s">
        <v>28</v>
      </c>
      <c r="D217" s="2" t="s">
        <v>17</v>
      </c>
      <c r="E217" s="2" t="s">
        <v>26</v>
      </c>
      <c r="F217" s="2">
        <v>66842</v>
      </c>
      <c r="G217" s="2">
        <v>2339</v>
      </c>
      <c r="H217" s="2">
        <v>3274.6</v>
      </c>
      <c r="I217" s="2">
        <v>123</v>
      </c>
      <c r="J217" s="2">
        <v>14081.65</v>
      </c>
    </row>
    <row r="218" spans="1:10" x14ac:dyDescent="0.45">
      <c r="A218" s="2" t="s">
        <v>192</v>
      </c>
      <c r="B218" s="2" t="s">
        <v>15</v>
      </c>
      <c r="C218" s="2" t="s">
        <v>28</v>
      </c>
      <c r="D218" s="2" t="s">
        <v>29</v>
      </c>
      <c r="E218" s="2" t="s">
        <v>18</v>
      </c>
      <c r="F218" s="2">
        <v>7642</v>
      </c>
      <c r="G218" s="2">
        <v>202</v>
      </c>
      <c r="H218" s="2">
        <v>682.76</v>
      </c>
      <c r="I218" s="2">
        <v>11</v>
      </c>
      <c r="J218" s="2">
        <v>1542.21</v>
      </c>
    </row>
    <row r="219" spans="1:10" x14ac:dyDescent="0.45">
      <c r="A219" s="2" t="s">
        <v>193</v>
      </c>
      <c r="B219" s="2" t="s">
        <v>15</v>
      </c>
      <c r="C219" s="2" t="s">
        <v>28</v>
      </c>
      <c r="D219" s="2" t="s">
        <v>41</v>
      </c>
      <c r="E219" s="2" t="s">
        <v>26</v>
      </c>
      <c r="F219" s="2">
        <v>70618</v>
      </c>
      <c r="G219" s="2">
        <v>3601</v>
      </c>
      <c r="H219" s="2">
        <v>8030.23</v>
      </c>
      <c r="I219" s="2">
        <v>145</v>
      </c>
      <c r="J219" s="2">
        <v>7976.29</v>
      </c>
    </row>
    <row r="220" spans="1:10" x14ac:dyDescent="0.45">
      <c r="A220" s="2" t="s">
        <v>106</v>
      </c>
      <c r="B220" s="2" t="s">
        <v>35</v>
      </c>
      <c r="C220" s="2" t="s">
        <v>24</v>
      </c>
      <c r="D220" s="2" t="s">
        <v>41</v>
      </c>
      <c r="E220" s="2" t="s">
        <v>30</v>
      </c>
      <c r="F220" s="2">
        <v>74212</v>
      </c>
      <c r="G220" s="2">
        <v>1528</v>
      </c>
      <c r="H220" s="2">
        <v>2230.88</v>
      </c>
      <c r="I220" s="2">
        <v>85</v>
      </c>
      <c r="J220" s="2">
        <v>21331.58</v>
      </c>
    </row>
    <row r="221" spans="1:10" x14ac:dyDescent="0.45">
      <c r="A221" s="2" t="s">
        <v>194</v>
      </c>
      <c r="B221" s="2" t="s">
        <v>15</v>
      </c>
      <c r="C221" s="2" t="s">
        <v>28</v>
      </c>
      <c r="D221" s="2" t="s">
        <v>41</v>
      </c>
      <c r="E221" s="2" t="s">
        <v>26</v>
      </c>
      <c r="F221" s="2">
        <v>10039</v>
      </c>
      <c r="G221" s="2">
        <v>501</v>
      </c>
      <c r="H221" s="2">
        <v>1147.29</v>
      </c>
      <c r="I221" s="2">
        <v>36</v>
      </c>
      <c r="J221" s="2">
        <v>4805.5200000000004</v>
      </c>
    </row>
    <row r="222" spans="1:10" x14ac:dyDescent="0.45">
      <c r="A222" s="2" t="s">
        <v>195</v>
      </c>
      <c r="B222" s="2" t="s">
        <v>35</v>
      </c>
      <c r="C222" s="2" t="s">
        <v>24</v>
      </c>
      <c r="D222" s="2" t="s">
        <v>25</v>
      </c>
      <c r="E222" s="2" t="s">
        <v>51</v>
      </c>
      <c r="F222" s="2">
        <v>102088</v>
      </c>
      <c r="G222" s="2">
        <v>4481</v>
      </c>
      <c r="H222" s="2">
        <v>3271.13</v>
      </c>
      <c r="I222" s="2">
        <v>316</v>
      </c>
      <c r="J222" s="2">
        <v>87569.74</v>
      </c>
    </row>
    <row r="223" spans="1:10" x14ac:dyDescent="0.45">
      <c r="A223" s="2" t="s">
        <v>196</v>
      </c>
      <c r="B223" s="2" t="s">
        <v>20</v>
      </c>
      <c r="C223" s="2" t="s">
        <v>38</v>
      </c>
      <c r="D223" s="2" t="s">
        <v>17</v>
      </c>
      <c r="E223" s="2" t="s">
        <v>18</v>
      </c>
      <c r="F223" s="2">
        <v>25025</v>
      </c>
      <c r="G223" s="2">
        <v>1256</v>
      </c>
      <c r="H223" s="2">
        <v>540.08000000000004</v>
      </c>
      <c r="I223" s="2">
        <v>38</v>
      </c>
      <c r="J223" s="2">
        <v>5694.61</v>
      </c>
    </row>
    <row r="224" spans="1:10" x14ac:dyDescent="0.45">
      <c r="A224" s="2" t="s">
        <v>197</v>
      </c>
      <c r="B224" s="2" t="s">
        <v>15</v>
      </c>
      <c r="C224" s="2" t="s">
        <v>28</v>
      </c>
      <c r="D224" s="2" t="s">
        <v>25</v>
      </c>
      <c r="E224" s="2" t="s">
        <v>33</v>
      </c>
      <c r="F224" s="2">
        <v>36707</v>
      </c>
      <c r="G224" s="2">
        <v>943</v>
      </c>
      <c r="H224" s="2">
        <v>1235.33</v>
      </c>
      <c r="I224" s="2">
        <v>21</v>
      </c>
      <c r="J224" s="2">
        <v>4396.12</v>
      </c>
    </row>
    <row r="225" spans="1:10" x14ac:dyDescent="0.45">
      <c r="A225" s="2" t="s">
        <v>198</v>
      </c>
      <c r="B225" s="2" t="s">
        <v>20</v>
      </c>
      <c r="C225" s="2" t="s">
        <v>16</v>
      </c>
      <c r="D225" s="2" t="s">
        <v>21</v>
      </c>
      <c r="E225" s="2" t="s">
        <v>33</v>
      </c>
      <c r="F225" s="2">
        <v>17356</v>
      </c>
      <c r="G225" s="2">
        <v>925</v>
      </c>
      <c r="H225" s="2">
        <v>425.5</v>
      </c>
      <c r="I225" s="2">
        <v>62</v>
      </c>
      <c r="J225" s="2">
        <v>5476.85</v>
      </c>
    </row>
    <row r="226" spans="1:10" x14ac:dyDescent="0.45">
      <c r="A226" s="2" t="s">
        <v>199</v>
      </c>
      <c r="B226" s="2" t="s">
        <v>20</v>
      </c>
      <c r="C226" s="2" t="s">
        <v>16</v>
      </c>
      <c r="D226" s="2" t="s">
        <v>21</v>
      </c>
      <c r="E226" s="2" t="s">
        <v>51</v>
      </c>
      <c r="F226" s="2">
        <v>86257</v>
      </c>
      <c r="G226" s="2">
        <v>4597</v>
      </c>
      <c r="H226" s="2">
        <v>3815.51</v>
      </c>
      <c r="I226" s="2">
        <v>301</v>
      </c>
      <c r="J226" s="2">
        <v>80903.28</v>
      </c>
    </row>
    <row r="227" spans="1:10" x14ac:dyDescent="0.45">
      <c r="A227" s="2" t="s">
        <v>175</v>
      </c>
      <c r="B227" s="2" t="s">
        <v>15</v>
      </c>
      <c r="C227" s="2" t="s">
        <v>28</v>
      </c>
      <c r="D227" s="2" t="s">
        <v>17</v>
      </c>
      <c r="E227" s="2" t="s">
        <v>51</v>
      </c>
      <c r="F227" s="2">
        <v>32518</v>
      </c>
      <c r="G227" s="2">
        <v>1258</v>
      </c>
      <c r="H227" s="2">
        <v>3031.78</v>
      </c>
      <c r="I227" s="2">
        <v>12</v>
      </c>
      <c r="J227" s="2">
        <v>2688.72</v>
      </c>
    </row>
    <row r="228" spans="1:10" x14ac:dyDescent="0.45">
      <c r="A228" s="2" t="s">
        <v>200</v>
      </c>
      <c r="B228" s="2" t="s">
        <v>35</v>
      </c>
      <c r="C228" s="2" t="s">
        <v>38</v>
      </c>
      <c r="D228" s="2" t="s">
        <v>41</v>
      </c>
      <c r="E228" s="2" t="s">
        <v>51</v>
      </c>
      <c r="F228" s="2">
        <v>75269</v>
      </c>
      <c r="G228" s="2">
        <v>2604</v>
      </c>
      <c r="H228" s="2">
        <v>2161.3200000000002</v>
      </c>
      <c r="I228" s="2">
        <v>70</v>
      </c>
      <c r="J228" s="2">
        <v>3191.14</v>
      </c>
    </row>
    <row r="229" spans="1:10" x14ac:dyDescent="0.45">
      <c r="A229" s="2" t="s">
        <v>84</v>
      </c>
      <c r="B229" s="2" t="s">
        <v>15</v>
      </c>
      <c r="C229" s="2" t="s">
        <v>24</v>
      </c>
      <c r="D229" s="2" t="s">
        <v>21</v>
      </c>
      <c r="E229" s="2" t="s">
        <v>33</v>
      </c>
      <c r="F229" s="2">
        <v>20534</v>
      </c>
      <c r="G229" s="2">
        <v>993</v>
      </c>
      <c r="H229" s="2">
        <v>2849.91</v>
      </c>
      <c r="I229" s="2">
        <v>49</v>
      </c>
      <c r="J229" s="2">
        <v>1762.93</v>
      </c>
    </row>
    <row r="230" spans="1:10" x14ac:dyDescent="0.45">
      <c r="A230" s="2" t="s">
        <v>201</v>
      </c>
      <c r="B230" s="2" t="s">
        <v>20</v>
      </c>
      <c r="C230" s="2" t="s">
        <v>28</v>
      </c>
      <c r="D230" s="2" t="s">
        <v>41</v>
      </c>
      <c r="E230" s="2" t="s">
        <v>18</v>
      </c>
      <c r="F230" s="2">
        <v>98500</v>
      </c>
      <c r="G230" s="2">
        <v>5614</v>
      </c>
      <c r="H230" s="2">
        <v>3424.54</v>
      </c>
      <c r="I230" s="2">
        <v>220</v>
      </c>
      <c r="J230" s="2">
        <v>7676.57</v>
      </c>
    </row>
    <row r="231" spans="1:10" x14ac:dyDescent="0.45">
      <c r="A231" s="2" t="s">
        <v>118</v>
      </c>
      <c r="B231" s="2" t="s">
        <v>20</v>
      </c>
      <c r="C231" s="2" t="s">
        <v>16</v>
      </c>
      <c r="D231" s="2" t="s">
        <v>17</v>
      </c>
      <c r="E231" s="2" t="s">
        <v>18</v>
      </c>
      <c r="F231" s="2">
        <v>41468</v>
      </c>
      <c r="G231" s="2">
        <v>3354</v>
      </c>
      <c r="H231" s="2">
        <v>3722.94</v>
      </c>
      <c r="I231" s="2">
        <v>81</v>
      </c>
      <c r="J231" s="2">
        <v>5215.9399999999996</v>
      </c>
    </row>
    <row r="232" spans="1:10" x14ac:dyDescent="0.45">
      <c r="A232" s="2" t="s">
        <v>43</v>
      </c>
      <c r="B232" s="2" t="s">
        <v>15</v>
      </c>
      <c r="C232" s="2" t="s">
        <v>24</v>
      </c>
      <c r="D232" s="2" t="s">
        <v>25</v>
      </c>
      <c r="E232" s="2" t="s">
        <v>33</v>
      </c>
      <c r="F232" s="2">
        <v>123696</v>
      </c>
      <c r="G232" s="2">
        <v>6531</v>
      </c>
      <c r="H232" s="2">
        <v>16849.98</v>
      </c>
      <c r="I232" s="2">
        <v>466</v>
      </c>
      <c r="J232" s="2">
        <v>62974.93</v>
      </c>
    </row>
    <row r="233" spans="1:10" x14ac:dyDescent="0.45">
      <c r="A233" s="2" t="s">
        <v>175</v>
      </c>
      <c r="B233" s="2" t="s">
        <v>35</v>
      </c>
      <c r="C233" s="2" t="s">
        <v>28</v>
      </c>
      <c r="D233" s="2" t="s">
        <v>21</v>
      </c>
      <c r="E233" s="2" t="s">
        <v>30</v>
      </c>
      <c r="F233" s="2">
        <v>81848</v>
      </c>
      <c r="G233" s="2">
        <v>1694</v>
      </c>
      <c r="H233" s="2">
        <v>2185.2600000000002</v>
      </c>
      <c r="I233" s="2">
        <v>58</v>
      </c>
      <c r="J233" s="2">
        <v>7573.87</v>
      </c>
    </row>
    <row r="234" spans="1:10" x14ac:dyDescent="0.45">
      <c r="A234" s="2" t="s">
        <v>44</v>
      </c>
      <c r="B234" s="2" t="s">
        <v>15</v>
      </c>
      <c r="C234" s="2" t="s">
        <v>38</v>
      </c>
      <c r="D234" s="2" t="s">
        <v>21</v>
      </c>
      <c r="E234" s="2" t="s">
        <v>33</v>
      </c>
      <c r="F234" s="2">
        <v>92923</v>
      </c>
      <c r="G234" s="2">
        <v>1932</v>
      </c>
      <c r="H234" s="2">
        <v>6124.44</v>
      </c>
      <c r="I234" s="2">
        <v>32</v>
      </c>
      <c r="J234" s="2">
        <v>1855.78</v>
      </c>
    </row>
    <row r="235" spans="1:10" x14ac:dyDescent="0.45">
      <c r="A235" s="2" t="s">
        <v>135</v>
      </c>
      <c r="B235" s="2" t="s">
        <v>15</v>
      </c>
      <c r="C235" s="2" t="s">
        <v>28</v>
      </c>
      <c r="D235" s="2" t="s">
        <v>41</v>
      </c>
      <c r="E235" s="2" t="s">
        <v>22</v>
      </c>
      <c r="F235" s="2">
        <v>170732</v>
      </c>
      <c r="G235" s="2">
        <v>7700</v>
      </c>
      <c r="H235" s="2">
        <v>6237</v>
      </c>
      <c r="I235" s="2">
        <v>434</v>
      </c>
      <c r="J235" s="2">
        <v>53677.08</v>
      </c>
    </row>
    <row r="236" spans="1:10" x14ac:dyDescent="0.45">
      <c r="A236" s="2" t="s">
        <v>202</v>
      </c>
      <c r="B236" s="2" t="s">
        <v>15</v>
      </c>
      <c r="C236" s="2" t="s">
        <v>38</v>
      </c>
      <c r="D236" s="2" t="s">
        <v>41</v>
      </c>
      <c r="E236" s="2" t="s">
        <v>54</v>
      </c>
      <c r="F236" s="2">
        <v>86471</v>
      </c>
      <c r="G236" s="2">
        <v>4859</v>
      </c>
      <c r="H236" s="2">
        <v>7628.63</v>
      </c>
      <c r="I236" s="2">
        <v>248</v>
      </c>
      <c r="J236" s="2">
        <v>19852.560000000001</v>
      </c>
    </row>
    <row r="237" spans="1:10" x14ac:dyDescent="0.45">
      <c r="A237" s="2" t="s">
        <v>122</v>
      </c>
      <c r="B237" s="2" t="s">
        <v>35</v>
      </c>
      <c r="C237" s="2" t="s">
        <v>38</v>
      </c>
      <c r="D237" s="2" t="s">
        <v>21</v>
      </c>
      <c r="E237" s="2" t="s">
        <v>22</v>
      </c>
      <c r="F237" s="2">
        <v>115986</v>
      </c>
      <c r="G237" s="2">
        <v>1357</v>
      </c>
      <c r="H237" s="2">
        <v>2008.36</v>
      </c>
      <c r="I237" s="2">
        <v>79</v>
      </c>
      <c r="J237" s="2">
        <v>8002.44</v>
      </c>
    </row>
    <row r="238" spans="1:10" x14ac:dyDescent="0.45">
      <c r="A238" s="2" t="s">
        <v>203</v>
      </c>
      <c r="B238" s="2" t="s">
        <v>20</v>
      </c>
      <c r="C238" s="2" t="s">
        <v>38</v>
      </c>
      <c r="D238" s="2" t="s">
        <v>25</v>
      </c>
      <c r="E238" s="2" t="s">
        <v>26</v>
      </c>
      <c r="F238" s="2">
        <v>42019</v>
      </c>
      <c r="G238" s="2">
        <v>2979</v>
      </c>
      <c r="H238" s="2">
        <v>4498.29</v>
      </c>
      <c r="I238" s="2">
        <v>234</v>
      </c>
      <c r="J238" s="2">
        <v>56724.23</v>
      </c>
    </row>
    <row r="239" spans="1:10" x14ac:dyDescent="0.45">
      <c r="A239" s="2" t="s">
        <v>138</v>
      </c>
      <c r="B239" s="2" t="s">
        <v>20</v>
      </c>
      <c r="C239" s="2" t="s">
        <v>28</v>
      </c>
      <c r="D239" s="2" t="s">
        <v>21</v>
      </c>
      <c r="E239" s="2" t="s">
        <v>26</v>
      </c>
      <c r="F239" s="2">
        <v>34063</v>
      </c>
      <c r="G239" s="2">
        <v>1243</v>
      </c>
      <c r="H239" s="2">
        <v>472.34</v>
      </c>
      <c r="I239" s="2">
        <v>40</v>
      </c>
      <c r="J239" s="2">
        <v>10897.53</v>
      </c>
    </row>
    <row r="240" spans="1:10" x14ac:dyDescent="0.45">
      <c r="A240" s="2" t="s">
        <v>166</v>
      </c>
      <c r="B240" s="2" t="s">
        <v>20</v>
      </c>
      <c r="C240" s="2" t="s">
        <v>28</v>
      </c>
      <c r="D240" s="2" t="s">
        <v>25</v>
      </c>
      <c r="E240" s="2" t="s">
        <v>54</v>
      </c>
      <c r="F240" s="2">
        <v>107476</v>
      </c>
      <c r="G240" s="2">
        <v>4707</v>
      </c>
      <c r="H240" s="2">
        <v>8001.9</v>
      </c>
      <c r="I240" s="2">
        <v>293</v>
      </c>
      <c r="J240" s="2">
        <v>72605.27</v>
      </c>
    </row>
    <row r="241" spans="1:10" x14ac:dyDescent="0.45">
      <c r="A241" s="2" t="s">
        <v>204</v>
      </c>
      <c r="B241" s="2" t="s">
        <v>20</v>
      </c>
      <c r="C241" s="2" t="s">
        <v>16</v>
      </c>
      <c r="D241" s="2" t="s">
        <v>17</v>
      </c>
      <c r="E241" s="2" t="s">
        <v>33</v>
      </c>
      <c r="F241" s="2">
        <v>33302</v>
      </c>
      <c r="G241" s="2">
        <v>3007</v>
      </c>
      <c r="H241" s="2">
        <v>841.96</v>
      </c>
      <c r="I241" s="2">
        <v>95</v>
      </c>
      <c r="J241" s="2">
        <v>3253.81</v>
      </c>
    </row>
    <row r="242" spans="1:10" x14ac:dyDescent="0.45">
      <c r="A242" s="2" t="s">
        <v>205</v>
      </c>
      <c r="B242" s="2" t="s">
        <v>15</v>
      </c>
      <c r="C242" s="2" t="s">
        <v>28</v>
      </c>
      <c r="D242" s="2" t="s">
        <v>29</v>
      </c>
      <c r="E242" s="2" t="s">
        <v>26</v>
      </c>
      <c r="F242" s="2">
        <v>70206</v>
      </c>
      <c r="G242" s="2">
        <v>3945</v>
      </c>
      <c r="H242" s="2">
        <v>14202</v>
      </c>
      <c r="I242" s="2">
        <v>248</v>
      </c>
      <c r="J242" s="2">
        <v>37055.99</v>
      </c>
    </row>
    <row r="243" spans="1:10" x14ac:dyDescent="0.45">
      <c r="A243" s="2" t="s">
        <v>136</v>
      </c>
      <c r="B243" s="2" t="s">
        <v>35</v>
      </c>
      <c r="C243" s="2" t="s">
        <v>24</v>
      </c>
      <c r="D243" s="2" t="s">
        <v>41</v>
      </c>
      <c r="E243" s="2" t="s">
        <v>30</v>
      </c>
      <c r="F243" s="2">
        <v>16094</v>
      </c>
      <c r="G243" s="2">
        <v>616</v>
      </c>
      <c r="H243" s="2">
        <v>1410.64</v>
      </c>
      <c r="I243" s="2">
        <v>40</v>
      </c>
      <c r="J243" s="2">
        <v>8923.08</v>
      </c>
    </row>
    <row r="244" spans="1:10" x14ac:dyDescent="0.45">
      <c r="A244" s="2" t="s">
        <v>206</v>
      </c>
      <c r="B244" s="2" t="s">
        <v>35</v>
      </c>
      <c r="C244" s="2" t="s">
        <v>24</v>
      </c>
      <c r="D244" s="2" t="s">
        <v>17</v>
      </c>
      <c r="E244" s="2" t="s">
        <v>18</v>
      </c>
      <c r="F244" s="2">
        <v>182718</v>
      </c>
      <c r="G244" s="2">
        <v>2558</v>
      </c>
      <c r="H244" s="2">
        <v>3478.88</v>
      </c>
      <c r="I244" s="2">
        <v>124</v>
      </c>
      <c r="J244" s="2">
        <v>28756.15</v>
      </c>
    </row>
    <row r="245" spans="1:10" x14ac:dyDescent="0.45">
      <c r="A245" s="2" t="s">
        <v>207</v>
      </c>
      <c r="B245" s="2" t="s">
        <v>20</v>
      </c>
      <c r="C245" s="2" t="s">
        <v>16</v>
      </c>
      <c r="D245" s="2" t="s">
        <v>21</v>
      </c>
      <c r="E245" s="2" t="s">
        <v>51</v>
      </c>
      <c r="F245" s="2">
        <v>66169</v>
      </c>
      <c r="G245" s="2">
        <v>2057</v>
      </c>
      <c r="H245" s="2">
        <v>3064.93</v>
      </c>
      <c r="I245" s="2">
        <v>136</v>
      </c>
      <c r="J245" s="2">
        <v>39364.99</v>
      </c>
    </row>
    <row r="246" spans="1:10" x14ac:dyDescent="0.45">
      <c r="A246" s="2" t="s">
        <v>208</v>
      </c>
      <c r="B246" s="2" t="s">
        <v>35</v>
      </c>
      <c r="C246" s="2" t="s">
        <v>28</v>
      </c>
      <c r="D246" s="2" t="s">
        <v>29</v>
      </c>
      <c r="E246" s="2" t="s">
        <v>51</v>
      </c>
      <c r="F246" s="2">
        <v>24404</v>
      </c>
      <c r="G246" s="2">
        <v>710</v>
      </c>
      <c r="H246" s="2">
        <v>433.1</v>
      </c>
      <c r="I246" s="2">
        <v>10</v>
      </c>
      <c r="J246" s="2">
        <v>923.15</v>
      </c>
    </row>
    <row r="247" spans="1:10" x14ac:dyDescent="0.45">
      <c r="A247" s="2" t="s">
        <v>59</v>
      </c>
      <c r="B247" s="2" t="s">
        <v>20</v>
      </c>
      <c r="C247" s="2" t="s">
        <v>28</v>
      </c>
      <c r="D247" s="2" t="s">
        <v>21</v>
      </c>
      <c r="E247" s="2" t="s">
        <v>54</v>
      </c>
      <c r="F247" s="2">
        <v>30517</v>
      </c>
      <c r="G247" s="2">
        <v>2575</v>
      </c>
      <c r="H247" s="2">
        <v>2060</v>
      </c>
      <c r="I247" s="2">
        <v>205</v>
      </c>
      <c r="J247" s="2">
        <v>7811.94</v>
      </c>
    </row>
    <row r="248" spans="1:10" x14ac:dyDescent="0.45">
      <c r="A248" s="2" t="s">
        <v>109</v>
      </c>
      <c r="B248" s="2" t="s">
        <v>20</v>
      </c>
      <c r="C248" s="2" t="s">
        <v>24</v>
      </c>
      <c r="D248" s="2" t="s">
        <v>41</v>
      </c>
      <c r="E248" s="2" t="s">
        <v>54</v>
      </c>
      <c r="F248" s="2">
        <v>145148</v>
      </c>
      <c r="G248" s="2">
        <v>5762</v>
      </c>
      <c r="H248" s="2">
        <v>8585.3799999999992</v>
      </c>
      <c r="I248" s="2">
        <v>213</v>
      </c>
      <c r="J248" s="2">
        <v>10475.219999999999</v>
      </c>
    </row>
    <row r="249" spans="1:10" x14ac:dyDescent="0.45">
      <c r="A249" s="2" t="s">
        <v>209</v>
      </c>
      <c r="B249" s="2" t="s">
        <v>15</v>
      </c>
      <c r="C249" s="2" t="s">
        <v>38</v>
      </c>
      <c r="D249" s="2" t="s">
        <v>17</v>
      </c>
      <c r="E249" s="2" t="s">
        <v>30</v>
      </c>
      <c r="F249" s="2">
        <v>37101</v>
      </c>
      <c r="G249" s="2">
        <v>2166</v>
      </c>
      <c r="H249" s="2">
        <v>6389.7</v>
      </c>
      <c r="I249" s="2">
        <v>45</v>
      </c>
      <c r="J249" s="2">
        <v>3868.37</v>
      </c>
    </row>
    <row r="250" spans="1:10" x14ac:dyDescent="0.45">
      <c r="A250" s="2" t="s">
        <v>210</v>
      </c>
      <c r="B250" s="2" t="s">
        <v>35</v>
      </c>
      <c r="C250" s="2" t="s">
        <v>16</v>
      </c>
      <c r="D250" s="2" t="s">
        <v>21</v>
      </c>
      <c r="E250" s="2" t="s">
        <v>22</v>
      </c>
      <c r="F250" s="2">
        <v>151480</v>
      </c>
      <c r="G250" s="2">
        <v>2514</v>
      </c>
      <c r="H250" s="2">
        <v>5178.84</v>
      </c>
      <c r="I250" s="2">
        <v>72</v>
      </c>
      <c r="J250" s="2">
        <v>4076.45</v>
      </c>
    </row>
    <row r="251" spans="1:10" x14ac:dyDescent="0.45">
      <c r="A251" s="2" t="s">
        <v>36</v>
      </c>
      <c r="B251" s="2" t="s">
        <v>20</v>
      </c>
      <c r="C251" s="2" t="s">
        <v>24</v>
      </c>
      <c r="D251" s="2" t="s">
        <v>21</v>
      </c>
      <c r="E251" s="2" t="s">
        <v>51</v>
      </c>
      <c r="F251" s="2">
        <v>159813</v>
      </c>
      <c r="G251" s="2">
        <v>7575</v>
      </c>
      <c r="H251" s="2">
        <v>6817.5</v>
      </c>
      <c r="I251" s="2">
        <v>319</v>
      </c>
      <c r="J251" s="2">
        <v>35965.699999999997</v>
      </c>
    </row>
    <row r="252" spans="1:10" x14ac:dyDescent="0.45">
      <c r="A252" s="2" t="s">
        <v>211</v>
      </c>
      <c r="B252" s="2" t="s">
        <v>20</v>
      </c>
      <c r="C252" s="2" t="s">
        <v>38</v>
      </c>
      <c r="D252" s="2" t="s">
        <v>25</v>
      </c>
      <c r="E252" s="2" t="s">
        <v>22</v>
      </c>
      <c r="F252" s="2">
        <v>135956</v>
      </c>
      <c r="G252" s="2">
        <v>11529</v>
      </c>
      <c r="H252" s="2">
        <v>5764.5</v>
      </c>
      <c r="I252" s="2">
        <v>732</v>
      </c>
      <c r="J252" s="2">
        <v>207824.45</v>
      </c>
    </row>
    <row r="253" spans="1:10" x14ac:dyDescent="0.45">
      <c r="A253" s="2" t="s">
        <v>212</v>
      </c>
      <c r="B253" s="2" t="s">
        <v>15</v>
      </c>
      <c r="C253" s="2" t="s">
        <v>16</v>
      </c>
      <c r="D253" s="2" t="s">
        <v>29</v>
      </c>
      <c r="E253" s="2" t="s">
        <v>18</v>
      </c>
      <c r="F253" s="2">
        <v>70982</v>
      </c>
      <c r="G253" s="2">
        <v>2548</v>
      </c>
      <c r="H253" s="2">
        <v>7338.24</v>
      </c>
      <c r="I253" s="2">
        <v>117</v>
      </c>
      <c r="J253" s="2">
        <v>32045.18</v>
      </c>
    </row>
    <row r="254" spans="1:10" x14ac:dyDescent="0.45">
      <c r="A254" s="2" t="s">
        <v>213</v>
      </c>
      <c r="B254" s="2" t="s">
        <v>20</v>
      </c>
      <c r="C254" s="2" t="s">
        <v>16</v>
      </c>
      <c r="D254" s="2" t="s">
        <v>25</v>
      </c>
      <c r="E254" s="2" t="s">
        <v>51</v>
      </c>
      <c r="F254" s="2">
        <v>132992</v>
      </c>
      <c r="G254" s="2">
        <v>7926</v>
      </c>
      <c r="H254" s="2">
        <v>5072.6400000000003</v>
      </c>
      <c r="I254" s="2">
        <v>553</v>
      </c>
      <c r="J254" s="2">
        <v>41271.279999999999</v>
      </c>
    </row>
    <row r="255" spans="1:10" x14ac:dyDescent="0.45">
      <c r="A255" s="2" t="s">
        <v>45</v>
      </c>
      <c r="B255" s="2" t="s">
        <v>20</v>
      </c>
      <c r="C255" s="2" t="s">
        <v>24</v>
      </c>
      <c r="D255" s="2" t="s">
        <v>25</v>
      </c>
      <c r="E255" s="2" t="s">
        <v>51</v>
      </c>
      <c r="F255" s="2">
        <v>13597</v>
      </c>
      <c r="G255" s="2">
        <v>747</v>
      </c>
      <c r="H255" s="2">
        <v>1426.77</v>
      </c>
      <c r="I255" s="2">
        <v>25</v>
      </c>
      <c r="J255" s="2">
        <v>5673.88</v>
      </c>
    </row>
    <row r="256" spans="1:10" x14ac:dyDescent="0.45">
      <c r="A256" s="2" t="s">
        <v>214</v>
      </c>
      <c r="B256" s="2" t="s">
        <v>35</v>
      </c>
      <c r="C256" s="2" t="s">
        <v>16</v>
      </c>
      <c r="D256" s="2" t="s">
        <v>21</v>
      </c>
      <c r="E256" s="2" t="s">
        <v>26</v>
      </c>
      <c r="F256" s="2">
        <v>199472</v>
      </c>
      <c r="G256" s="2">
        <v>5286</v>
      </c>
      <c r="H256" s="2">
        <v>6977.52</v>
      </c>
      <c r="I256" s="2">
        <v>192</v>
      </c>
      <c r="J256" s="2">
        <v>17789.77</v>
      </c>
    </row>
    <row r="257" spans="1:10" x14ac:dyDescent="0.45">
      <c r="A257" s="2" t="s">
        <v>62</v>
      </c>
      <c r="B257" s="2" t="s">
        <v>15</v>
      </c>
      <c r="C257" s="2" t="s">
        <v>16</v>
      </c>
      <c r="D257" s="2" t="s">
        <v>25</v>
      </c>
      <c r="E257" s="2" t="s">
        <v>26</v>
      </c>
      <c r="F257" s="2">
        <v>108751</v>
      </c>
      <c r="G257" s="2">
        <v>5459</v>
      </c>
      <c r="H257" s="2">
        <v>7806.37</v>
      </c>
      <c r="I257" s="2">
        <v>345</v>
      </c>
      <c r="J257" s="2">
        <v>24740.95</v>
      </c>
    </row>
    <row r="258" spans="1:10" x14ac:dyDescent="0.45">
      <c r="A258" s="2" t="s">
        <v>145</v>
      </c>
      <c r="B258" s="2" t="s">
        <v>35</v>
      </c>
      <c r="C258" s="2" t="s">
        <v>38</v>
      </c>
      <c r="D258" s="2" t="s">
        <v>41</v>
      </c>
      <c r="E258" s="2" t="s">
        <v>51</v>
      </c>
      <c r="F258" s="2">
        <v>175591</v>
      </c>
      <c r="G258" s="2">
        <v>5864</v>
      </c>
      <c r="H258" s="2">
        <v>2580.16</v>
      </c>
      <c r="I258" s="2">
        <v>333</v>
      </c>
      <c r="J258" s="2">
        <v>52097.57</v>
      </c>
    </row>
    <row r="259" spans="1:10" x14ac:dyDescent="0.45">
      <c r="A259" s="2" t="s">
        <v>175</v>
      </c>
      <c r="B259" s="2" t="s">
        <v>20</v>
      </c>
      <c r="C259" s="2" t="s">
        <v>16</v>
      </c>
      <c r="D259" s="2" t="s">
        <v>21</v>
      </c>
      <c r="E259" s="2" t="s">
        <v>51</v>
      </c>
      <c r="F259" s="2">
        <v>36027</v>
      </c>
      <c r="G259" s="2">
        <v>2770</v>
      </c>
      <c r="H259" s="2">
        <v>2991.6</v>
      </c>
      <c r="I259" s="2">
        <v>205</v>
      </c>
      <c r="J259" s="2">
        <v>16618.849999999999</v>
      </c>
    </row>
    <row r="260" spans="1:10" x14ac:dyDescent="0.45">
      <c r="A260" s="2" t="s">
        <v>215</v>
      </c>
      <c r="B260" s="2" t="s">
        <v>20</v>
      </c>
      <c r="C260" s="2" t="s">
        <v>28</v>
      </c>
      <c r="D260" s="2" t="s">
        <v>41</v>
      </c>
      <c r="E260" s="2" t="s">
        <v>33</v>
      </c>
      <c r="F260" s="2">
        <v>57265</v>
      </c>
      <c r="G260" s="2">
        <v>2302</v>
      </c>
      <c r="H260" s="2">
        <v>2992.6</v>
      </c>
      <c r="I260" s="2">
        <v>85</v>
      </c>
      <c r="J260" s="2">
        <v>4068.49</v>
      </c>
    </row>
    <row r="261" spans="1:10" x14ac:dyDescent="0.45">
      <c r="A261" s="2" t="s">
        <v>216</v>
      </c>
      <c r="B261" s="2" t="s">
        <v>15</v>
      </c>
      <c r="C261" s="2" t="s">
        <v>28</v>
      </c>
      <c r="D261" s="2" t="s">
        <v>17</v>
      </c>
      <c r="E261" s="2" t="s">
        <v>51</v>
      </c>
      <c r="F261" s="2">
        <v>161904</v>
      </c>
      <c r="G261" s="2">
        <v>4727</v>
      </c>
      <c r="H261" s="2">
        <v>7752.28</v>
      </c>
      <c r="I261" s="2">
        <v>263</v>
      </c>
      <c r="J261" s="2">
        <v>21545.93</v>
      </c>
    </row>
    <row r="262" spans="1:10" x14ac:dyDescent="0.45">
      <c r="A262" s="2" t="s">
        <v>217</v>
      </c>
      <c r="B262" s="2" t="s">
        <v>15</v>
      </c>
      <c r="C262" s="2" t="s">
        <v>38</v>
      </c>
      <c r="D262" s="2" t="s">
        <v>25</v>
      </c>
      <c r="E262" s="2" t="s">
        <v>33</v>
      </c>
      <c r="F262" s="2">
        <v>49757</v>
      </c>
      <c r="G262" s="2">
        <v>1243</v>
      </c>
      <c r="H262" s="2">
        <v>3903.02</v>
      </c>
      <c r="I262" s="2">
        <v>39</v>
      </c>
      <c r="J262" s="2">
        <v>4749.8999999999996</v>
      </c>
    </row>
    <row r="263" spans="1:10" x14ac:dyDescent="0.45">
      <c r="A263" s="2" t="s">
        <v>218</v>
      </c>
      <c r="B263" s="2" t="s">
        <v>15</v>
      </c>
      <c r="C263" s="2" t="s">
        <v>24</v>
      </c>
      <c r="D263" s="2" t="s">
        <v>21</v>
      </c>
      <c r="E263" s="2" t="s">
        <v>26</v>
      </c>
      <c r="F263" s="2">
        <v>168623</v>
      </c>
      <c r="G263" s="2">
        <v>6896</v>
      </c>
      <c r="H263" s="2">
        <v>9792.32</v>
      </c>
      <c r="I263" s="2">
        <v>200</v>
      </c>
      <c r="J263" s="2">
        <v>24436.959999999999</v>
      </c>
    </row>
    <row r="264" spans="1:10" x14ac:dyDescent="0.45">
      <c r="A264" s="2" t="s">
        <v>115</v>
      </c>
      <c r="B264" s="2" t="s">
        <v>35</v>
      </c>
      <c r="C264" s="2" t="s">
        <v>24</v>
      </c>
      <c r="D264" s="2" t="s">
        <v>29</v>
      </c>
      <c r="E264" s="2" t="s">
        <v>33</v>
      </c>
      <c r="F264" s="2">
        <v>98079</v>
      </c>
      <c r="G264" s="2">
        <v>3226</v>
      </c>
      <c r="H264" s="2">
        <v>7032.68</v>
      </c>
      <c r="I264" s="2">
        <v>44</v>
      </c>
      <c r="J264" s="2">
        <v>1401.71</v>
      </c>
    </row>
    <row r="265" spans="1:10" x14ac:dyDescent="0.45">
      <c r="A265" s="2" t="s">
        <v>87</v>
      </c>
      <c r="B265" s="2" t="s">
        <v>15</v>
      </c>
      <c r="C265" s="2" t="s">
        <v>16</v>
      </c>
      <c r="D265" s="2" t="s">
        <v>21</v>
      </c>
      <c r="E265" s="2" t="s">
        <v>22</v>
      </c>
      <c r="F265" s="2">
        <v>11305</v>
      </c>
      <c r="G265" s="2">
        <v>562</v>
      </c>
      <c r="H265" s="2">
        <v>966.64</v>
      </c>
      <c r="I265" s="2">
        <v>42</v>
      </c>
      <c r="J265" s="2">
        <v>8107.06</v>
      </c>
    </row>
    <row r="266" spans="1:10" x14ac:dyDescent="0.45">
      <c r="A266" s="2" t="s">
        <v>219</v>
      </c>
      <c r="B266" s="2" t="s">
        <v>20</v>
      </c>
      <c r="C266" s="2" t="s">
        <v>28</v>
      </c>
      <c r="D266" s="2" t="s">
        <v>25</v>
      </c>
      <c r="E266" s="2" t="s">
        <v>51</v>
      </c>
      <c r="F266" s="2">
        <v>109188</v>
      </c>
      <c r="G266" s="2">
        <v>6354</v>
      </c>
      <c r="H266" s="2">
        <v>8006.04</v>
      </c>
      <c r="I266" s="2">
        <v>216</v>
      </c>
      <c r="J266" s="2">
        <v>49228.57</v>
      </c>
    </row>
    <row r="267" spans="1:10" x14ac:dyDescent="0.45">
      <c r="A267" s="2" t="s">
        <v>34</v>
      </c>
      <c r="B267" s="2" t="s">
        <v>35</v>
      </c>
      <c r="C267" s="2" t="s">
        <v>38</v>
      </c>
      <c r="D267" s="2" t="s">
        <v>25</v>
      </c>
      <c r="E267" s="2" t="s">
        <v>30</v>
      </c>
      <c r="F267" s="2">
        <v>73309</v>
      </c>
      <c r="G267" s="2">
        <v>2323</v>
      </c>
      <c r="H267" s="2">
        <v>1393.8</v>
      </c>
      <c r="I267" s="2">
        <v>39</v>
      </c>
      <c r="J267" s="2">
        <v>1966.71</v>
      </c>
    </row>
    <row r="268" spans="1:10" x14ac:dyDescent="0.45">
      <c r="A268" s="2" t="s">
        <v>52</v>
      </c>
      <c r="B268" s="2" t="s">
        <v>15</v>
      </c>
      <c r="C268" s="2" t="s">
        <v>24</v>
      </c>
      <c r="D268" s="2" t="s">
        <v>25</v>
      </c>
      <c r="E268" s="2" t="s">
        <v>51</v>
      </c>
      <c r="F268" s="2">
        <v>81996</v>
      </c>
      <c r="G268" s="2">
        <v>1508</v>
      </c>
      <c r="H268" s="2">
        <v>3513.64</v>
      </c>
      <c r="I268" s="2">
        <v>75</v>
      </c>
      <c r="J268" s="2">
        <v>8251.24</v>
      </c>
    </row>
    <row r="269" spans="1:10" x14ac:dyDescent="0.45">
      <c r="A269" s="2" t="s">
        <v>220</v>
      </c>
      <c r="B269" s="2" t="s">
        <v>20</v>
      </c>
      <c r="C269" s="2" t="s">
        <v>38</v>
      </c>
      <c r="D269" s="2" t="s">
        <v>21</v>
      </c>
      <c r="E269" s="2" t="s">
        <v>22</v>
      </c>
      <c r="F269" s="2">
        <v>122192</v>
      </c>
      <c r="G269" s="2">
        <v>4398</v>
      </c>
      <c r="H269" s="2">
        <v>4354.0200000000004</v>
      </c>
      <c r="I269" s="2">
        <v>348</v>
      </c>
      <c r="J269" s="2">
        <v>64414.080000000002</v>
      </c>
    </row>
    <row r="270" spans="1:10" x14ac:dyDescent="0.45">
      <c r="A270" s="2" t="s">
        <v>221</v>
      </c>
      <c r="B270" s="2" t="s">
        <v>15</v>
      </c>
      <c r="C270" s="2" t="s">
        <v>38</v>
      </c>
      <c r="D270" s="2" t="s">
        <v>29</v>
      </c>
      <c r="E270" s="2" t="s">
        <v>18</v>
      </c>
      <c r="F270" s="2">
        <v>79960</v>
      </c>
      <c r="G270" s="2">
        <v>1591</v>
      </c>
      <c r="H270" s="2">
        <v>1638.73</v>
      </c>
      <c r="I270" s="2">
        <v>55</v>
      </c>
      <c r="J270" s="2">
        <v>15206.45</v>
      </c>
    </row>
    <row r="271" spans="1:10" x14ac:dyDescent="0.45">
      <c r="A271" s="2" t="s">
        <v>197</v>
      </c>
      <c r="B271" s="2" t="s">
        <v>35</v>
      </c>
      <c r="C271" s="2" t="s">
        <v>38</v>
      </c>
      <c r="D271" s="2" t="s">
        <v>25</v>
      </c>
      <c r="E271" s="2" t="s">
        <v>54</v>
      </c>
      <c r="F271" s="2">
        <v>188804</v>
      </c>
      <c r="G271" s="2">
        <v>5267</v>
      </c>
      <c r="H271" s="2">
        <v>11060.7</v>
      </c>
      <c r="I271" s="2">
        <v>64</v>
      </c>
      <c r="J271" s="2">
        <v>10138.299999999999</v>
      </c>
    </row>
    <row r="272" spans="1:10" x14ac:dyDescent="0.45">
      <c r="A272" s="2" t="s">
        <v>144</v>
      </c>
      <c r="B272" s="2" t="s">
        <v>35</v>
      </c>
      <c r="C272" s="2" t="s">
        <v>38</v>
      </c>
      <c r="D272" s="2" t="s">
        <v>17</v>
      </c>
      <c r="E272" s="2" t="s">
        <v>22</v>
      </c>
      <c r="F272" s="2">
        <v>80139</v>
      </c>
      <c r="G272" s="2">
        <v>2436</v>
      </c>
      <c r="H272" s="2">
        <v>3848.88</v>
      </c>
      <c r="I272" s="2">
        <v>37</v>
      </c>
      <c r="J272" s="2">
        <v>4653.12</v>
      </c>
    </row>
    <row r="273" spans="1:10" x14ac:dyDescent="0.45">
      <c r="A273" s="2" t="s">
        <v>47</v>
      </c>
      <c r="B273" s="2" t="s">
        <v>35</v>
      </c>
      <c r="C273" s="2" t="s">
        <v>28</v>
      </c>
      <c r="D273" s="2" t="s">
        <v>29</v>
      </c>
      <c r="E273" s="2" t="s">
        <v>30</v>
      </c>
      <c r="F273" s="2">
        <v>51999</v>
      </c>
      <c r="G273" s="2">
        <v>930</v>
      </c>
      <c r="H273" s="2">
        <v>1116</v>
      </c>
      <c r="I273" s="2">
        <v>13</v>
      </c>
      <c r="J273" s="2">
        <v>1777.36</v>
      </c>
    </row>
    <row r="274" spans="1:10" x14ac:dyDescent="0.45">
      <c r="A274" s="2" t="s">
        <v>222</v>
      </c>
      <c r="B274" s="2" t="s">
        <v>15</v>
      </c>
      <c r="C274" s="2" t="s">
        <v>24</v>
      </c>
      <c r="D274" s="2" t="s">
        <v>21</v>
      </c>
      <c r="E274" s="2" t="s">
        <v>51</v>
      </c>
      <c r="F274" s="2">
        <v>119527</v>
      </c>
      <c r="G274" s="2">
        <v>6597</v>
      </c>
      <c r="H274" s="2">
        <v>20450.7</v>
      </c>
      <c r="I274" s="2">
        <v>497</v>
      </c>
      <c r="J274" s="2">
        <v>137884.47</v>
      </c>
    </row>
    <row r="275" spans="1:10" x14ac:dyDescent="0.45">
      <c r="A275" s="2" t="s">
        <v>223</v>
      </c>
      <c r="B275" s="2" t="s">
        <v>35</v>
      </c>
      <c r="C275" s="2" t="s">
        <v>16</v>
      </c>
      <c r="D275" s="2" t="s">
        <v>17</v>
      </c>
      <c r="E275" s="2" t="s">
        <v>51</v>
      </c>
      <c r="F275" s="2">
        <v>194073</v>
      </c>
      <c r="G275" s="2">
        <v>6346</v>
      </c>
      <c r="H275" s="2">
        <v>11422.8</v>
      </c>
      <c r="I275" s="2">
        <v>168</v>
      </c>
      <c r="J275" s="2">
        <v>9921.3799999999992</v>
      </c>
    </row>
    <row r="276" spans="1:10" x14ac:dyDescent="0.45">
      <c r="A276" s="2" t="s">
        <v>106</v>
      </c>
      <c r="B276" s="2" t="s">
        <v>20</v>
      </c>
      <c r="C276" s="2" t="s">
        <v>38</v>
      </c>
      <c r="D276" s="2" t="s">
        <v>29</v>
      </c>
      <c r="E276" s="2" t="s">
        <v>22</v>
      </c>
      <c r="F276" s="2">
        <v>55599</v>
      </c>
      <c r="G276" s="2">
        <v>3697</v>
      </c>
      <c r="H276" s="2">
        <v>6063.08</v>
      </c>
      <c r="I276" s="2">
        <v>217</v>
      </c>
      <c r="J276" s="2">
        <v>25513.42</v>
      </c>
    </row>
    <row r="277" spans="1:10" x14ac:dyDescent="0.45">
      <c r="A277" s="2" t="s">
        <v>198</v>
      </c>
      <c r="B277" s="2" t="s">
        <v>15</v>
      </c>
      <c r="C277" s="2" t="s">
        <v>24</v>
      </c>
      <c r="D277" s="2" t="s">
        <v>25</v>
      </c>
      <c r="E277" s="2" t="s">
        <v>51</v>
      </c>
      <c r="F277" s="2">
        <v>176541</v>
      </c>
      <c r="G277" s="2">
        <v>4378</v>
      </c>
      <c r="H277" s="2">
        <v>12564.86</v>
      </c>
      <c r="I277" s="2">
        <v>175</v>
      </c>
      <c r="J277" s="2">
        <v>19637.27</v>
      </c>
    </row>
    <row r="278" spans="1:10" x14ac:dyDescent="0.45">
      <c r="A278" s="2" t="s">
        <v>87</v>
      </c>
      <c r="B278" s="2" t="s">
        <v>15</v>
      </c>
      <c r="C278" s="2" t="s">
        <v>38</v>
      </c>
      <c r="D278" s="2" t="s">
        <v>17</v>
      </c>
      <c r="E278" s="2" t="s">
        <v>18</v>
      </c>
      <c r="F278" s="2">
        <v>118710</v>
      </c>
      <c r="G278" s="2">
        <v>4036</v>
      </c>
      <c r="H278" s="2">
        <v>10009.280000000001</v>
      </c>
      <c r="I278" s="2">
        <v>235</v>
      </c>
      <c r="J278" s="2">
        <v>28657.57</v>
      </c>
    </row>
    <row r="279" spans="1:10" x14ac:dyDescent="0.45">
      <c r="A279" s="2" t="s">
        <v>136</v>
      </c>
      <c r="B279" s="2" t="s">
        <v>20</v>
      </c>
      <c r="C279" s="2" t="s">
        <v>16</v>
      </c>
      <c r="D279" s="2" t="s">
        <v>17</v>
      </c>
      <c r="E279" s="2" t="s">
        <v>30</v>
      </c>
      <c r="F279" s="2">
        <v>113297</v>
      </c>
      <c r="G279" s="2">
        <v>9675</v>
      </c>
      <c r="H279" s="2">
        <v>17511.75</v>
      </c>
      <c r="I279" s="2">
        <v>380</v>
      </c>
      <c r="J279" s="2">
        <v>16593.87</v>
      </c>
    </row>
    <row r="280" spans="1:10" x14ac:dyDescent="0.45">
      <c r="A280" s="2" t="s">
        <v>224</v>
      </c>
      <c r="B280" s="2" t="s">
        <v>15</v>
      </c>
      <c r="C280" s="2" t="s">
        <v>16</v>
      </c>
      <c r="D280" s="2" t="s">
        <v>17</v>
      </c>
      <c r="E280" s="2" t="s">
        <v>22</v>
      </c>
      <c r="F280" s="2">
        <v>6881</v>
      </c>
      <c r="G280" s="2">
        <v>357</v>
      </c>
      <c r="H280" s="2">
        <v>817.53</v>
      </c>
      <c r="I280" s="2">
        <v>5</v>
      </c>
      <c r="J280" s="2">
        <v>872.75</v>
      </c>
    </row>
    <row r="281" spans="1:10" x14ac:dyDescent="0.45">
      <c r="A281" s="2" t="s">
        <v>125</v>
      </c>
      <c r="B281" s="2" t="s">
        <v>35</v>
      </c>
      <c r="C281" s="2" t="s">
        <v>28</v>
      </c>
      <c r="D281" s="2" t="s">
        <v>21</v>
      </c>
      <c r="E281" s="2" t="s">
        <v>30</v>
      </c>
      <c r="F281" s="2">
        <v>121477</v>
      </c>
      <c r="G281" s="2">
        <v>1834</v>
      </c>
      <c r="H281" s="2">
        <v>898.66</v>
      </c>
      <c r="I281" s="2">
        <v>98</v>
      </c>
      <c r="J281" s="2">
        <v>10542.66</v>
      </c>
    </row>
    <row r="282" spans="1:10" x14ac:dyDescent="0.45">
      <c r="A282" s="2" t="s">
        <v>225</v>
      </c>
      <c r="B282" s="2" t="s">
        <v>15</v>
      </c>
      <c r="C282" s="2" t="s">
        <v>38</v>
      </c>
      <c r="D282" s="2" t="s">
        <v>29</v>
      </c>
      <c r="E282" s="2" t="s">
        <v>54</v>
      </c>
      <c r="F282" s="2">
        <v>188419</v>
      </c>
      <c r="G282" s="2">
        <v>10231</v>
      </c>
      <c r="H282" s="2">
        <v>21996.65</v>
      </c>
      <c r="I282" s="2">
        <v>754</v>
      </c>
      <c r="J282" s="2">
        <v>134062.71</v>
      </c>
    </row>
    <row r="283" spans="1:10" x14ac:dyDescent="0.45">
      <c r="A283" s="2" t="s">
        <v>226</v>
      </c>
      <c r="B283" s="2" t="s">
        <v>35</v>
      </c>
      <c r="C283" s="2" t="s">
        <v>24</v>
      </c>
      <c r="D283" s="2" t="s">
        <v>21</v>
      </c>
      <c r="E283" s="2" t="s">
        <v>22</v>
      </c>
      <c r="F283" s="2">
        <v>46743</v>
      </c>
      <c r="G283" s="2">
        <v>1523</v>
      </c>
      <c r="H283" s="2">
        <v>1218.4000000000001</v>
      </c>
      <c r="I283" s="2">
        <v>51</v>
      </c>
      <c r="J283" s="2">
        <v>5825.03</v>
      </c>
    </row>
    <row r="284" spans="1:10" x14ac:dyDescent="0.45">
      <c r="A284" s="2" t="s">
        <v>227</v>
      </c>
      <c r="B284" s="2" t="s">
        <v>15</v>
      </c>
      <c r="C284" s="2" t="s">
        <v>24</v>
      </c>
      <c r="D284" s="2" t="s">
        <v>17</v>
      </c>
      <c r="E284" s="2" t="s">
        <v>51</v>
      </c>
      <c r="F284" s="2">
        <v>93302</v>
      </c>
      <c r="G284" s="2">
        <v>4058</v>
      </c>
      <c r="H284" s="2">
        <v>3286.98</v>
      </c>
      <c r="I284" s="2">
        <v>50</v>
      </c>
      <c r="J284" s="2">
        <v>14861.71</v>
      </c>
    </row>
    <row r="285" spans="1:10" x14ac:dyDescent="0.45">
      <c r="A285" s="2" t="s">
        <v>228</v>
      </c>
      <c r="B285" s="2" t="s">
        <v>15</v>
      </c>
      <c r="C285" s="2" t="s">
        <v>16</v>
      </c>
      <c r="D285" s="2" t="s">
        <v>29</v>
      </c>
      <c r="E285" s="2" t="s">
        <v>54</v>
      </c>
      <c r="F285" s="2">
        <v>140747</v>
      </c>
      <c r="G285" s="2">
        <v>8571</v>
      </c>
      <c r="H285" s="2">
        <v>27855.75</v>
      </c>
      <c r="I285" s="2">
        <v>332</v>
      </c>
      <c r="J285" s="2">
        <v>48279.89</v>
      </c>
    </row>
    <row r="286" spans="1:10" x14ac:dyDescent="0.45">
      <c r="A286" s="2" t="s">
        <v>229</v>
      </c>
      <c r="B286" s="2" t="s">
        <v>15</v>
      </c>
      <c r="C286" s="2" t="s">
        <v>16</v>
      </c>
      <c r="D286" s="2" t="s">
        <v>25</v>
      </c>
      <c r="E286" s="2" t="s">
        <v>54</v>
      </c>
      <c r="F286" s="2">
        <v>36831</v>
      </c>
      <c r="G286" s="2">
        <v>1572</v>
      </c>
      <c r="H286" s="2">
        <v>5423.4</v>
      </c>
      <c r="I286" s="2">
        <v>48</v>
      </c>
      <c r="J286" s="2">
        <v>4165.7299999999996</v>
      </c>
    </row>
    <row r="287" spans="1:10" x14ac:dyDescent="0.45">
      <c r="A287" s="2" t="s">
        <v>37</v>
      </c>
      <c r="B287" s="2" t="s">
        <v>20</v>
      </c>
      <c r="C287" s="2" t="s">
        <v>38</v>
      </c>
      <c r="D287" s="2" t="s">
        <v>29</v>
      </c>
      <c r="E287" s="2" t="s">
        <v>30</v>
      </c>
      <c r="F287" s="2">
        <v>146842</v>
      </c>
      <c r="G287" s="2">
        <v>10646</v>
      </c>
      <c r="H287" s="2">
        <v>13094.58</v>
      </c>
      <c r="I287" s="2">
        <v>615</v>
      </c>
      <c r="J287" s="2">
        <v>113988.39</v>
      </c>
    </row>
    <row r="288" spans="1:10" x14ac:dyDescent="0.45">
      <c r="A288" s="2" t="s">
        <v>36</v>
      </c>
      <c r="B288" s="2" t="s">
        <v>35</v>
      </c>
      <c r="C288" s="2" t="s">
        <v>38</v>
      </c>
      <c r="D288" s="2" t="s">
        <v>21</v>
      </c>
      <c r="E288" s="2" t="s">
        <v>26</v>
      </c>
      <c r="F288" s="2">
        <v>69892</v>
      </c>
      <c r="G288" s="2">
        <v>2851</v>
      </c>
      <c r="H288" s="2">
        <v>2223.7800000000002</v>
      </c>
      <c r="I288" s="2">
        <v>52</v>
      </c>
      <c r="J288" s="2">
        <v>11407.42</v>
      </c>
    </row>
    <row r="289" spans="1:10" x14ac:dyDescent="0.45">
      <c r="A289" s="2" t="s">
        <v>230</v>
      </c>
      <c r="B289" s="2" t="s">
        <v>15</v>
      </c>
      <c r="C289" s="2" t="s">
        <v>28</v>
      </c>
      <c r="D289" s="2" t="s">
        <v>29</v>
      </c>
      <c r="E289" s="2" t="s">
        <v>22</v>
      </c>
      <c r="F289" s="2">
        <v>118985</v>
      </c>
      <c r="G289" s="2">
        <v>4545</v>
      </c>
      <c r="H289" s="2">
        <v>14680.35</v>
      </c>
      <c r="I289" s="2">
        <v>259</v>
      </c>
      <c r="J289" s="2">
        <v>58417.120000000003</v>
      </c>
    </row>
    <row r="290" spans="1:10" x14ac:dyDescent="0.45">
      <c r="A290" s="2" t="s">
        <v>231</v>
      </c>
      <c r="B290" s="2" t="s">
        <v>35</v>
      </c>
      <c r="C290" s="2" t="s">
        <v>38</v>
      </c>
      <c r="D290" s="2" t="s">
        <v>41</v>
      </c>
      <c r="E290" s="2" t="s">
        <v>51</v>
      </c>
      <c r="F290" s="2">
        <v>12452</v>
      </c>
      <c r="G290" s="2">
        <v>280</v>
      </c>
      <c r="H290" s="2">
        <v>344.4</v>
      </c>
      <c r="I290" s="2">
        <v>18</v>
      </c>
      <c r="J290" s="2">
        <v>4734.22</v>
      </c>
    </row>
    <row r="291" spans="1:10" x14ac:dyDescent="0.45">
      <c r="A291" s="2" t="s">
        <v>19</v>
      </c>
      <c r="B291" s="2" t="s">
        <v>15</v>
      </c>
      <c r="C291" s="2" t="s">
        <v>38</v>
      </c>
      <c r="D291" s="2" t="s">
        <v>21</v>
      </c>
      <c r="E291" s="2" t="s">
        <v>18</v>
      </c>
      <c r="F291" s="2">
        <v>85077</v>
      </c>
      <c r="G291" s="2">
        <v>4032</v>
      </c>
      <c r="H291" s="2">
        <v>11450.88</v>
      </c>
      <c r="I291" s="2">
        <v>253</v>
      </c>
      <c r="J291" s="2">
        <v>13168.69</v>
      </c>
    </row>
    <row r="292" spans="1:10" x14ac:dyDescent="0.45">
      <c r="A292" s="2" t="s">
        <v>116</v>
      </c>
      <c r="B292" s="2" t="s">
        <v>20</v>
      </c>
      <c r="C292" s="2" t="s">
        <v>16</v>
      </c>
      <c r="D292" s="2" t="s">
        <v>17</v>
      </c>
      <c r="E292" s="2" t="s">
        <v>51</v>
      </c>
      <c r="F292" s="2">
        <v>39782</v>
      </c>
      <c r="G292" s="2">
        <v>3393</v>
      </c>
      <c r="H292" s="2">
        <v>5802.03</v>
      </c>
      <c r="I292" s="2">
        <v>143</v>
      </c>
      <c r="J292" s="2">
        <v>23555.27</v>
      </c>
    </row>
    <row r="293" spans="1:10" x14ac:dyDescent="0.45">
      <c r="A293" s="2" t="s">
        <v>166</v>
      </c>
      <c r="B293" s="2" t="s">
        <v>15</v>
      </c>
      <c r="C293" s="2" t="s">
        <v>24</v>
      </c>
      <c r="D293" s="2" t="s">
        <v>21</v>
      </c>
      <c r="E293" s="2" t="s">
        <v>54</v>
      </c>
      <c r="F293" s="2">
        <v>192135</v>
      </c>
      <c r="G293" s="2">
        <v>10663</v>
      </c>
      <c r="H293" s="2">
        <v>18980.14</v>
      </c>
      <c r="I293" s="2">
        <v>741</v>
      </c>
      <c r="J293" s="2">
        <v>213823.35999999999</v>
      </c>
    </row>
    <row r="294" spans="1:10" x14ac:dyDescent="0.45">
      <c r="A294" s="2" t="s">
        <v>109</v>
      </c>
      <c r="B294" s="2" t="s">
        <v>35</v>
      </c>
      <c r="C294" s="2" t="s">
        <v>16</v>
      </c>
      <c r="D294" s="2" t="s">
        <v>25</v>
      </c>
      <c r="E294" s="2" t="s">
        <v>51</v>
      </c>
      <c r="F294" s="2">
        <v>156317</v>
      </c>
      <c r="G294" s="2">
        <v>5924</v>
      </c>
      <c r="H294" s="2">
        <v>4206.04</v>
      </c>
      <c r="I294" s="2">
        <v>464</v>
      </c>
      <c r="J294" s="2">
        <v>64623.96</v>
      </c>
    </row>
    <row r="295" spans="1:10" x14ac:dyDescent="0.45">
      <c r="A295" s="2" t="s">
        <v>232</v>
      </c>
      <c r="B295" s="2" t="s">
        <v>15</v>
      </c>
      <c r="C295" s="2" t="s">
        <v>28</v>
      </c>
      <c r="D295" s="2" t="s">
        <v>17</v>
      </c>
      <c r="E295" s="2" t="s">
        <v>30</v>
      </c>
      <c r="F295" s="2">
        <v>39754</v>
      </c>
      <c r="G295" s="2">
        <v>2007</v>
      </c>
      <c r="H295" s="2">
        <v>4676.3100000000004</v>
      </c>
      <c r="I295" s="2">
        <v>108</v>
      </c>
      <c r="J295" s="2">
        <v>6981.98</v>
      </c>
    </row>
    <row r="296" spans="1:10" x14ac:dyDescent="0.45">
      <c r="A296" s="2" t="s">
        <v>233</v>
      </c>
      <c r="B296" s="2" t="s">
        <v>35</v>
      </c>
      <c r="C296" s="2" t="s">
        <v>28</v>
      </c>
      <c r="D296" s="2" t="s">
        <v>21</v>
      </c>
      <c r="E296" s="2" t="s">
        <v>18</v>
      </c>
      <c r="F296" s="2">
        <v>84526</v>
      </c>
      <c r="G296" s="2">
        <v>2214</v>
      </c>
      <c r="H296" s="2">
        <v>974.16</v>
      </c>
      <c r="I296" s="2">
        <v>117</v>
      </c>
      <c r="J296" s="2">
        <v>30360.22</v>
      </c>
    </row>
    <row r="297" spans="1:10" x14ac:dyDescent="0.45">
      <c r="A297" s="2" t="s">
        <v>159</v>
      </c>
      <c r="B297" s="2" t="s">
        <v>15</v>
      </c>
      <c r="C297" s="2" t="s">
        <v>28</v>
      </c>
      <c r="D297" s="2" t="s">
        <v>29</v>
      </c>
      <c r="E297" s="2" t="s">
        <v>22</v>
      </c>
      <c r="F297" s="2">
        <v>159226</v>
      </c>
      <c r="G297" s="2">
        <v>5206</v>
      </c>
      <c r="H297" s="2">
        <v>5049.82</v>
      </c>
      <c r="I297" s="2">
        <v>137</v>
      </c>
      <c r="J297" s="2">
        <v>27701.27</v>
      </c>
    </row>
    <row r="298" spans="1:10" x14ac:dyDescent="0.45">
      <c r="A298" s="2" t="s">
        <v>234</v>
      </c>
      <c r="B298" s="2" t="s">
        <v>20</v>
      </c>
      <c r="C298" s="2" t="s">
        <v>38</v>
      </c>
      <c r="D298" s="2" t="s">
        <v>29</v>
      </c>
      <c r="E298" s="2" t="s">
        <v>33</v>
      </c>
      <c r="F298" s="2">
        <v>178503</v>
      </c>
      <c r="G298" s="2">
        <v>9639</v>
      </c>
      <c r="H298" s="2">
        <v>5397.84</v>
      </c>
      <c r="I298" s="2">
        <v>146</v>
      </c>
      <c r="J298" s="2">
        <v>40162.93</v>
      </c>
    </row>
    <row r="299" spans="1:10" x14ac:dyDescent="0.45">
      <c r="A299" s="2" t="s">
        <v>235</v>
      </c>
      <c r="B299" s="2" t="s">
        <v>20</v>
      </c>
      <c r="C299" s="2" t="s">
        <v>28</v>
      </c>
      <c r="D299" s="2" t="s">
        <v>29</v>
      </c>
      <c r="E299" s="2" t="s">
        <v>51</v>
      </c>
      <c r="F299" s="2">
        <v>176946</v>
      </c>
      <c r="G299" s="2">
        <v>13784</v>
      </c>
      <c r="H299" s="2">
        <v>11854.24</v>
      </c>
      <c r="I299" s="2">
        <v>743</v>
      </c>
      <c r="J299" s="2">
        <v>208986.19</v>
      </c>
    </row>
    <row r="300" spans="1:10" x14ac:dyDescent="0.45">
      <c r="A300" s="2" t="s">
        <v>236</v>
      </c>
      <c r="B300" s="2" t="s">
        <v>35</v>
      </c>
      <c r="C300" s="2" t="s">
        <v>38</v>
      </c>
      <c r="D300" s="2" t="s">
        <v>17</v>
      </c>
      <c r="E300" s="2" t="s">
        <v>30</v>
      </c>
      <c r="F300" s="2">
        <v>163124</v>
      </c>
      <c r="G300" s="2">
        <v>4273</v>
      </c>
      <c r="H300" s="2">
        <v>3888.43</v>
      </c>
      <c r="I300" s="2">
        <v>239</v>
      </c>
      <c r="J300" s="2">
        <v>71554.77</v>
      </c>
    </row>
    <row r="301" spans="1:10" x14ac:dyDescent="0.45">
      <c r="A301" s="2" t="s">
        <v>203</v>
      </c>
      <c r="B301" s="2" t="s">
        <v>35</v>
      </c>
      <c r="C301" s="2" t="s">
        <v>38</v>
      </c>
      <c r="D301" s="2" t="s">
        <v>21</v>
      </c>
      <c r="E301" s="2" t="s">
        <v>18</v>
      </c>
      <c r="F301" s="2">
        <v>150486</v>
      </c>
      <c r="G301" s="2">
        <v>6230</v>
      </c>
      <c r="H301" s="2">
        <v>7538.3</v>
      </c>
      <c r="I301" s="2">
        <v>243</v>
      </c>
      <c r="J301" s="2">
        <v>55217.61</v>
      </c>
    </row>
    <row r="302" spans="1:10" x14ac:dyDescent="0.45">
      <c r="A302" s="2" t="s">
        <v>77</v>
      </c>
      <c r="B302" s="2" t="s">
        <v>15</v>
      </c>
      <c r="C302" s="2" t="s">
        <v>16</v>
      </c>
      <c r="D302" s="2" t="s">
        <v>41</v>
      </c>
      <c r="E302" s="2" t="s">
        <v>22</v>
      </c>
      <c r="F302" s="2">
        <v>88384</v>
      </c>
      <c r="G302" s="2">
        <v>3641</v>
      </c>
      <c r="H302" s="2">
        <v>4442.0200000000004</v>
      </c>
      <c r="I302" s="2">
        <v>89</v>
      </c>
      <c r="J302" s="2">
        <v>4077.32</v>
      </c>
    </row>
    <row r="303" spans="1:10" x14ac:dyDescent="0.45">
      <c r="A303" s="2" t="s">
        <v>86</v>
      </c>
      <c r="B303" s="2" t="s">
        <v>35</v>
      </c>
      <c r="C303" s="2" t="s">
        <v>38</v>
      </c>
      <c r="D303" s="2" t="s">
        <v>29</v>
      </c>
      <c r="E303" s="2" t="s">
        <v>26</v>
      </c>
      <c r="F303" s="2">
        <v>74922</v>
      </c>
      <c r="G303" s="2">
        <v>1333</v>
      </c>
      <c r="H303" s="2">
        <v>1759.56</v>
      </c>
      <c r="I303" s="2">
        <v>95</v>
      </c>
      <c r="J303" s="2">
        <v>17171.740000000002</v>
      </c>
    </row>
    <row r="304" spans="1:10" x14ac:dyDescent="0.45">
      <c r="A304" s="2" t="s">
        <v>181</v>
      </c>
      <c r="B304" s="2" t="s">
        <v>20</v>
      </c>
      <c r="C304" s="2" t="s">
        <v>24</v>
      </c>
      <c r="D304" s="2" t="s">
        <v>21</v>
      </c>
      <c r="E304" s="2" t="s">
        <v>18</v>
      </c>
      <c r="F304" s="2">
        <v>188846</v>
      </c>
      <c r="G304" s="2">
        <v>12671</v>
      </c>
      <c r="H304" s="2">
        <v>17359.27</v>
      </c>
      <c r="I304" s="2">
        <v>821</v>
      </c>
      <c r="J304" s="2">
        <v>86047.94</v>
      </c>
    </row>
    <row r="305" spans="1:10" x14ac:dyDescent="0.45">
      <c r="A305" s="2" t="s">
        <v>137</v>
      </c>
      <c r="B305" s="2" t="s">
        <v>20</v>
      </c>
      <c r="C305" s="2" t="s">
        <v>16</v>
      </c>
      <c r="D305" s="2" t="s">
        <v>29</v>
      </c>
      <c r="E305" s="2" t="s">
        <v>22</v>
      </c>
      <c r="F305" s="2">
        <v>10209</v>
      </c>
      <c r="G305" s="2">
        <v>314</v>
      </c>
      <c r="H305" s="2">
        <v>562.05999999999995</v>
      </c>
      <c r="I305" s="2">
        <v>13</v>
      </c>
      <c r="J305" s="2">
        <v>3231.96</v>
      </c>
    </row>
    <row r="306" spans="1:10" x14ac:dyDescent="0.45">
      <c r="A306" s="2" t="s">
        <v>237</v>
      </c>
      <c r="B306" s="2" t="s">
        <v>20</v>
      </c>
      <c r="C306" s="2" t="s">
        <v>24</v>
      </c>
      <c r="D306" s="2" t="s">
        <v>41</v>
      </c>
      <c r="E306" s="2" t="s">
        <v>51</v>
      </c>
      <c r="F306" s="2">
        <v>31140</v>
      </c>
      <c r="G306" s="2">
        <v>1712</v>
      </c>
      <c r="H306" s="2">
        <v>2294.08</v>
      </c>
      <c r="I306" s="2">
        <v>63</v>
      </c>
      <c r="J306" s="2">
        <v>5569.82</v>
      </c>
    </row>
    <row r="307" spans="1:10" x14ac:dyDescent="0.45">
      <c r="A307" s="2" t="s">
        <v>238</v>
      </c>
      <c r="B307" s="2" t="s">
        <v>35</v>
      </c>
      <c r="C307" s="2" t="s">
        <v>24</v>
      </c>
      <c r="D307" s="2" t="s">
        <v>29</v>
      </c>
      <c r="E307" s="2" t="s">
        <v>33</v>
      </c>
      <c r="F307" s="2">
        <v>46850</v>
      </c>
      <c r="G307" s="2">
        <v>983</v>
      </c>
      <c r="H307" s="2">
        <v>1553.14</v>
      </c>
      <c r="I307" s="2">
        <v>38</v>
      </c>
      <c r="J307" s="2">
        <v>10968.52</v>
      </c>
    </row>
    <row r="308" spans="1:10" x14ac:dyDescent="0.45">
      <c r="A308" s="2" t="s">
        <v>239</v>
      </c>
      <c r="B308" s="2" t="s">
        <v>35</v>
      </c>
      <c r="C308" s="2" t="s">
        <v>28</v>
      </c>
      <c r="D308" s="2" t="s">
        <v>21</v>
      </c>
      <c r="E308" s="2" t="s">
        <v>33</v>
      </c>
      <c r="F308" s="2">
        <v>17720</v>
      </c>
      <c r="G308" s="2">
        <v>287</v>
      </c>
      <c r="H308" s="2">
        <v>404.67</v>
      </c>
      <c r="I308" s="2">
        <v>4</v>
      </c>
      <c r="J308" s="2">
        <v>597.17999999999995</v>
      </c>
    </row>
    <row r="309" spans="1:10" x14ac:dyDescent="0.45">
      <c r="A309" s="2" t="s">
        <v>240</v>
      </c>
      <c r="B309" s="2" t="s">
        <v>15</v>
      </c>
      <c r="C309" s="2" t="s">
        <v>24</v>
      </c>
      <c r="D309" s="2" t="s">
        <v>29</v>
      </c>
      <c r="E309" s="2" t="s">
        <v>30</v>
      </c>
      <c r="F309" s="2">
        <v>16781</v>
      </c>
      <c r="G309" s="2">
        <v>684</v>
      </c>
      <c r="H309" s="2">
        <v>889.2</v>
      </c>
      <c r="I309" s="2">
        <v>8</v>
      </c>
      <c r="J309" s="2">
        <v>1435.11</v>
      </c>
    </row>
    <row r="310" spans="1:10" x14ac:dyDescent="0.45">
      <c r="A310" s="2" t="s">
        <v>78</v>
      </c>
      <c r="B310" s="2" t="s">
        <v>35</v>
      </c>
      <c r="C310" s="2" t="s">
        <v>24</v>
      </c>
      <c r="D310" s="2" t="s">
        <v>41</v>
      </c>
      <c r="E310" s="2" t="s">
        <v>30</v>
      </c>
      <c r="F310" s="2">
        <v>61652</v>
      </c>
      <c r="G310" s="2">
        <v>2614</v>
      </c>
      <c r="H310" s="2">
        <v>3345.92</v>
      </c>
      <c r="I310" s="2">
        <v>133</v>
      </c>
      <c r="J310" s="2">
        <v>20303.14</v>
      </c>
    </row>
    <row r="311" spans="1:10" x14ac:dyDescent="0.45">
      <c r="A311" s="2" t="s">
        <v>241</v>
      </c>
      <c r="B311" s="2" t="s">
        <v>35</v>
      </c>
      <c r="C311" s="2" t="s">
        <v>38</v>
      </c>
      <c r="D311" s="2" t="s">
        <v>21</v>
      </c>
      <c r="E311" s="2" t="s">
        <v>26</v>
      </c>
      <c r="F311" s="2">
        <v>194933</v>
      </c>
      <c r="G311" s="2">
        <v>4054</v>
      </c>
      <c r="H311" s="2">
        <v>8229.6200000000008</v>
      </c>
      <c r="I311" s="2">
        <v>197</v>
      </c>
      <c r="J311" s="2">
        <v>9992.76</v>
      </c>
    </row>
    <row r="312" spans="1:10" x14ac:dyDescent="0.45">
      <c r="A312" s="2" t="s">
        <v>242</v>
      </c>
      <c r="B312" s="2" t="s">
        <v>15</v>
      </c>
      <c r="C312" s="2" t="s">
        <v>16</v>
      </c>
      <c r="D312" s="2" t="s">
        <v>21</v>
      </c>
      <c r="E312" s="2" t="s">
        <v>33</v>
      </c>
      <c r="F312" s="2">
        <v>100386</v>
      </c>
      <c r="G312" s="2">
        <v>5250</v>
      </c>
      <c r="H312" s="2">
        <v>5145</v>
      </c>
      <c r="I312" s="2">
        <v>254</v>
      </c>
      <c r="J312" s="2">
        <v>73673.45</v>
      </c>
    </row>
    <row r="313" spans="1:10" x14ac:dyDescent="0.45">
      <c r="A313" s="2" t="s">
        <v>131</v>
      </c>
      <c r="B313" s="2" t="s">
        <v>15</v>
      </c>
      <c r="C313" s="2" t="s">
        <v>16</v>
      </c>
      <c r="D313" s="2" t="s">
        <v>25</v>
      </c>
      <c r="E313" s="2" t="s">
        <v>18</v>
      </c>
      <c r="F313" s="2">
        <v>50203</v>
      </c>
      <c r="G313" s="2">
        <v>1390</v>
      </c>
      <c r="H313" s="2">
        <v>2710.5</v>
      </c>
      <c r="I313" s="2">
        <v>47</v>
      </c>
      <c r="J313" s="2">
        <v>11338.98</v>
      </c>
    </row>
    <row r="314" spans="1:10" x14ac:dyDescent="0.45">
      <c r="A314" s="2" t="s">
        <v>243</v>
      </c>
      <c r="B314" s="2" t="s">
        <v>20</v>
      </c>
      <c r="C314" s="2" t="s">
        <v>16</v>
      </c>
      <c r="D314" s="2" t="s">
        <v>29</v>
      </c>
      <c r="E314" s="2" t="s">
        <v>51</v>
      </c>
      <c r="F314" s="2">
        <v>85428</v>
      </c>
      <c r="G314" s="2">
        <v>5134</v>
      </c>
      <c r="H314" s="2">
        <v>4415.24</v>
      </c>
      <c r="I314" s="2">
        <v>202</v>
      </c>
      <c r="J314" s="2">
        <v>37603.74</v>
      </c>
    </row>
    <row r="315" spans="1:10" x14ac:dyDescent="0.45">
      <c r="A315" s="2" t="s">
        <v>164</v>
      </c>
      <c r="B315" s="2" t="s">
        <v>20</v>
      </c>
      <c r="C315" s="2" t="s">
        <v>24</v>
      </c>
      <c r="D315" s="2" t="s">
        <v>21</v>
      </c>
      <c r="E315" s="2" t="s">
        <v>18</v>
      </c>
      <c r="F315" s="2">
        <v>192428</v>
      </c>
      <c r="G315" s="2">
        <v>9967</v>
      </c>
      <c r="H315" s="2">
        <v>15947.2</v>
      </c>
      <c r="I315" s="2">
        <v>570</v>
      </c>
      <c r="J315" s="2">
        <v>78044.55</v>
      </c>
    </row>
    <row r="316" spans="1:10" x14ac:dyDescent="0.45">
      <c r="A316" s="2" t="s">
        <v>215</v>
      </c>
      <c r="B316" s="2" t="s">
        <v>15</v>
      </c>
      <c r="C316" s="2" t="s">
        <v>28</v>
      </c>
      <c r="D316" s="2" t="s">
        <v>25</v>
      </c>
      <c r="E316" s="2" t="s">
        <v>22</v>
      </c>
      <c r="F316" s="2">
        <v>33756</v>
      </c>
      <c r="G316" s="2">
        <v>2150</v>
      </c>
      <c r="H316" s="2">
        <v>4665.5</v>
      </c>
      <c r="I316" s="2">
        <v>108</v>
      </c>
      <c r="J316" s="2">
        <v>7948.11</v>
      </c>
    </row>
    <row r="317" spans="1:10" x14ac:dyDescent="0.45">
      <c r="A317" s="2" t="s">
        <v>244</v>
      </c>
      <c r="B317" s="2" t="s">
        <v>35</v>
      </c>
      <c r="C317" s="2" t="s">
        <v>24</v>
      </c>
      <c r="D317" s="2" t="s">
        <v>17</v>
      </c>
      <c r="E317" s="2" t="s">
        <v>18</v>
      </c>
      <c r="F317" s="2">
        <v>103162</v>
      </c>
      <c r="G317" s="2">
        <v>1485</v>
      </c>
      <c r="H317" s="2">
        <v>1440.45</v>
      </c>
      <c r="I317" s="2">
        <v>35</v>
      </c>
      <c r="J317" s="2">
        <v>5899.5</v>
      </c>
    </row>
    <row r="318" spans="1:10" x14ac:dyDescent="0.45">
      <c r="A318" s="2" t="s">
        <v>245</v>
      </c>
      <c r="B318" s="2" t="s">
        <v>15</v>
      </c>
      <c r="C318" s="2" t="s">
        <v>16</v>
      </c>
      <c r="D318" s="2" t="s">
        <v>21</v>
      </c>
      <c r="E318" s="2" t="s">
        <v>18</v>
      </c>
      <c r="F318" s="2">
        <v>142844</v>
      </c>
      <c r="G318" s="2">
        <v>2971</v>
      </c>
      <c r="H318" s="2">
        <v>5020.99</v>
      </c>
      <c r="I318" s="2">
        <v>95</v>
      </c>
      <c r="J318" s="2">
        <v>5534.94</v>
      </c>
    </row>
    <row r="319" spans="1:10" x14ac:dyDescent="0.45">
      <c r="A319" s="2" t="s">
        <v>246</v>
      </c>
      <c r="B319" s="2" t="s">
        <v>15</v>
      </c>
      <c r="C319" s="2" t="s">
        <v>16</v>
      </c>
      <c r="D319" s="2" t="s">
        <v>17</v>
      </c>
      <c r="E319" s="2" t="s">
        <v>26</v>
      </c>
      <c r="F319" s="2">
        <v>50201</v>
      </c>
      <c r="G319" s="2">
        <v>2198</v>
      </c>
      <c r="H319" s="2">
        <v>4945.5</v>
      </c>
      <c r="I319" s="2">
        <v>112</v>
      </c>
      <c r="J319" s="2">
        <v>12918.19</v>
      </c>
    </row>
    <row r="320" spans="1:10" x14ac:dyDescent="0.45">
      <c r="A320" s="2" t="s">
        <v>247</v>
      </c>
      <c r="B320" s="2" t="s">
        <v>35</v>
      </c>
      <c r="C320" s="2" t="s">
        <v>24</v>
      </c>
      <c r="D320" s="2" t="s">
        <v>17</v>
      </c>
      <c r="E320" s="2" t="s">
        <v>26</v>
      </c>
      <c r="F320" s="2">
        <v>143421</v>
      </c>
      <c r="G320" s="2">
        <v>3542</v>
      </c>
      <c r="H320" s="2">
        <v>3046.12</v>
      </c>
      <c r="I320" s="2">
        <v>181</v>
      </c>
      <c r="J320" s="2">
        <v>26273.040000000001</v>
      </c>
    </row>
    <row r="321" spans="1:10" x14ac:dyDescent="0.45">
      <c r="A321" s="2" t="s">
        <v>248</v>
      </c>
      <c r="B321" s="2" t="s">
        <v>35</v>
      </c>
      <c r="C321" s="2" t="s">
        <v>28</v>
      </c>
      <c r="D321" s="2" t="s">
        <v>17</v>
      </c>
      <c r="E321" s="2" t="s">
        <v>54</v>
      </c>
      <c r="F321" s="2">
        <v>71537</v>
      </c>
      <c r="G321" s="2">
        <v>1809</v>
      </c>
      <c r="H321" s="2">
        <v>2984.85</v>
      </c>
      <c r="I321" s="2">
        <v>57</v>
      </c>
      <c r="J321" s="2">
        <v>6227.5</v>
      </c>
    </row>
    <row r="322" spans="1:10" x14ac:dyDescent="0.45">
      <c r="A322" s="2" t="s">
        <v>249</v>
      </c>
      <c r="B322" s="2" t="s">
        <v>15</v>
      </c>
      <c r="C322" s="2" t="s">
        <v>24</v>
      </c>
      <c r="D322" s="2" t="s">
        <v>17</v>
      </c>
      <c r="E322" s="2" t="s">
        <v>26</v>
      </c>
      <c r="F322" s="2">
        <v>198604</v>
      </c>
      <c r="G322" s="2">
        <v>8162</v>
      </c>
      <c r="H322" s="2">
        <v>25302.2</v>
      </c>
      <c r="I322" s="2">
        <v>584</v>
      </c>
      <c r="J322" s="2">
        <v>25281.15</v>
      </c>
    </row>
    <row r="323" spans="1:10" x14ac:dyDescent="0.45">
      <c r="A323" s="2" t="s">
        <v>100</v>
      </c>
      <c r="B323" s="2" t="s">
        <v>15</v>
      </c>
      <c r="C323" s="2" t="s">
        <v>16</v>
      </c>
      <c r="D323" s="2" t="s">
        <v>25</v>
      </c>
      <c r="E323" s="2" t="s">
        <v>33</v>
      </c>
      <c r="F323" s="2">
        <v>114028</v>
      </c>
      <c r="G323" s="2">
        <v>3112</v>
      </c>
      <c r="H323" s="2">
        <v>4232.32</v>
      </c>
      <c r="I323" s="2">
        <v>120</v>
      </c>
      <c r="J323" s="2">
        <v>10393.959999999999</v>
      </c>
    </row>
    <row r="324" spans="1:10" x14ac:dyDescent="0.45">
      <c r="A324" s="2" t="s">
        <v>81</v>
      </c>
      <c r="B324" s="2" t="s">
        <v>20</v>
      </c>
      <c r="C324" s="2" t="s">
        <v>24</v>
      </c>
      <c r="D324" s="2" t="s">
        <v>25</v>
      </c>
      <c r="E324" s="2" t="s">
        <v>54</v>
      </c>
      <c r="F324" s="2">
        <v>180309</v>
      </c>
      <c r="G324" s="2">
        <v>5823</v>
      </c>
      <c r="H324" s="2">
        <v>3784.95</v>
      </c>
      <c r="I324" s="2">
        <v>232</v>
      </c>
      <c r="J324" s="2">
        <v>46549.68</v>
      </c>
    </row>
    <row r="325" spans="1:10" x14ac:dyDescent="0.45">
      <c r="A325" s="2" t="s">
        <v>160</v>
      </c>
      <c r="B325" s="2" t="s">
        <v>35</v>
      </c>
      <c r="C325" s="2" t="s">
        <v>24</v>
      </c>
      <c r="D325" s="2" t="s">
        <v>29</v>
      </c>
      <c r="E325" s="2" t="s">
        <v>33</v>
      </c>
      <c r="F325" s="2">
        <v>168402</v>
      </c>
      <c r="G325" s="2">
        <v>5237</v>
      </c>
      <c r="H325" s="2">
        <v>4451.45</v>
      </c>
      <c r="I325" s="2">
        <v>188</v>
      </c>
      <c r="J325" s="2">
        <v>43774.92</v>
      </c>
    </row>
    <row r="326" spans="1:10" x14ac:dyDescent="0.45">
      <c r="A326" s="2" t="s">
        <v>195</v>
      </c>
      <c r="B326" s="2" t="s">
        <v>20</v>
      </c>
      <c r="C326" s="2" t="s">
        <v>24</v>
      </c>
      <c r="D326" s="2" t="s">
        <v>41</v>
      </c>
      <c r="E326" s="2" t="s">
        <v>33</v>
      </c>
      <c r="F326" s="2">
        <v>125419</v>
      </c>
      <c r="G326" s="2">
        <v>4126</v>
      </c>
      <c r="H326" s="2">
        <v>3507.1</v>
      </c>
      <c r="I326" s="2">
        <v>294</v>
      </c>
      <c r="J326" s="2">
        <v>32829.78</v>
      </c>
    </row>
    <row r="327" spans="1:10" x14ac:dyDescent="0.45">
      <c r="A327" s="2" t="s">
        <v>250</v>
      </c>
      <c r="B327" s="2" t="s">
        <v>20</v>
      </c>
      <c r="C327" s="2" t="s">
        <v>24</v>
      </c>
      <c r="D327" s="2" t="s">
        <v>29</v>
      </c>
      <c r="E327" s="2" t="s">
        <v>22</v>
      </c>
      <c r="F327" s="2">
        <v>123680</v>
      </c>
      <c r="G327" s="2">
        <v>8373</v>
      </c>
      <c r="H327" s="2">
        <v>5023.8</v>
      </c>
      <c r="I327" s="2">
        <v>263</v>
      </c>
      <c r="J327" s="2">
        <v>12412.26</v>
      </c>
    </row>
    <row r="328" spans="1:10" x14ac:dyDescent="0.45">
      <c r="A328" s="2" t="s">
        <v>102</v>
      </c>
      <c r="B328" s="2" t="s">
        <v>15</v>
      </c>
      <c r="C328" s="2" t="s">
        <v>16</v>
      </c>
      <c r="D328" s="2" t="s">
        <v>17</v>
      </c>
      <c r="E328" s="2" t="s">
        <v>22</v>
      </c>
      <c r="F328" s="2">
        <v>117660</v>
      </c>
      <c r="G328" s="2">
        <v>6388</v>
      </c>
      <c r="H328" s="2">
        <v>11562.28</v>
      </c>
      <c r="I328" s="2">
        <v>331</v>
      </c>
      <c r="J328" s="2">
        <v>17255.28</v>
      </c>
    </row>
    <row r="329" spans="1:10" x14ac:dyDescent="0.45">
      <c r="A329" s="2" t="s">
        <v>245</v>
      </c>
      <c r="B329" s="2" t="s">
        <v>35</v>
      </c>
      <c r="C329" s="2" t="s">
        <v>24</v>
      </c>
      <c r="D329" s="2" t="s">
        <v>17</v>
      </c>
      <c r="E329" s="2" t="s">
        <v>33</v>
      </c>
      <c r="F329" s="2">
        <v>76916</v>
      </c>
      <c r="G329" s="2">
        <v>2761</v>
      </c>
      <c r="H329" s="2">
        <v>1960.31</v>
      </c>
      <c r="I329" s="2">
        <v>64</v>
      </c>
      <c r="J329" s="2">
        <v>14368.24</v>
      </c>
    </row>
    <row r="330" spans="1:10" x14ac:dyDescent="0.45">
      <c r="A330" s="2" t="s">
        <v>136</v>
      </c>
      <c r="B330" s="2" t="s">
        <v>35</v>
      </c>
      <c r="C330" s="2" t="s">
        <v>24</v>
      </c>
      <c r="D330" s="2" t="s">
        <v>41</v>
      </c>
      <c r="E330" s="2" t="s">
        <v>33</v>
      </c>
      <c r="F330" s="2">
        <v>150631</v>
      </c>
      <c r="G330" s="2">
        <v>5648</v>
      </c>
      <c r="H330" s="2">
        <v>10957.12</v>
      </c>
      <c r="I330" s="2">
        <v>111</v>
      </c>
      <c r="J330" s="2">
        <v>21671.9</v>
      </c>
    </row>
    <row r="331" spans="1:10" x14ac:dyDescent="0.45">
      <c r="A331" s="2" t="s">
        <v>209</v>
      </c>
      <c r="B331" s="2" t="s">
        <v>15</v>
      </c>
      <c r="C331" s="2" t="s">
        <v>38</v>
      </c>
      <c r="D331" s="2" t="s">
        <v>17</v>
      </c>
      <c r="E331" s="2" t="s">
        <v>54</v>
      </c>
      <c r="F331" s="2">
        <v>126635</v>
      </c>
      <c r="G331" s="2">
        <v>4254</v>
      </c>
      <c r="H331" s="2">
        <v>5657.82</v>
      </c>
      <c r="I331" s="2">
        <v>313</v>
      </c>
      <c r="J331" s="2">
        <v>28110.42</v>
      </c>
    </row>
    <row r="332" spans="1:10" x14ac:dyDescent="0.45">
      <c r="A332" s="2" t="s">
        <v>52</v>
      </c>
      <c r="B332" s="2" t="s">
        <v>15</v>
      </c>
      <c r="C332" s="2" t="s">
        <v>24</v>
      </c>
      <c r="D332" s="2" t="s">
        <v>21</v>
      </c>
      <c r="E332" s="2" t="s">
        <v>51</v>
      </c>
      <c r="F332" s="2">
        <v>159721</v>
      </c>
      <c r="G332" s="2">
        <v>3625</v>
      </c>
      <c r="H332" s="2">
        <v>6923.75</v>
      </c>
      <c r="I332" s="2">
        <v>150</v>
      </c>
      <c r="J332" s="2">
        <v>39701.58</v>
      </c>
    </row>
    <row r="333" spans="1:10" x14ac:dyDescent="0.45">
      <c r="A333" s="2" t="s">
        <v>251</v>
      </c>
      <c r="B333" s="2" t="s">
        <v>35</v>
      </c>
      <c r="C333" s="2" t="s">
        <v>28</v>
      </c>
      <c r="D333" s="2" t="s">
        <v>25</v>
      </c>
      <c r="E333" s="2" t="s">
        <v>18</v>
      </c>
      <c r="F333" s="2">
        <v>150698</v>
      </c>
      <c r="G333" s="2">
        <v>4581</v>
      </c>
      <c r="H333" s="2">
        <v>2336.31</v>
      </c>
      <c r="I333" s="2">
        <v>285</v>
      </c>
      <c r="J333" s="2">
        <v>32525.45</v>
      </c>
    </row>
    <row r="334" spans="1:10" x14ac:dyDescent="0.45">
      <c r="A334" s="2" t="s">
        <v>252</v>
      </c>
      <c r="B334" s="2" t="s">
        <v>20</v>
      </c>
      <c r="C334" s="2" t="s">
        <v>16</v>
      </c>
      <c r="D334" s="2" t="s">
        <v>21</v>
      </c>
      <c r="E334" s="2" t="s">
        <v>33</v>
      </c>
      <c r="F334" s="2">
        <v>98348</v>
      </c>
      <c r="G334" s="2">
        <v>3225</v>
      </c>
      <c r="H334" s="2">
        <v>4095.75</v>
      </c>
      <c r="I334" s="2">
        <v>59</v>
      </c>
      <c r="J334" s="2">
        <v>2846.94</v>
      </c>
    </row>
    <row r="335" spans="1:10" x14ac:dyDescent="0.45">
      <c r="A335" s="2" t="s">
        <v>253</v>
      </c>
      <c r="B335" s="2" t="s">
        <v>35</v>
      </c>
      <c r="C335" s="2" t="s">
        <v>16</v>
      </c>
      <c r="D335" s="2" t="s">
        <v>41</v>
      </c>
      <c r="E335" s="2" t="s">
        <v>26</v>
      </c>
      <c r="F335" s="2">
        <v>110603</v>
      </c>
      <c r="G335" s="2">
        <v>2377</v>
      </c>
      <c r="H335" s="2">
        <v>1640.13</v>
      </c>
      <c r="I335" s="2">
        <v>62</v>
      </c>
      <c r="J335" s="2">
        <v>2761.12</v>
      </c>
    </row>
    <row r="336" spans="1:10" x14ac:dyDescent="0.45">
      <c r="A336" s="2" t="s">
        <v>254</v>
      </c>
      <c r="B336" s="2" t="s">
        <v>15</v>
      </c>
      <c r="C336" s="2" t="s">
        <v>28</v>
      </c>
      <c r="D336" s="2" t="s">
        <v>41</v>
      </c>
      <c r="E336" s="2" t="s">
        <v>18</v>
      </c>
      <c r="F336" s="2">
        <v>76792</v>
      </c>
      <c r="G336" s="2">
        <v>3317</v>
      </c>
      <c r="H336" s="2">
        <v>10282.700000000001</v>
      </c>
      <c r="I336" s="2">
        <v>262</v>
      </c>
      <c r="J336" s="2">
        <v>42043.839999999997</v>
      </c>
    </row>
    <row r="337" spans="1:10" x14ac:dyDescent="0.45">
      <c r="A337" s="2" t="s">
        <v>238</v>
      </c>
      <c r="B337" s="2" t="s">
        <v>20</v>
      </c>
      <c r="C337" s="2" t="s">
        <v>28</v>
      </c>
      <c r="D337" s="2" t="s">
        <v>29</v>
      </c>
      <c r="E337" s="2" t="s">
        <v>26</v>
      </c>
      <c r="F337" s="2">
        <v>44405</v>
      </c>
      <c r="G337" s="2">
        <v>1953</v>
      </c>
      <c r="H337" s="2">
        <v>2988.09</v>
      </c>
      <c r="I337" s="2">
        <v>22</v>
      </c>
      <c r="J337" s="2">
        <v>6030.56</v>
      </c>
    </row>
    <row r="338" spans="1:10" x14ac:dyDescent="0.45">
      <c r="A338" s="2" t="s">
        <v>170</v>
      </c>
      <c r="B338" s="2" t="s">
        <v>15</v>
      </c>
      <c r="C338" s="2" t="s">
        <v>28</v>
      </c>
      <c r="D338" s="2" t="s">
        <v>41</v>
      </c>
      <c r="E338" s="2" t="s">
        <v>51</v>
      </c>
      <c r="F338" s="2">
        <v>49462</v>
      </c>
      <c r="G338" s="2">
        <v>1206</v>
      </c>
      <c r="H338" s="2">
        <v>2351.6999999999998</v>
      </c>
      <c r="I338" s="2">
        <v>74</v>
      </c>
      <c r="J338" s="2">
        <v>12950.09</v>
      </c>
    </row>
    <row r="339" spans="1:10" x14ac:dyDescent="0.45">
      <c r="A339" s="2" t="s">
        <v>140</v>
      </c>
      <c r="B339" s="2" t="s">
        <v>20</v>
      </c>
      <c r="C339" s="2" t="s">
        <v>38</v>
      </c>
      <c r="D339" s="2" t="s">
        <v>29</v>
      </c>
      <c r="E339" s="2" t="s">
        <v>54</v>
      </c>
      <c r="F339" s="2">
        <v>140440</v>
      </c>
      <c r="G339" s="2">
        <v>11825</v>
      </c>
      <c r="H339" s="2">
        <v>8041</v>
      </c>
      <c r="I339" s="2">
        <v>748</v>
      </c>
      <c r="J339" s="2">
        <v>31071.69</v>
      </c>
    </row>
    <row r="340" spans="1:10" x14ac:dyDescent="0.45">
      <c r="A340" s="2" t="s">
        <v>255</v>
      </c>
      <c r="B340" s="2" t="s">
        <v>20</v>
      </c>
      <c r="C340" s="2" t="s">
        <v>38</v>
      </c>
      <c r="D340" s="2" t="s">
        <v>25</v>
      </c>
      <c r="E340" s="2" t="s">
        <v>26</v>
      </c>
      <c r="F340" s="2">
        <v>112392</v>
      </c>
      <c r="G340" s="2">
        <v>4934</v>
      </c>
      <c r="H340" s="2">
        <v>8091.76</v>
      </c>
      <c r="I340" s="2">
        <v>363</v>
      </c>
      <c r="J340" s="2">
        <v>91221.43</v>
      </c>
    </row>
    <row r="341" spans="1:10" x14ac:dyDescent="0.45">
      <c r="A341" s="2" t="s">
        <v>37</v>
      </c>
      <c r="B341" s="2" t="s">
        <v>20</v>
      </c>
      <c r="C341" s="2" t="s">
        <v>28</v>
      </c>
      <c r="D341" s="2" t="s">
        <v>25</v>
      </c>
      <c r="E341" s="2" t="s">
        <v>54</v>
      </c>
      <c r="F341" s="2">
        <v>125654</v>
      </c>
      <c r="G341" s="2">
        <v>8318</v>
      </c>
      <c r="H341" s="2">
        <v>4824.4399999999996</v>
      </c>
      <c r="I341" s="2">
        <v>566</v>
      </c>
      <c r="J341" s="2">
        <v>117035.13</v>
      </c>
    </row>
    <row r="342" spans="1:10" x14ac:dyDescent="0.45">
      <c r="A342" s="2" t="s">
        <v>256</v>
      </c>
      <c r="B342" s="2" t="s">
        <v>35</v>
      </c>
      <c r="C342" s="2" t="s">
        <v>16</v>
      </c>
      <c r="D342" s="2" t="s">
        <v>25</v>
      </c>
      <c r="E342" s="2" t="s">
        <v>22</v>
      </c>
      <c r="F342" s="2">
        <v>167002</v>
      </c>
      <c r="G342" s="2">
        <v>3406</v>
      </c>
      <c r="H342" s="2">
        <v>6232.98</v>
      </c>
      <c r="I342" s="2">
        <v>76</v>
      </c>
      <c r="J342" s="2">
        <v>10328.31</v>
      </c>
    </row>
    <row r="343" spans="1:10" x14ac:dyDescent="0.45">
      <c r="A343" s="2" t="s">
        <v>257</v>
      </c>
      <c r="B343" s="2" t="s">
        <v>20</v>
      </c>
      <c r="C343" s="2" t="s">
        <v>16</v>
      </c>
      <c r="D343" s="2" t="s">
        <v>29</v>
      </c>
      <c r="E343" s="2" t="s">
        <v>54</v>
      </c>
      <c r="F343" s="2">
        <v>108247</v>
      </c>
      <c r="G343" s="2">
        <v>6971</v>
      </c>
      <c r="H343" s="2">
        <v>4112.8900000000003</v>
      </c>
      <c r="I343" s="2">
        <v>517</v>
      </c>
      <c r="J343" s="2">
        <v>139391.79</v>
      </c>
    </row>
    <row r="344" spans="1:10" x14ac:dyDescent="0.45">
      <c r="A344" s="2" t="s">
        <v>252</v>
      </c>
      <c r="B344" s="2" t="s">
        <v>35</v>
      </c>
      <c r="C344" s="2" t="s">
        <v>38</v>
      </c>
      <c r="D344" s="2" t="s">
        <v>17</v>
      </c>
      <c r="E344" s="2" t="s">
        <v>54</v>
      </c>
      <c r="F344" s="2">
        <v>53128</v>
      </c>
      <c r="G344" s="2">
        <v>1678</v>
      </c>
      <c r="H344" s="2">
        <v>2533.7800000000002</v>
      </c>
      <c r="I344" s="2">
        <v>66</v>
      </c>
      <c r="J344" s="2">
        <v>19225.18</v>
      </c>
    </row>
    <row r="345" spans="1:10" x14ac:dyDescent="0.45">
      <c r="A345" s="2" t="s">
        <v>258</v>
      </c>
      <c r="B345" s="2" t="s">
        <v>35</v>
      </c>
      <c r="C345" s="2" t="s">
        <v>24</v>
      </c>
      <c r="D345" s="2" t="s">
        <v>21</v>
      </c>
      <c r="E345" s="2" t="s">
        <v>26</v>
      </c>
      <c r="F345" s="2">
        <v>65942</v>
      </c>
      <c r="G345" s="2">
        <v>2044</v>
      </c>
      <c r="H345" s="2">
        <v>2146.1999999999998</v>
      </c>
      <c r="I345" s="2">
        <v>48</v>
      </c>
      <c r="J345" s="2">
        <v>6784.27</v>
      </c>
    </row>
    <row r="346" spans="1:10" x14ac:dyDescent="0.45">
      <c r="A346" s="2" t="s">
        <v>180</v>
      </c>
      <c r="B346" s="2" t="s">
        <v>15</v>
      </c>
      <c r="C346" s="2" t="s">
        <v>38</v>
      </c>
      <c r="D346" s="2" t="s">
        <v>41</v>
      </c>
      <c r="E346" s="2" t="s">
        <v>33</v>
      </c>
      <c r="F346" s="2">
        <v>32160</v>
      </c>
      <c r="G346" s="2">
        <v>1186</v>
      </c>
      <c r="H346" s="2">
        <v>1589.24</v>
      </c>
      <c r="I346" s="2">
        <v>12</v>
      </c>
      <c r="J346" s="2">
        <v>1927.71</v>
      </c>
    </row>
    <row r="347" spans="1:10" x14ac:dyDescent="0.45">
      <c r="A347" s="2" t="s">
        <v>259</v>
      </c>
      <c r="B347" s="2" t="s">
        <v>15</v>
      </c>
      <c r="C347" s="2" t="s">
        <v>16</v>
      </c>
      <c r="D347" s="2" t="s">
        <v>21</v>
      </c>
      <c r="E347" s="2" t="s">
        <v>26</v>
      </c>
      <c r="F347" s="2">
        <v>58364</v>
      </c>
      <c r="G347" s="2">
        <v>2241</v>
      </c>
      <c r="H347" s="2">
        <v>4975.0200000000004</v>
      </c>
      <c r="I347" s="2">
        <v>136</v>
      </c>
      <c r="J347" s="2">
        <v>15149.72</v>
      </c>
    </row>
    <row r="348" spans="1:10" x14ac:dyDescent="0.45">
      <c r="A348" s="2" t="s">
        <v>81</v>
      </c>
      <c r="B348" s="2" t="s">
        <v>35</v>
      </c>
      <c r="C348" s="2" t="s">
        <v>16</v>
      </c>
      <c r="D348" s="2" t="s">
        <v>41</v>
      </c>
      <c r="E348" s="2" t="s">
        <v>51</v>
      </c>
      <c r="F348" s="2">
        <v>79462</v>
      </c>
      <c r="G348" s="2">
        <v>2058</v>
      </c>
      <c r="H348" s="2">
        <v>1811.04</v>
      </c>
      <c r="I348" s="2">
        <v>146</v>
      </c>
      <c r="J348" s="2">
        <v>7813.85</v>
      </c>
    </row>
    <row r="349" spans="1:10" x14ac:dyDescent="0.45">
      <c r="A349" s="2" t="s">
        <v>260</v>
      </c>
      <c r="B349" s="2" t="s">
        <v>35</v>
      </c>
      <c r="C349" s="2" t="s">
        <v>38</v>
      </c>
      <c r="D349" s="2" t="s">
        <v>29</v>
      </c>
      <c r="E349" s="2" t="s">
        <v>51</v>
      </c>
      <c r="F349" s="2">
        <v>151864</v>
      </c>
      <c r="G349" s="2">
        <v>4358</v>
      </c>
      <c r="H349" s="2">
        <v>7365.02</v>
      </c>
      <c r="I349" s="2">
        <v>175</v>
      </c>
      <c r="J349" s="2">
        <v>45340.29</v>
      </c>
    </row>
    <row r="350" spans="1:10" x14ac:dyDescent="0.45">
      <c r="A350" s="2" t="s">
        <v>76</v>
      </c>
      <c r="B350" s="2" t="s">
        <v>15</v>
      </c>
      <c r="C350" s="2" t="s">
        <v>28</v>
      </c>
      <c r="D350" s="2" t="s">
        <v>21</v>
      </c>
      <c r="E350" s="2" t="s">
        <v>18</v>
      </c>
      <c r="F350" s="2">
        <v>182926</v>
      </c>
      <c r="G350" s="2">
        <v>6749</v>
      </c>
      <c r="H350" s="2">
        <v>13093.06</v>
      </c>
      <c r="I350" s="2">
        <v>343</v>
      </c>
      <c r="J350" s="2">
        <v>53279.93</v>
      </c>
    </row>
    <row r="351" spans="1:10" x14ac:dyDescent="0.45">
      <c r="A351" s="2" t="s">
        <v>179</v>
      </c>
      <c r="B351" s="2" t="s">
        <v>35</v>
      </c>
      <c r="C351" s="2" t="s">
        <v>28</v>
      </c>
      <c r="D351" s="2" t="s">
        <v>41</v>
      </c>
      <c r="E351" s="2" t="s">
        <v>51</v>
      </c>
      <c r="F351" s="2">
        <v>107489</v>
      </c>
      <c r="G351" s="2">
        <v>2515</v>
      </c>
      <c r="H351" s="2">
        <v>3521</v>
      </c>
      <c r="I351" s="2">
        <v>166</v>
      </c>
      <c r="J351" s="2">
        <v>18411.150000000001</v>
      </c>
    </row>
    <row r="352" spans="1:10" x14ac:dyDescent="0.45">
      <c r="A352" s="2" t="s">
        <v>253</v>
      </c>
      <c r="B352" s="2" t="s">
        <v>20</v>
      </c>
      <c r="C352" s="2" t="s">
        <v>16</v>
      </c>
      <c r="D352" s="2" t="s">
        <v>25</v>
      </c>
      <c r="E352" s="2" t="s">
        <v>51</v>
      </c>
      <c r="F352" s="2">
        <v>40709</v>
      </c>
      <c r="G352" s="2">
        <v>1314</v>
      </c>
      <c r="H352" s="2">
        <v>919.8</v>
      </c>
      <c r="I352" s="2">
        <v>90</v>
      </c>
      <c r="J352" s="2">
        <v>16081.05</v>
      </c>
    </row>
    <row r="353" spans="1:10" x14ac:dyDescent="0.45">
      <c r="A353" s="2" t="s">
        <v>261</v>
      </c>
      <c r="B353" s="2" t="s">
        <v>15</v>
      </c>
      <c r="C353" s="2" t="s">
        <v>24</v>
      </c>
      <c r="D353" s="2" t="s">
        <v>17</v>
      </c>
      <c r="E353" s="2" t="s">
        <v>54</v>
      </c>
      <c r="F353" s="2">
        <v>143561</v>
      </c>
      <c r="G353" s="2">
        <v>9144</v>
      </c>
      <c r="H353" s="2">
        <v>17647.919999999998</v>
      </c>
      <c r="I353" s="2">
        <v>630</v>
      </c>
      <c r="J353" s="2">
        <v>123364.05</v>
      </c>
    </row>
    <row r="354" spans="1:10" x14ac:dyDescent="0.45">
      <c r="A354" s="2" t="s">
        <v>262</v>
      </c>
      <c r="B354" s="2" t="s">
        <v>15</v>
      </c>
      <c r="C354" s="2" t="s">
        <v>28</v>
      </c>
      <c r="D354" s="2" t="s">
        <v>17</v>
      </c>
      <c r="E354" s="2" t="s">
        <v>51</v>
      </c>
      <c r="F354" s="2">
        <v>94242</v>
      </c>
      <c r="G354" s="2">
        <v>5466</v>
      </c>
      <c r="H354" s="2">
        <v>9128.2199999999993</v>
      </c>
      <c r="I354" s="2">
        <v>100</v>
      </c>
      <c r="J354" s="2">
        <v>6794.77</v>
      </c>
    </row>
    <row r="355" spans="1:10" x14ac:dyDescent="0.45">
      <c r="A355" s="2" t="s">
        <v>101</v>
      </c>
      <c r="B355" s="2" t="s">
        <v>15</v>
      </c>
      <c r="C355" s="2" t="s">
        <v>38</v>
      </c>
      <c r="D355" s="2" t="s">
        <v>25</v>
      </c>
      <c r="E355" s="2" t="s">
        <v>18</v>
      </c>
      <c r="F355" s="2">
        <v>111311</v>
      </c>
      <c r="G355" s="2">
        <v>5765</v>
      </c>
      <c r="H355" s="2">
        <v>15623.15</v>
      </c>
      <c r="I355" s="2">
        <v>389</v>
      </c>
      <c r="J355" s="2">
        <v>22317.919999999998</v>
      </c>
    </row>
    <row r="356" spans="1:10" x14ac:dyDescent="0.45">
      <c r="A356" s="2" t="s">
        <v>261</v>
      </c>
      <c r="B356" s="2" t="s">
        <v>20</v>
      </c>
      <c r="C356" s="2" t="s">
        <v>24</v>
      </c>
      <c r="D356" s="2" t="s">
        <v>17</v>
      </c>
      <c r="E356" s="2" t="s">
        <v>26</v>
      </c>
      <c r="F356" s="2">
        <v>130865</v>
      </c>
      <c r="G356" s="2">
        <v>9461</v>
      </c>
      <c r="H356" s="2">
        <v>14002.28</v>
      </c>
      <c r="I356" s="2">
        <v>221</v>
      </c>
      <c r="J356" s="2">
        <v>46411.13</v>
      </c>
    </row>
    <row r="357" spans="1:10" x14ac:dyDescent="0.45">
      <c r="A357" s="2" t="s">
        <v>27</v>
      </c>
      <c r="B357" s="2" t="s">
        <v>35</v>
      </c>
      <c r="C357" s="2" t="s">
        <v>24</v>
      </c>
      <c r="D357" s="2" t="s">
        <v>21</v>
      </c>
      <c r="E357" s="2" t="s">
        <v>26</v>
      </c>
      <c r="F357" s="2">
        <v>138639</v>
      </c>
      <c r="G357" s="2">
        <v>2204</v>
      </c>
      <c r="H357" s="2">
        <v>3967.2</v>
      </c>
      <c r="I357" s="2">
        <v>154</v>
      </c>
      <c r="J357" s="2">
        <v>35803.07</v>
      </c>
    </row>
    <row r="358" spans="1:10" x14ac:dyDescent="0.45">
      <c r="A358" s="2" t="s">
        <v>23</v>
      </c>
      <c r="B358" s="2" t="s">
        <v>20</v>
      </c>
      <c r="C358" s="2" t="s">
        <v>28</v>
      </c>
      <c r="D358" s="2" t="s">
        <v>29</v>
      </c>
      <c r="E358" s="2" t="s">
        <v>51</v>
      </c>
      <c r="F358" s="2">
        <v>147355</v>
      </c>
      <c r="G358" s="2">
        <v>7485</v>
      </c>
      <c r="H358" s="2">
        <v>6811.35</v>
      </c>
      <c r="I358" s="2">
        <v>81</v>
      </c>
      <c r="J358" s="2">
        <v>14520.06</v>
      </c>
    </row>
    <row r="359" spans="1:10" x14ac:dyDescent="0.45">
      <c r="A359" s="2" t="s">
        <v>90</v>
      </c>
      <c r="B359" s="2" t="s">
        <v>35</v>
      </c>
      <c r="C359" s="2" t="s">
        <v>28</v>
      </c>
      <c r="D359" s="2" t="s">
        <v>17</v>
      </c>
      <c r="E359" s="2" t="s">
        <v>22</v>
      </c>
      <c r="F359" s="2">
        <v>26751</v>
      </c>
      <c r="G359" s="2">
        <v>489</v>
      </c>
      <c r="H359" s="2">
        <v>943.77</v>
      </c>
      <c r="I359" s="2">
        <v>8</v>
      </c>
      <c r="J359" s="2">
        <v>791.56</v>
      </c>
    </row>
    <row r="360" spans="1:10" x14ac:dyDescent="0.45">
      <c r="A360" s="2" t="s">
        <v>131</v>
      </c>
      <c r="B360" s="2" t="s">
        <v>20</v>
      </c>
      <c r="C360" s="2" t="s">
        <v>38</v>
      </c>
      <c r="D360" s="2" t="s">
        <v>29</v>
      </c>
      <c r="E360" s="2" t="s">
        <v>22</v>
      </c>
      <c r="F360" s="2">
        <v>42706</v>
      </c>
      <c r="G360" s="2">
        <v>2084</v>
      </c>
      <c r="H360" s="2">
        <v>3313.56</v>
      </c>
      <c r="I360" s="2">
        <v>35</v>
      </c>
      <c r="J360" s="2">
        <v>4766.32</v>
      </c>
    </row>
    <row r="361" spans="1:10" x14ac:dyDescent="0.45">
      <c r="A361" s="2" t="s">
        <v>245</v>
      </c>
      <c r="B361" s="2" t="s">
        <v>35</v>
      </c>
      <c r="C361" s="2" t="s">
        <v>24</v>
      </c>
      <c r="D361" s="2" t="s">
        <v>29</v>
      </c>
      <c r="E361" s="2" t="s">
        <v>18</v>
      </c>
      <c r="F361" s="2">
        <v>173337</v>
      </c>
      <c r="G361" s="2">
        <v>3189</v>
      </c>
      <c r="H361" s="2">
        <v>6473.67</v>
      </c>
      <c r="I361" s="2">
        <v>224</v>
      </c>
      <c r="J361" s="2">
        <v>43055.91</v>
      </c>
    </row>
    <row r="362" spans="1:10" x14ac:dyDescent="0.45">
      <c r="A362" s="2" t="s">
        <v>218</v>
      </c>
      <c r="B362" s="2" t="s">
        <v>35</v>
      </c>
      <c r="C362" s="2" t="s">
        <v>28</v>
      </c>
      <c r="D362" s="2" t="s">
        <v>29</v>
      </c>
      <c r="E362" s="2" t="s">
        <v>33</v>
      </c>
      <c r="F362" s="2">
        <v>99948</v>
      </c>
      <c r="G362" s="2">
        <v>1389</v>
      </c>
      <c r="H362" s="2">
        <v>1444.56</v>
      </c>
      <c r="I362" s="2">
        <v>67</v>
      </c>
      <c r="J362" s="2">
        <v>4987.6000000000004</v>
      </c>
    </row>
    <row r="363" spans="1:10" x14ac:dyDescent="0.45">
      <c r="A363" s="2" t="s">
        <v>263</v>
      </c>
      <c r="B363" s="2" t="s">
        <v>15</v>
      </c>
      <c r="C363" s="2" t="s">
        <v>24</v>
      </c>
      <c r="D363" s="2" t="s">
        <v>25</v>
      </c>
      <c r="E363" s="2" t="s">
        <v>33</v>
      </c>
      <c r="F363" s="2">
        <v>65282</v>
      </c>
      <c r="G363" s="2">
        <v>1723</v>
      </c>
      <c r="H363" s="2">
        <v>3290.93</v>
      </c>
      <c r="I363" s="2">
        <v>64</v>
      </c>
      <c r="J363" s="2">
        <v>16624.45</v>
      </c>
    </row>
    <row r="364" spans="1:10" x14ac:dyDescent="0.45">
      <c r="A364" s="2" t="s">
        <v>258</v>
      </c>
      <c r="B364" s="2" t="s">
        <v>15</v>
      </c>
      <c r="C364" s="2" t="s">
        <v>24</v>
      </c>
      <c r="D364" s="2" t="s">
        <v>21</v>
      </c>
      <c r="E364" s="2" t="s">
        <v>26</v>
      </c>
      <c r="F364" s="2">
        <v>48790</v>
      </c>
      <c r="G364" s="2">
        <v>2824</v>
      </c>
      <c r="H364" s="2">
        <v>3671.2</v>
      </c>
      <c r="I364" s="2">
        <v>178</v>
      </c>
      <c r="J364" s="2">
        <v>37847.71</v>
      </c>
    </row>
    <row r="365" spans="1:10" x14ac:dyDescent="0.45">
      <c r="A365" s="2" t="s">
        <v>256</v>
      </c>
      <c r="B365" s="2" t="s">
        <v>15</v>
      </c>
      <c r="C365" s="2" t="s">
        <v>28</v>
      </c>
      <c r="D365" s="2" t="s">
        <v>21</v>
      </c>
      <c r="E365" s="2" t="s">
        <v>18</v>
      </c>
      <c r="F365" s="2">
        <v>163272</v>
      </c>
      <c r="G365" s="2">
        <v>5551</v>
      </c>
      <c r="H365" s="2">
        <v>12378.73</v>
      </c>
      <c r="I365" s="2">
        <v>135</v>
      </c>
      <c r="J365" s="2">
        <v>38753.89</v>
      </c>
    </row>
    <row r="366" spans="1:10" x14ac:dyDescent="0.45">
      <c r="A366" s="2" t="s">
        <v>264</v>
      </c>
      <c r="B366" s="2" t="s">
        <v>15</v>
      </c>
      <c r="C366" s="2" t="s">
        <v>24</v>
      </c>
      <c r="D366" s="2" t="s">
        <v>21</v>
      </c>
      <c r="E366" s="2" t="s">
        <v>54</v>
      </c>
      <c r="F366" s="2">
        <v>149233</v>
      </c>
      <c r="G366" s="2">
        <v>3686</v>
      </c>
      <c r="H366" s="2">
        <v>3686</v>
      </c>
      <c r="I366" s="2">
        <v>250</v>
      </c>
      <c r="J366" s="2">
        <v>16524.46</v>
      </c>
    </row>
    <row r="367" spans="1:10" x14ac:dyDescent="0.45">
      <c r="A367" s="2" t="s">
        <v>62</v>
      </c>
      <c r="B367" s="2" t="s">
        <v>20</v>
      </c>
      <c r="C367" s="2" t="s">
        <v>16</v>
      </c>
      <c r="D367" s="2" t="s">
        <v>29</v>
      </c>
      <c r="E367" s="2" t="s">
        <v>18</v>
      </c>
      <c r="F367" s="2">
        <v>7637</v>
      </c>
      <c r="G367" s="2">
        <v>415</v>
      </c>
      <c r="H367" s="2">
        <v>639.1</v>
      </c>
      <c r="I367" s="2">
        <v>10</v>
      </c>
      <c r="J367" s="2">
        <v>1137.83</v>
      </c>
    </row>
    <row r="368" spans="1:10" x14ac:dyDescent="0.45">
      <c r="A368" s="2" t="s">
        <v>177</v>
      </c>
      <c r="B368" s="2" t="s">
        <v>15</v>
      </c>
      <c r="C368" s="2" t="s">
        <v>38</v>
      </c>
      <c r="D368" s="2" t="s">
        <v>17</v>
      </c>
      <c r="E368" s="2" t="s">
        <v>22</v>
      </c>
      <c r="F368" s="2">
        <v>20198</v>
      </c>
      <c r="G368" s="2">
        <v>878</v>
      </c>
      <c r="H368" s="2">
        <v>2353.04</v>
      </c>
      <c r="I368" s="2">
        <v>67</v>
      </c>
      <c r="J368" s="2">
        <v>5967.58</v>
      </c>
    </row>
    <row r="369" spans="1:10" x14ac:dyDescent="0.45">
      <c r="A369" s="2" t="s">
        <v>42</v>
      </c>
      <c r="B369" s="2" t="s">
        <v>15</v>
      </c>
      <c r="C369" s="2" t="s">
        <v>16</v>
      </c>
      <c r="D369" s="2" t="s">
        <v>21</v>
      </c>
      <c r="E369" s="2" t="s">
        <v>18</v>
      </c>
      <c r="F369" s="2">
        <v>32675</v>
      </c>
      <c r="G369" s="2">
        <v>941</v>
      </c>
      <c r="H369" s="2">
        <v>1025.69</v>
      </c>
      <c r="I369" s="2">
        <v>47</v>
      </c>
      <c r="J369" s="2">
        <v>12632.32</v>
      </c>
    </row>
    <row r="370" spans="1:10" x14ac:dyDescent="0.45">
      <c r="A370" s="2" t="s">
        <v>99</v>
      </c>
      <c r="B370" s="2" t="s">
        <v>15</v>
      </c>
      <c r="C370" s="2" t="s">
        <v>16</v>
      </c>
      <c r="D370" s="2" t="s">
        <v>21</v>
      </c>
      <c r="E370" s="2" t="s">
        <v>26</v>
      </c>
      <c r="F370" s="2">
        <v>116560</v>
      </c>
      <c r="G370" s="2">
        <v>4312</v>
      </c>
      <c r="H370" s="2">
        <v>12030.48</v>
      </c>
      <c r="I370" s="2">
        <v>198</v>
      </c>
      <c r="J370" s="2">
        <v>51746.42</v>
      </c>
    </row>
    <row r="371" spans="1:10" x14ac:dyDescent="0.45">
      <c r="A371" s="2" t="s">
        <v>265</v>
      </c>
      <c r="B371" s="2" t="s">
        <v>35</v>
      </c>
      <c r="C371" s="2" t="s">
        <v>38</v>
      </c>
      <c r="D371" s="2" t="s">
        <v>41</v>
      </c>
      <c r="E371" s="2" t="s">
        <v>54</v>
      </c>
      <c r="F371" s="2">
        <v>176459</v>
      </c>
      <c r="G371" s="2">
        <v>3670</v>
      </c>
      <c r="H371" s="2">
        <v>7009.7</v>
      </c>
      <c r="I371" s="2">
        <v>65</v>
      </c>
      <c r="J371" s="2">
        <v>2483.8000000000002</v>
      </c>
    </row>
    <row r="372" spans="1:10" x14ac:dyDescent="0.45">
      <c r="A372" s="2" t="s">
        <v>245</v>
      </c>
      <c r="B372" s="2" t="s">
        <v>35</v>
      </c>
      <c r="C372" s="2" t="s">
        <v>28</v>
      </c>
      <c r="D372" s="2" t="s">
        <v>29</v>
      </c>
      <c r="E372" s="2" t="s">
        <v>54</v>
      </c>
      <c r="F372" s="2">
        <v>49980</v>
      </c>
      <c r="G372" s="2">
        <v>1664</v>
      </c>
      <c r="H372" s="2">
        <v>3294.72</v>
      </c>
      <c r="I372" s="2">
        <v>37</v>
      </c>
      <c r="J372" s="2">
        <v>6236.77</v>
      </c>
    </row>
    <row r="373" spans="1:10" x14ac:dyDescent="0.45">
      <c r="A373" s="2" t="s">
        <v>112</v>
      </c>
      <c r="B373" s="2" t="s">
        <v>35</v>
      </c>
      <c r="C373" s="2" t="s">
        <v>24</v>
      </c>
      <c r="D373" s="2" t="s">
        <v>25</v>
      </c>
      <c r="E373" s="2" t="s">
        <v>30</v>
      </c>
      <c r="F373" s="2">
        <v>98944</v>
      </c>
      <c r="G373" s="2">
        <v>1850</v>
      </c>
      <c r="H373" s="2">
        <v>2627</v>
      </c>
      <c r="I373" s="2">
        <v>78</v>
      </c>
      <c r="J373" s="2">
        <v>17285.68</v>
      </c>
    </row>
    <row r="374" spans="1:10" x14ac:dyDescent="0.45">
      <c r="A374" s="2" t="s">
        <v>260</v>
      </c>
      <c r="B374" s="2" t="s">
        <v>20</v>
      </c>
      <c r="C374" s="2" t="s">
        <v>24</v>
      </c>
      <c r="D374" s="2" t="s">
        <v>25</v>
      </c>
      <c r="E374" s="2" t="s">
        <v>26</v>
      </c>
      <c r="F374" s="2">
        <v>115310</v>
      </c>
      <c r="G374" s="2">
        <v>3205</v>
      </c>
      <c r="H374" s="2">
        <v>3333.2</v>
      </c>
      <c r="I374" s="2">
        <v>134</v>
      </c>
      <c r="J374" s="2">
        <v>14521.43</v>
      </c>
    </row>
    <row r="375" spans="1:10" x14ac:dyDescent="0.45">
      <c r="A375" s="2" t="s">
        <v>266</v>
      </c>
      <c r="B375" s="2" t="s">
        <v>35</v>
      </c>
      <c r="C375" s="2" t="s">
        <v>16</v>
      </c>
      <c r="D375" s="2" t="s">
        <v>41</v>
      </c>
      <c r="E375" s="2" t="s">
        <v>51</v>
      </c>
      <c r="F375" s="2">
        <v>8626</v>
      </c>
      <c r="G375" s="2">
        <v>242</v>
      </c>
      <c r="H375" s="2">
        <v>273.45999999999998</v>
      </c>
      <c r="I375" s="2">
        <v>18</v>
      </c>
      <c r="J375" s="2">
        <v>3013.54</v>
      </c>
    </row>
    <row r="376" spans="1:10" x14ac:dyDescent="0.45">
      <c r="A376" s="2" t="s">
        <v>66</v>
      </c>
      <c r="B376" s="2" t="s">
        <v>35</v>
      </c>
      <c r="C376" s="2" t="s">
        <v>38</v>
      </c>
      <c r="D376" s="2" t="s">
        <v>41</v>
      </c>
      <c r="E376" s="2" t="s">
        <v>30</v>
      </c>
      <c r="F376" s="2">
        <v>88732</v>
      </c>
      <c r="G376" s="2">
        <v>1579</v>
      </c>
      <c r="H376" s="2">
        <v>694.76</v>
      </c>
      <c r="I376" s="2">
        <v>32</v>
      </c>
      <c r="J376" s="2">
        <v>4757.82</v>
      </c>
    </row>
    <row r="377" spans="1:10" x14ac:dyDescent="0.45">
      <c r="A377" s="2" t="s">
        <v>267</v>
      </c>
      <c r="B377" s="2" t="s">
        <v>35</v>
      </c>
      <c r="C377" s="2" t="s">
        <v>24</v>
      </c>
      <c r="D377" s="2" t="s">
        <v>21</v>
      </c>
      <c r="E377" s="2" t="s">
        <v>30</v>
      </c>
      <c r="F377" s="2">
        <v>29502</v>
      </c>
      <c r="G377" s="2">
        <v>604</v>
      </c>
      <c r="H377" s="2">
        <v>972.44</v>
      </c>
      <c r="I377" s="2">
        <v>30</v>
      </c>
      <c r="J377" s="2">
        <v>5842.59</v>
      </c>
    </row>
    <row r="378" spans="1:10" x14ac:dyDescent="0.45">
      <c r="A378" s="2" t="s">
        <v>196</v>
      </c>
      <c r="B378" s="2" t="s">
        <v>20</v>
      </c>
      <c r="C378" s="2" t="s">
        <v>16</v>
      </c>
      <c r="D378" s="2" t="s">
        <v>41</v>
      </c>
      <c r="E378" s="2" t="s">
        <v>33</v>
      </c>
      <c r="F378" s="2">
        <v>198085</v>
      </c>
      <c r="G378" s="2">
        <v>14460</v>
      </c>
      <c r="H378" s="2">
        <v>11857.2</v>
      </c>
      <c r="I378" s="2">
        <v>1133</v>
      </c>
      <c r="J378" s="2">
        <v>295028.26</v>
      </c>
    </row>
    <row r="379" spans="1:10" x14ac:dyDescent="0.45">
      <c r="A379" s="2" t="s">
        <v>105</v>
      </c>
      <c r="B379" s="2" t="s">
        <v>35</v>
      </c>
      <c r="C379" s="2" t="s">
        <v>28</v>
      </c>
      <c r="D379" s="2" t="s">
        <v>25</v>
      </c>
      <c r="E379" s="2" t="s">
        <v>26</v>
      </c>
      <c r="F379" s="2">
        <v>111802</v>
      </c>
      <c r="G379" s="2">
        <v>2247</v>
      </c>
      <c r="H379" s="2">
        <v>3707.55</v>
      </c>
      <c r="I379" s="2">
        <v>163</v>
      </c>
      <c r="J379" s="2">
        <v>6163.84</v>
      </c>
    </row>
    <row r="380" spans="1:10" x14ac:dyDescent="0.45">
      <c r="A380" s="2" t="s">
        <v>207</v>
      </c>
      <c r="B380" s="2" t="s">
        <v>15</v>
      </c>
      <c r="C380" s="2" t="s">
        <v>28</v>
      </c>
      <c r="D380" s="2" t="s">
        <v>21</v>
      </c>
      <c r="E380" s="2" t="s">
        <v>18</v>
      </c>
      <c r="F380" s="2">
        <v>65186</v>
      </c>
      <c r="G380" s="2">
        <v>1955</v>
      </c>
      <c r="H380" s="2">
        <v>4418.3</v>
      </c>
      <c r="I380" s="2">
        <v>89</v>
      </c>
      <c r="J380" s="2">
        <v>13375.79</v>
      </c>
    </row>
    <row r="381" spans="1:10" x14ac:dyDescent="0.45">
      <c r="A381" s="2" t="s">
        <v>23</v>
      </c>
      <c r="B381" s="2" t="s">
        <v>20</v>
      </c>
      <c r="C381" s="2" t="s">
        <v>24</v>
      </c>
      <c r="D381" s="2" t="s">
        <v>21</v>
      </c>
      <c r="E381" s="2" t="s">
        <v>22</v>
      </c>
      <c r="F381" s="2">
        <v>101176</v>
      </c>
      <c r="G381" s="2">
        <v>6505</v>
      </c>
      <c r="H381" s="2">
        <v>6244.8</v>
      </c>
      <c r="I381" s="2">
        <v>459</v>
      </c>
      <c r="J381" s="2">
        <v>44008.34</v>
      </c>
    </row>
    <row r="382" spans="1:10" x14ac:dyDescent="0.45">
      <c r="A382" s="2" t="s">
        <v>268</v>
      </c>
      <c r="B382" s="2" t="s">
        <v>20</v>
      </c>
      <c r="C382" s="2" t="s">
        <v>24</v>
      </c>
      <c r="D382" s="2" t="s">
        <v>29</v>
      </c>
      <c r="E382" s="2" t="s">
        <v>18</v>
      </c>
      <c r="F382" s="2">
        <v>41307</v>
      </c>
      <c r="G382" s="2">
        <v>1367</v>
      </c>
      <c r="H382" s="2">
        <v>779.19</v>
      </c>
      <c r="I382" s="2">
        <v>92</v>
      </c>
      <c r="J382" s="2">
        <v>6211.99</v>
      </c>
    </row>
    <row r="383" spans="1:10" x14ac:dyDescent="0.45">
      <c r="A383" s="2" t="s">
        <v>269</v>
      </c>
      <c r="B383" s="2" t="s">
        <v>35</v>
      </c>
      <c r="C383" s="2" t="s">
        <v>24</v>
      </c>
      <c r="D383" s="2" t="s">
        <v>21</v>
      </c>
      <c r="E383" s="2" t="s">
        <v>22</v>
      </c>
      <c r="F383" s="2">
        <v>174579</v>
      </c>
      <c r="G383" s="2">
        <v>3247</v>
      </c>
      <c r="H383" s="2">
        <v>4318.51</v>
      </c>
      <c r="I383" s="2">
        <v>187</v>
      </c>
      <c r="J383" s="2">
        <v>41760.07</v>
      </c>
    </row>
    <row r="384" spans="1:10" x14ac:dyDescent="0.45">
      <c r="A384" s="2" t="s">
        <v>104</v>
      </c>
      <c r="B384" s="2" t="s">
        <v>35</v>
      </c>
      <c r="C384" s="2" t="s">
        <v>24</v>
      </c>
      <c r="D384" s="2" t="s">
        <v>29</v>
      </c>
      <c r="E384" s="2" t="s">
        <v>51</v>
      </c>
      <c r="F384" s="2">
        <v>83137</v>
      </c>
      <c r="G384" s="2">
        <v>2045</v>
      </c>
      <c r="H384" s="2">
        <v>2065.4499999999998</v>
      </c>
      <c r="I384" s="2">
        <v>37</v>
      </c>
      <c r="J384" s="2">
        <v>1798.59</v>
      </c>
    </row>
    <row r="385" spans="1:10" x14ac:dyDescent="0.45">
      <c r="A385" s="2" t="s">
        <v>177</v>
      </c>
      <c r="B385" s="2" t="s">
        <v>35</v>
      </c>
      <c r="C385" s="2" t="s">
        <v>16</v>
      </c>
      <c r="D385" s="2" t="s">
        <v>25</v>
      </c>
      <c r="E385" s="2" t="s">
        <v>22</v>
      </c>
      <c r="F385" s="2">
        <v>122897</v>
      </c>
      <c r="G385" s="2">
        <v>2040</v>
      </c>
      <c r="H385" s="2">
        <v>1570.8</v>
      </c>
      <c r="I385" s="2">
        <v>159</v>
      </c>
      <c r="J385" s="2">
        <v>45753.83</v>
      </c>
    </row>
    <row r="386" spans="1:10" x14ac:dyDescent="0.45">
      <c r="A386" s="2" t="s">
        <v>198</v>
      </c>
      <c r="B386" s="2" t="s">
        <v>20</v>
      </c>
      <c r="C386" s="2" t="s">
        <v>16</v>
      </c>
      <c r="D386" s="2" t="s">
        <v>25</v>
      </c>
      <c r="E386" s="2" t="s">
        <v>51</v>
      </c>
      <c r="F386" s="2">
        <v>47462</v>
      </c>
      <c r="G386" s="2">
        <v>1803</v>
      </c>
      <c r="H386" s="2">
        <v>955.59</v>
      </c>
      <c r="I386" s="2">
        <v>98</v>
      </c>
      <c r="J386" s="2">
        <v>29213.279999999999</v>
      </c>
    </row>
    <row r="387" spans="1:10" x14ac:dyDescent="0.45">
      <c r="A387" s="2" t="s">
        <v>270</v>
      </c>
      <c r="B387" s="2" t="s">
        <v>20</v>
      </c>
      <c r="C387" s="2" t="s">
        <v>38</v>
      </c>
      <c r="D387" s="2" t="s">
        <v>21</v>
      </c>
      <c r="E387" s="2" t="s">
        <v>30</v>
      </c>
      <c r="F387" s="2">
        <v>99202</v>
      </c>
      <c r="G387" s="2">
        <v>6428</v>
      </c>
      <c r="H387" s="2">
        <v>9899.1200000000008</v>
      </c>
      <c r="I387" s="2">
        <v>165</v>
      </c>
      <c r="J387" s="2">
        <v>34456.26</v>
      </c>
    </row>
    <row r="388" spans="1:10" x14ac:dyDescent="0.45">
      <c r="A388" s="2" t="s">
        <v>271</v>
      </c>
      <c r="B388" s="2" t="s">
        <v>35</v>
      </c>
      <c r="C388" s="2" t="s">
        <v>28</v>
      </c>
      <c r="D388" s="2" t="s">
        <v>29</v>
      </c>
      <c r="E388" s="2" t="s">
        <v>26</v>
      </c>
      <c r="F388" s="2">
        <v>125871</v>
      </c>
      <c r="G388" s="2">
        <v>3083</v>
      </c>
      <c r="H388" s="2">
        <v>5302.76</v>
      </c>
      <c r="I388" s="2">
        <v>185</v>
      </c>
      <c r="J388" s="2">
        <v>27759.15</v>
      </c>
    </row>
    <row r="389" spans="1:10" x14ac:dyDescent="0.45">
      <c r="A389" s="2" t="s">
        <v>227</v>
      </c>
      <c r="B389" s="2" t="s">
        <v>15</v>
      </c>
      <c r="C389" s="2" t="s">
        <v>16</v>
      </c>
      <c r="D389" s="2" t="s">
        <v>25</v>
      </c>
      <c r="E389" s="2" t="s">
        <v>22</v>
      </c>
      <c r="F389" s="2">
        <v>8880</v>
      </c>
      <c r="G389" s="2">
        <v>216</v>
      </c>
      <c r="H389" s="2">
        <v>444.96</v>
      </c>
      <c r="I389" s="2">
        <v>6</v>
      </c>
      <c r="J389" s="2">
        <v>1186.19</v>
      </c>
    </row>
    <row r="390" spans="1:10" x14ac:dyDescent="0.45">
      <c r="A390" s="2" t="s">
        <v>221</v>
      </c>
      <c r="B390" s="2" t="s">
        <v>15</v>
      </c>
      <c r="C390" s="2" t="s">
        <v>28</v>
      </c>
      <c r="D390" s="2" t="s">
        <v>21</v>
      </c>
      <c r="E390" s="2" t="s">
        <v>26</v>
      </c>
      <c r="F390" s="2">
        <v>156388</v>
      </c>
      <c r="G390" s="2">
        <v>7021</v>
      </c>
      <c r="H390" s="2">
        <v>11514.44</v>
      </c>
      <c r="I390" s="2">
        <v>315</v>
      </c>
      <c r="J390" s="2">
        <v>34670.519999999997</v>
      </c>
    </row>
    <row r="391" spans="1:10" x14ac:dyDescent="0.45">
      <c r="A391" s="2" t="s">
        <v>137</v>
      </c>
      <c r="B391" s="2" t="s">
        <v>15</v>
      </c>
      <c r="C391" s="2" t="s">
        <v>24</v>
      </c>
      <c r="D391" s="2" t="s">
        <v>21</v>
      </c>
      <c r="E391" s="2" t="s">
        <v>22</v>
      </c>
      <c r="F391" s="2">
        <v>109672</v>
      </c>
      <c r="G391" s="2">
        <v>2675</v>
      </c>
      <c r="H391" s="2">
        <v>6821.25</v>
      </c>
      <c r="I391" s="2">
        <v>50</v>
      </c>
      <c r="J391" s="2">
        <v>11521.03</v>
      </c>
    </row>
    <row r="392" spans="1:10" x14ac:dyDescent="0.45">
      <c r="A392" s="2" t="s">
        <v>272</v>
      </c>
      <c r="B392" s="2" t="s">
        <v>35</v>
      </c>
      <c r="C392" s="2" t="s">
        <v>38</v>
      </c>
      <c r="D392" s="2" t="s">
        <v>29</v>
      </c>
      <c r="E392" s="2" t="s">
        <v>18</v>
      </c>
      <c r="F392" s="2">
        <v>70030</v>
      </c>
      <c r="G392" s="2">
        <v>1470</v>
      </c>
      <c r="H392" s="2">
        <v>2469.6</v>
      </c>
      <c r="I392" s="2">
        <v>90</v>
      </c>
      <c r="J392" s="2">
        <v>9384.9</v>
      </c>
    </row>
    <row r="393" spans="1:10" x14ac:dyDescent="0.45">
      <c r="A393" s="2" t="s">
        <v>273</v>
      </c>
      <c r="B393" s="2" t="s">
        <v>35</v>
      </c>
      <c r="C393" s="2" t="s">
        <v>24</v>
      </c>
      <c r="D393" s="2" t="s">
        <v>21</v>
      </c>
      <c r="E393" s="2" t="s">
        <v>51</v>
      </c>
      <c r="F393" s="2">
        <v>149375</v>
      </c>
      <c r="G393" s="2">
        <v>6109</v>
      </c>
      <c r="H393" s="2">
        <v>13317.62</v>
      </c>
      <c r="I393" s="2">
        <v>89</v>
      </c>
      <c r="J393" s="2">
        <v>22418.799999999999</v>
      </c>
    </row>
    <row r="394" spans="1:10" x14ac:dyDescent="0.45">
      <c r="A394" s="2" t="s">
        <v>96</v>
      </c>
      <c r="B394" s="2" t="s">
        <v>35</v>
      </c>
      <c r="C394" s="2" t="s">
        <v>16</v>
      </c>
      <c r="D394" s="2" t="s">
        <v>17</v>
      </c>
      <c r="E394" s="2" t="s">
        <v>33</v>
      </c>
      <c r="F394" s="2">
        <v>123171</v>
      </c>
      <c r="G394" s="2">
        <v>3756</v>
      </c>
      <c r="H394" s="2">
        <v>6986.16</v>
      </c>
      <c r="I394" s="2">
        <v>52</v>
      </c>
      <c r="J394" s="2">
        <v>7553.6</v>
      </c>
    </row>
    <row r="395" spans="1:10" x14ac:dyDescent="0.45">
      <c r="A395" s="2" t="s">
        <v>274</v>
      </c>
      <c r="B395" s="2" t="s">
        <v>35</v>
      </c>
      <c r="C395" s="2" t="s">
        <v>16</v>
      </c>
      <c r="D395" s="2" t="s">
        <v>29</v>
      </c>
      <c r="E395" s="2" t="s">
        <v>22</v>
      </c>
      <c r="F395" s="2">
        <v>52779</v>
      </c>
      <c r="G395" s="2">
        <v>596</v>
      </c>
      <c r="H395" s="2">
        <v>649.64</v>
      </c>
      <c r="I395" s="2">
        <v>35</v>
      </c>
      <c r="J395" s="2">
        <v>3583.95</v>
      </c>
    </row>
    <row r="396" spans="1:10" x14ac:dyDescent="0.45">
      <c r="A396" s="2" t="s">
        <v>59</v>
      </c>
      <c r="B396" s="2" t="s">
        <v>15</v>
      </c>
      <c r="C396" s="2" t="s">
        <v>38</v>
      </c>
      <c r="D396" s="2" t="s">
        <v>17</v>
      </c>
      <c r="E396" s="2" t="s">
        <v>26</v>
      </c>
      <c r="F396" s="2">
        <v>117036</v>
      </c>
      <c r="G396" s="2">
        <v>3569</v>
      </c>
      <c r="H396" s="2">
        <v>7601.97</v>
      </c>
      <c r="I396" s="2">
        <v>178</v>
      </c>
      <c r="J396" s="2">
        <v>11935.14</v>
      </c>
    </row>
    <row r="397" spans="1:10" x14ac:dyDescent="0.45">
      <c r="A397" s="2" t="s">
        <v>275</v>
      </c>
      <c r="B397" s="2" t="s">
        <v>20</v>
      </c>
      <c r="C397" s="2" t="s">
        <v>28</v>
      </c>
      <c r="D397" s="2" t="s">
        <v>41</v>
      </c>
      <c r="E397" s="2" t="s">
        <v>18</v>
      </c>
      <c r="F397" s="2">
        <v>177517</v>
      </c>
      <c r="G397" s="2">
        <v>13917</v>
      </c>
      <c r="H397" s="2">
        <v>12664.47</v>
      </c>
      <c r="I397" s="2">
        <v>671</v>
      </c>
      <c r="J397" s="2">
        <v>36680.47</v>
      </c>
    </row>
    <row r="398" spans="1:10" x14ac:dyDescent="0.45">
      <c r="A398" s="2" t="s">
        <v>50</v>
      </c>
      <c r="B398" s="2" t="s">
        <v>20</v>
      </c>
      <c r="C398" s="2" t="s">
        <v>16</v>
      </c>
      <c r="D398" s="2" t="s">
        <v>21</v>
      </c>
      <c r="E398" s="2" t="s">
        <v>30</v>
      </c>
      <c r="F398" s="2">
        <v>196349</v>
      </c>
      <c r="G398" s="2">
        <v>8325</v>
      </c>
      <c r="H398" s="2">
        <v>5744.25</v>
      </c>
      <c r="I398" s="2">
        <v>398</v>
      </c>
      <c r="J398" s="2">
        <v>42464.91</v>
      </c>
    </row>
    <row r="399" spans="1:10" x14ac:dyDescent="0.45">
      <c r="A399" s="2" t="s">
        <v>276</v>
      </c>
      <c r="B399" s="2" t="s">
        <v>20</v>
      </c>
      <c r="C399" s="2" t="s">
        <v>16</v>
      </c>
      <c r="D399" s="2" t="s">
        <v>29</v>
      </c>
      <c r="E399" s="2" t="s">
        <v>18</v>
      </c>
      <c r="F399" s="2">
        <v>174898</v>
      </c>
      <c r="G399" s="2">
        <v>13029</v>
      </c>
      <c r="H399" s="2">
        <v>16416.54</v>
      </c>
      <c r="I399" s="2">
        <v>822</v>
      </c>
      <c r="J399" s="2">
        <v>162206.84</v>
      </c>
    </row>
    <row r="400" spans="1:10" x14ac:dyDescent="0.45">
      <c r="A400" s="2" t="s">
        <v>85</v>
      </c>
      <c r="B400" s="2" t="s">
        <v>15</v>
      </c>
      <c r="C400" s="2" t="s">
        <v>38</v>
      </c>
      <c r="D400" s="2" t="s">
        <v>21</v>
      </c>
      <c r="E400" s="2" t="s">
        <v>26</v>
      </c>
      <c r="F400" s="2">
        <v>83972</v>
      </c>
      <c r="G400" s="2">
        <v>4903</v>
      </c>
      <c r="H400" s="2">
        <v>14218.7</v>
      </c>
      <c r="I400" s="2">
        <v>341</v>
      </c>
      <c r="J400" s="2">
        <v>36574.449999999997</v>
      </c>
    </row>
    <row r="401" spans="1:10" x14ac:dyDescent="0.45">
      <c r="A401" s="2" t="s">
        <v>277</v>
      </c>
      <c r="B401" s="2" t="s">
        <v>35</v>
      </c>
      <c r="C401" s="2" t="s">
        <v>16</v>
      </c>
      <c r="D401" s="2" t="s">
        <v>17</v>
      </c>
      <c r="E401" s="2" t="s">
        <v>26</v>
      </c>
      <c r="F401" s="2">
        <v>165371</v>
      </c>
      <c r="G401" s="2">
        <v>2993</v>
      </c>
      <c r="H401" s="2">
        <v>4519.43</v>
      </c>
      <c r="I401" s="2">
        <v>32</v>
      </c>
      <c r="J401" s="2">
        <v>8918.68</v>
      </c>
    </row>
    <row r="402" spans="1:10" x14ac:dyDescent="0.45">
      <c r="A402" s="2" t="s">
        <v>278</v>
      </c>
      <c r="B402" s="2" t="s">
        <v>20</v>
      </c>
      <c r="C402" s="2" t="s">
        <v>28</v>
      </c>
      <c r="D402" s="2" t="s">
        <v>17</v>
      </c>
      <c r="E402" s="2" t="s">
        <v>26</v>
      </c>
      <c r="F402" s="2">
        <v>133949</v>
      </c>
      <c r="G402" s="2">
        <v>7219</v>
      </c>
      <c r="H402" s="2">
        <v>10972.88</v>
      </c>
      <c r="I402" s="2">
        <v>73</v>
      </c>
      <c r="J402" s="2">
        <v>21583.279999999999</v>
      </c>
    </row>
    <row r="403" spans="1:10" x14ac:dyDescent="0.45">
      <c r="A403" s="2" t="s">
        <v>151</v>
      </c>
      <c r="B403" s="2" t="s">
        <v>20</v>
      </c>
      <c r="C403" s="2" t="s">
        <v>38</v>
      </c>
      <c r="D403" s="2" t="s">
        <v>17</v>
      </c>
      <c r="E403" s="2" t="s">
        <v>54</v>
      </c>
      <c r="F403" s="2">
        <v>105400</v>
      </c>
      <c r="G403" s="2">
        <v>7704</v>
      </c>
      <c r="H403" s="2">
        <v>8551.44</v>
      </c>
      <c r="I403" s="2">
        <v>442</v>
      </c>
      <c r="J403" s="2">
        <v>49251.38</v>
      </c>
    </row>
    <row r="404" spans="1:10" x14ac:dyDescent="0.45">
      <c r="A404" s="2" t="s">
        <v>279</v>
      </c>
      <c r="B404" s="2" t="s">
        <v>15</v>
      </c>
      <c r="C404" s="2" t="s">
        <v>28</v>
      </c>
      <c r="D404" s="2" t="s">
        <v>21</v>
      </c>
      <c r="E404" s="2" t="s">
        <v>26</v>
      </c>
      <c r="F404" s="2">
        <v>63959</v>
      </c>
      <c r="G404" s="2">
        <v>2014</v>
      </c>
      <c r="H404" s="2">
        <v>4591.92</v>
      </c>
      <c r="I404" s="2">
        <v>150</v>
      </c>
      <c r="J404" s="2">
        <v>37769.589999999997</v>
      </c>
    </row>
    <row r="405" spans="1:10" x14ac:dyDescent="0.45">
      <c r="A405" s="2" t="s">
        <v>69</v>
      </c>
      <c r="B405" s="2" t="s">
        <v>15</v>
      </c>
      <c r="C405" s="2" t="s">
        <v>16</v>
      </c>
      <c r="D405" s="2" t="s">
        <v>29</v>
      </c>
      <c r="E405" s="2" t="s">
        <v>51</v>
      </c>
      <c r="F405" s="2">
        <v>6044</v>
      </c>
      <c r="G405" s="2">
        <v>146</v>
      </c>
      <c r="H405" s="2">
        <v>164.98</v>
      </c>
      <c r="I405" s="2">
        <v>5</v>
      </c>
      <c r="J405" s="2">
        <v>611.36</v>
      </c>
    </row>
    <row r="406" spans="1:10" x14ac:dyDescent="0.45">
      <c r="A406" s="2" t="s">
        <v>100</v>
      </c>
      <c r="B406" s="2" t="s">
        <v>15</v>
      </c>
      <c r="C406" s="2" t="s">
        <v>28</v>
      </c>
      <c r="D406" s="2" t="s">
        <v>17</v>
      </c>
      <c r="E406" s="2" t="s">
        <v>26</v>
      </c>
      <c r="F406" s="2">
        <v>90945</v>
      </c>
      <c r="G406" s="2">
        <v>3637</v>
      </c>
      <c r="H406" s="2">
        <v>10983.74</v>
      </c>
      <c r="I406" s="2">
        <v>145</v>
      </c>
      <c r="J406" s="2">
        <v>21488.5</v>
      </c>
    </row>
    <row r="407" spans="1:10" x14ac:dyDescent="0.45">
      <c r="A407" s="2" t="s">
        <v>258</v>
      </c>
      <c r="B407" s="2" t="s">
        <v>15</v>
      </c>
      <c r="C407" s="2" t="s">
        <v>16</v>
      </c>
      <c r="D407" s="2" t="s">
        <v>29</v>
      </c>
      <c r="E407" s="2" t="s">
        <v>22</v>
      </c>
      <c r="F407" s="2">
        <v>73681</v>
      </c>
      <c r="G407" s="2">
        <v>4457</v>
      </c>
      <c r="H407" s="2">
        <v>7888.89</v>
      </c>
      <c r="I407" s="2">
        <v>95</v>
      </c>
      <c r="J407" s="2">
        <v>11815.26</v>
      </c>
    </row>
    <row r="408" spans="1:10" x14ac:dyDescent="0.45">
      <c r="A408" s="2" t="s">
        <v>52</v>
      </c>
      <c r="B408" s="2" t="s">
        <v>15</v>
      </c>
      <c r="C408" s="2" t="s">
        <v>38</v>
      </c>
      <c r="D408" s="2" t="s">
        <v>25</v>
      </c>
      <c r="E408" s="2" t="s">
        <v>54</v>
      </c>
      <c r="F408" s="2">
        <v>195545</v>
      </c>
      <c r="G408" s="2">
        <v>8799</v>
      </c>
      <c r="H408" s="2">
        <v>26221.02</v>
      </c>
      <c r="I408" s="2">
        <v>444</v>
      </c>
      <c r="J408" s="2">
        <v>122723.09</v>
      </c>
    </row>
    <row r="409" spans="1:10" x14ac:dyDescent="0.45">
      <c r="A409" s="2" t="s">
        <v>105</v>
      </c>
      <c r="B409" s="2" t="s">
        <v>15</v>
      </c>
      <c r="C409" s="2" t="s">
        <v>28</v>
      </c>
      <c r="D409" s="2" t="s">
        <v>41</v>
      </c>
      <c r="E409" s="2" t="s">
        <v>26</v>
      </c>
      <c r="F409" s="2">
        <v>46846</v>
      </c>
      <c r="G409" s="2">
        <v>2183</v>
      </c>
      <c r="H409" s="2">
        <v>7334.88</v>
      </c>
      <c r="I409" s="2">
        <v>46</v>
      </c>
      <c r="J409" s="2">
        <v>5098.84</v>
      </c>
    </row>
    <row r="410" spans="1:10" x14ac:dyDescent="0.45">
      <c r="A410" s="2" t="s">
        <v>280</v>
      </c>
      <c r="B410" s="2" t="s">
        <v>15</v>
      </c>
      <c r="C410" s="2" t="s">
        <v>28</v>
      </c>
      <c r="D410" s="2" t="s">
        <v>25</v>
      </c>
      <c r="E410" s="2" t="s">
        <v>33</v>
      </c>
      <c r="F410" s="2">
        <v>183428</v>
      </c>
      <c r="G410" s="2">
        <v>4549</v>
      </c>
      <c r="H410" s="2">
        <v>9598.39</v>
      </c>
      <c r="I410" s="2">
        <v>135</v>
      </c>
      <c r="J410" s="2">
        <v>6604</v>
      </c>
    </row>
    <row r="411" spans="1:10" x14ac:dyDescent="0.45">
      <c r="A411" s="2" t="s">
        <v>130</v>
      </c>
      <c r="B411" s="2" t="s">
        <v>15</v>
      </c>
      <c r="C411" s="2" t="s">
        <v>28</v>
      </c>
      <c r="D411" s="2" t="s">
        <v>21</v>
      </c>
      <c r="E411" s="2" t="s">
        <v>54</v>
      </c>
      <c r="F411" s="2">
        <v>173913</v>
      </c>
      <c r="G411" s="2">
        <v>5860</v>
      </c>
      <c r="H411" s="2">
        <v>20275.599999999999</v>
      </c>
      <c r="I411" s="2">
        <v>111</v>
      </c>
      <c r="J411" s="2">
        <v>20779.66</v>
      </c>
    </row>
    <row r="412" spans="1:10" x14ac:dyDescent="0.45">
      <c r="A412" s="2" t="s">
        <v>164</v>
      </c>
      <c r="B412" s="2" t="s">
        <v>15</v>
      </c>
      <c r="C412" s="2" t="s">
        <v>24</v>
      </c>
      <c r="D412" s="2" t="s">
        <v>29</v>
      </c>
      <c r="E412" s="2" t="s">
        <v>26</v>
      </c>
      <c r="F412" s="2">
        <v>190541</v>
      </c>
      <c r="G412" s="2">
        <v>9527</v>
      </c>
      <c r="H412" s="2">
        <v>20673.59</v>
      </c>
      <c r="I412" s="2">
        <v>157</v>
      </c>
      <c r="J412" s="2">
        <v>5416.71</v>
      </c>
    </row>
    <row r="413" spans="1:10" x14ac:dyDescent="0.45">
      <c r="A413" s="2" t="s">
        <v>42</v>
      </c>
      <c r="B413" s="2" t="s">
        <v>20</v>
      </c>
      <c r="C413" s="2" t="s">
        <v>24</v>
      </c>
      <c r="D413" s="2" t="s">
        <v>29</v>
      </c>
      <c r="E413" s="2" t="s">
        <v>33</v>
      </c>
      <c r="F413" s="2">
        <v>122116</v>
      </c>
      <c r="G413" s="2">
        <v>5507</v>
      </c>
      <c r="H413" s="2">
        <v>5396.86</v>
      </c>
      <c r="I413" s="2">
        <v>110</v>
      </c>
      <c r="J413" s="2">
        <v>3555.98</v>
      </c>
    </row>
    <row r="414" spans="1:10" x14ac:dyDescent="0.45">
      <c r="A414" s="2" t="s">
        <v>281</v>
      </c>
      <c r="B414" s="2" t="s">
        <v>15</v>
      </c>
      <c r="C414" s="2" t="s">
        <v>38</v>
      </c>
      <c r="D414" s="2" t="s">
        <v>17</v>
      </c>
      <c r="E414" s="2" t="s">
        <v>51</v>
      </c>
      <c r="F414" s="2">
        <v>47879</v>
      </c>
      <c r="G414" s="2">
        <v>1149</v>
      </c>
      <c r="H414" s="2">
        <v>3515.94</v>
      </c>
      <c r="I414" s="2">
        <v>25</v>
      </c>
      <c r="J414" s="2">
        <v>3124.11</v>
      </c>
    </row>
    <row r="415" spans="1:10" x14ac:dyDescent="0.45">
      <c r="A415" s="2" t="s">
        <v>93</v>
      </c>
      <c r="B415" s="2" t="s">
        <v>35</v>
      </c>
      <c r="C415" s="2" t="s">
        <v>16</v>
      </c>
      <c r="D415" s="2" t="s">
        <v>25</v>
      </c>
      <c r="E415" s="2" t="s">
        <v>26</v>
      </c>
      <c r="F415" s="2">
        <v>164876</v>
      </c>
      <c r="G415" s="2">
        <v>5820</v>
      </c>
      <c r="H415" s="2">
        <v>4306.8</v>
      </c>
      <c r="I415" s="2">
        <v>463</v>
      </c>
      <c r="J415" s="2">
        <v>73917.740000000005</v>
      </c>
    </row>
    <row r="416" spans="1:10" x14ac:dyDescent="0.45">
      <c r="A416" s="2" t="s">
        <v>92</v>
      </c>
      <c r="B416" s="2" t="s">
        <v>35</v>
      </c>
      <c r="C416" s="2" t="s">
        <v>38</v>
      </c>
      <c r="D416" s="2" t="s">
        <v>29</v>
      </c>
      <c r="E416" s="2" t="s">
        <v>26</v>
      </c>
      <c r="F416" s="2">
        <v>163253</v>
      </c>
      <c r="G416" s="2">
        <v>1779</v>
      </c>
      <c r="H416" s="2">
        <v>907.29</v>
      </c>
      <c r="I416" s="2">
        <v>121</v>
      </c>
      <c r="J416" s="2">
        <v>18762.73</v>
      </c>
    </row>
    <row r="417" spans="1:10" x14ac:dyDescent="0.45">
      <c r="A417" s="2" t="s">
        <v>182</v>
      </c>
      <c r="B417" s="2" t="s">
        <v>35</v>
      </c>
      <c r="C417" s="2" t="s">
        <v>28</v>
      </c>
      <c r="D417" s="2" t="s">
        <v>17</v>
      </c>
      <c r="E417" s="2" t="s">
        <v>51</v>
      </c>
      <c r="F417" s="2">
        <v>120631</v>
      </c>
      <c r="G417" s="2">
        <v>1532</v>
      </c>
      <c r="H417" s="2">
        <v>1179.6400000000001</v>
      </c>
      <c r="I417" s="2">
        <v>114</v>
      </c>
      <c r="J417" s="2">
        <v>25286.78</v>
      </c>
    </row>
    <row r="418" spans="1:10" x14ac:dyDescent="0.45">
      <c r="A418" s="2" t="s">
        <v>90</v>
      </c>
      <c r="B418" s="2" t="s">
        <v>35</v>
      </c>
      <c r="C418" s="2" t="s">
        <v>38</v>
      </c>
      <c r="D418" s="2" t="s">
        <v>17</v>
      </c>
      <c r="E418" s="2" t="s">
        <v>54</v>
      </c>
      <c r="F418" s="2">
        <v>12610</v>
      </c>
      <c r="G418" s="2">
        <v>197</v>
      </c>
      <c r="H418" s="2">
        <v>130.02000000000001</v>
      </c>
      <c r="I418" s="2">
        <v>11</v>
      </c>
      <c r="J418" s="2">
        <v>2637.16</v>
      </c>
    </row>
    <row r="419" spans="1:10" x14ac:dyDescent="0.45">
      <c r="A419" s="2" t="s">
        <v>64</v>
      </c>
      <c r="B419" s="2" t="s">
        <v>35</v>
      </c>
      <c r="C419" s="2" t="s">
        <v>24</v>
      </c>
      <c r="D419" s="2" t="s">
        <v>25</v>
      </c>
      <c r="E419" s="2" t="s">
        <v>22</v>
      </c>
      <c r="F419" s="2">
        <v>62676</v>
      </c>
      <c r="G419" s="2">
        <v>595</v>
      </c>
      <c r="H419" s="2">
        <v>1439.9</v>
      </c>
      <c r="I419" s="2">
        <v>32</v>
      </c>
      <c r="J419" s="2">
        <v>1319.08</v>
      </c>
    </row>
    <row r="420" spans="1:10" x14ac:dyDescent="0.45">
      <c r="A420" s="2" t="s">
        <v>120</v>
      </c>
      <c r="B420" s="2" t="s">
        <v>15</v>
      </c>
      <c r="C420" s="2" t="s">
        <v>16</v>
      </c>
      <c r="D420" s="2" t="s">
        <v>17</v>
      </c>
      <c r="E420" s="2" t="s">
        <v>22</v>
      </c>
      <c r="F420" s="2">
        <v>59943</v>
      </c>
      <c r="G420" s="2">
        <v>2163</v>
      </c>
      <c r="H420" s="2">
        <v>7116.27</v>
      </c>
      <c r="I420" s="2">
        <v>114</v>
      </c>
      <c r="J420" s="2">
        <v>4800.8100000000004</v>
      </c>
    </row>
    <row r="421" spans="1:10" x14ac:dyDescent="0.45">
      <c r="A421" s="2" t="s">
        <v>219</v>
      </c>
      <c r="B421" s="2" t="s">
        <v>35</v>
      </c>
      <c r="C421" s="2" t="s">
        <v>38</v>
      </c>
      <c r="D421" s="2" t="s">
        <v>29</v>
      </c>
      <c r="E421" s="2" t="s">
        <v>26</v>
      </c>
      <c r="F421" s="2">
        <v>78302</v>
      </c>
      <c r="G421" s="2">
        <v>900</v>
      </c>
      <c r="H421" s="2">
        <v>441</v>
      </c>
      <c r="I421" s="2">
        <v>52</v>
      </c>
      <c r="J421" s="2">
        <v>6354.23</v>
      </c>
    </row>
    <row r="422" spans="1:10" x14ac:dyDescent="0.45">
      <c r="A422" s="2" t="s">
        <v>189</v>
      </c>
      <c r="B422" s="2" t="s">
        <v>15</v>
      </c>
      <c r="C422" s="2" t="s">
        <v>24</v>
      </c>
      <c r="D422" s="2" t="s">
        <v>21</v>
      </c>
      <c r="E422" s="2" t="s">
        <v>22</v>
      </c>
      <c r="F422" s="2">
        <v>154805</v>
      </c>
      <c r="G422" s="2">
        <v>9535</v>
      </c>
      <c r="H422" s="2">
        <v>9153.6</v>
      </c>
      <c r="I422" s="2">
        <v>525</v>
      </c>
      <c r="J422" s="2">
        <v>18155.37</v>
      </c>
    </row>
    <row r="423" spans="1:10" x14ac:dyDescent="0.45">
      <c r="A423" s="2" t="s">
        <v>130</v>
      </c>
      <c r="B423" s="2" t="s">
        <v>20</v>
      </c>
      <c r="C423" s="2" t="s">
        <v>24</v>
      </c>
      <c r="D423" s="2" t="s">
        <v>17</v>
      </c>
      <c r="E423" s="2" t="s">
        <v>54</v>
      </c>
      <c r="F423" s="2">
        <v>41839</v>
      </c>
      <c r="G423" s="2">
        <v>2991</v>
      </c>
      <c r="H423" s="2">
        <v>2961.09</v>
      </c>
      <c r="I423" s="2">
        <v>45</v>
      </c>
      <c r="J423" s="2">
        <v>9665.89</v>
      </c>
    </row>
    <row r="424" spans="1:10" x14ac:dyDescent="0.45">
      <c r="A424" s="2" t="s">
        <v>185</v>
      </c>
      <c r="B424" s="2" t="s">
        <v>35</v>
      </c>
      <c r="C424" s="2" t="s">
        <v>28</v>
      </c>
      <c r="D424" s="2" t="s">
        <v>29</v>
      </c>
      <c r="E424" s="2" t="s">
        <v>51</v>
      </c>
      <c r="F424" s="2">
        <v>127872</v>
      </c>
      <c r="G424" s="2">
        <v>2953</v>
      </c>
      <c r="H424" s="2">
        <v>1742.27</v>
      </c>
      <c r="I424" s="2">
        <v>150</v>
      </c>
      <c r="J424" s="2">
        <v>15282.38</v>
      </c>
    </row>
    <row r="425" spans="1:10" x14ac:dyDescent="0.45">
      <c r="A425" s="2" t="s">
        <v>264</v>
      </c>
      <c r="B425" s="2" t="s">
        <v>15</v>
      </c>
      <c r="C425" s="2" t="s">
        <v>38</v>
      </c>
      <c r="D425" s="2" t="s">
        <v>17</v>
      </c>
      <c r="E425" s="2" t="s">
        <v>30</v>
      </c>
      <c r="F425" s="2">
        <v>146779</v>
      </c>
      <c r="G425" s="2">
        <v>5019</v>
      </c>
      <c r="H425" s="2">
        <v>11142.18</v>
      </c>
      <c r="I425" s="2">
        <v>349</v>
      </c>
      <c r="J425" s="2">
        <v>91145.36</v>
      </c>
    </row>
    <row r="426" spans="1:10" x14ac:dyDescent="0.45">
      <c r="A426" s="2" t="s">
        <v>282</v>
      </c>
      <c r="B426" s="2" t="s">
        <v>15</v>
      </c>
      <c r="C426" s="2" t="s">
        <v>28</v>
      </c>
      <c r="D426" s="2" t="s">
        <v>21</v>
      </c>
      <c r="E426" s="2" t="s">
        <v>26</v>
      </c>
      <c r="F426" s="2">
        <v>133588</v>
      </c>
      <c r="G426" s="2">
        <v>6545</v>
      </c>
      <c r="H426" s="2">
        <v>10995.6</v>
      </c>
      <c r="I426" s="2">
        <v>241</v>
      </c>
      <c r="J426" s="2">
        <v>34421.71</v>
      </c>
    </row>
    <row r="427" spans="1:10" x14ac:dyDescent="0.45">
      <c r="A427" s="2" t="s">
        <v>240</v>
      </c>
      <c r="B427" s="2" t="s">
        <v>15</v>
      </c>
      <c r="C427" s="2" t="s">
        <v>24</v>
      </c>
      <c r="D427" s="2" t="s">
        <v>17</v>
      </c>
      <c r="E427" s="2" t="s">
        <v>22</v>
      </c>
      <c r="F427" s="2">
        <v>82462</v>
      </c>
      <c r="G427" s="2">
        <v>3916</v>
      </c>
      <c r="H427" s="2">
        <v>8223.6</v>
      </c>
      <c r="I427" s="2">
        <v>199</v>
      </c>
      <c r="J427" s="2">
        <v>48785.37</v>
      </c>
    </row>
    <row r="428" spans="1:10" x14ac:dyDescent="0.45">
      <c r="A428" s="2" t="s">
        <v>254</v>
      </c>
      <c r="B428" s="2" t="s">
        <v>15</v>
      </c>
      <c r="C428" s="2" t="s">
        <v>38</v>
      </c>
      <c r="D428" s="2" t="s">
        <v>41</v>
      </c>
      <c r="E428" s="2" t="s">
        <v>54</v>
      </c>
      <c r="F428" s="2">
        <v>55248</v>
      </c>
      <c r="G428" s="2">
        <v>1646</v>
      </c>
      <c r="H428" s="2">
        <v>4279.6000000000004</v>
      </c>
      <c r="I428" s="2">
        <v>43</v>
      </c>
      <c r="J428" s="2">
        <v>12311.15</v>
      </c>
    </row>
    <row r="429" spans="1:10" x14ac:dyDescent="0.45">
      <c r="A429" s="2" t="s">
        <v>283</v>
      </c>
      <c r="B429" s="2" t="s">
        <v>15</v>
      </c>
      <c r="C429" s="2" t="s">
        <v>38</v>
      </c>
      <c r="D429" s="2" t="s">
        <v>25</v>
      </c>
      <c r="E429" s="2" t="s">
        <v>18</v>
      </c>
      <c r="F429" s="2">
        <v>90374</v>
      </c>
      <c r="G429" s="2">
        <v>2349</v>
      </c>
      <c r="H429" s="2">
        <v>2278.5300000000002</v>
      </c>
      <c r="I429" s="2">
        <v>69</v>
      </c>
      <c r="J429" s="2">
        <v>5506.03</v>
      </c>
    </row>
    <row r="430" spans="1:10" x14ac:dyDescent="0.45">
      <c r="A430" s="2" t="s">
        <v>69</v>
      </c>
      <c r="B430" s="2" t="s">
        <v>35</v>
      </c>
      <c r="C430" s="2" t="s">
        <v>24</v>
      </c>
      <c r="D430" s="2" t="s">
        <v>21</v>
      </c>
      <c r="E430" s="2" t="s">
        <v>26</v>
      </c>
      <c r="F430" s="2">
        <v>104976</v>
      </c>
      <c r="G430" s="2">
        <v>1238</v>
      </c>
      <c r="H430" s="2">
        <v>1881.76</v>
      </c>
      <c r="I430" s="2">
        <v>16</v>
      </c>
      <c r="J430" s="2">
        <v>4162.9799999999996</v>
      </c>
    </row>
    <row r="431" spans="1:10" x14ac:dyDescent="0.45">
      <c r="A431" s="2" t="s">
        <v>284</v>
      </c>
      <c r="B431" s="2" t="s">
        <v>15</v>
      </c>
      <c r="C431" s="2" t="s">
        <v>38</v>
      </c>
      <c r="D431" s="2" t="s">
        <v>29</v>
      </c>
      <c r="E431" s="2" t="s">
        <v>54</v>
      </c>
      <c r="F431" s="2">
        <v>124774</v>
      </c>
      <c r="G431" s="2">
        <v>3481</v>
      </c>
      <c r="H431" s="2">
        <v>4212.01</v>
      </c>
      <c r="I431" s="2">
        <v>113</v>
      </c>
      <c r="J431" s="2">
        <v>4447.1899999999996</v>
      </c>
    </row>
    <row r="432" spans="1:10" x14ac:dyDescent="0.45">
      <c r="A432" s="2" t="s">
        <v>34</v>
      </c>
      <c r="B432" s="2" t="s">
        <v>15</v>
      </c>
      <c r="C432" s="2" t="s">
        <v>16</v>
      </c>
      <c r="D432" s="2" t="s">
        <v>29</v>
      </c>
      <c r="E432" s="2" t="s">
        <v>26</v>
      </c>
      <c r="F432" s="2">
        <v>109263</v>
      </c>
      <c r="G432" s="2">
        <v>2829</v>
      </c>
      <c r="H432" s="2">
        <v>2489.52</v>
      </c>
      <c r="I432" s="2">
        <v>129</v>
      </c>
      <c r="J432" s="2">
        <v>14321.34</v>
      </c>
    </row>
    <row r="433" spans="1:10" x14ac:dyDescent="0.45">
      <c r="A433" s="2" t="s">
        <v>88</v>
      </c>
      <c r="B433" s="2" t="s">
        <v>15</v>
      </c>
      <c r="C433" s="2" t="s">
        <v>24</v>
      </c>
      <c r="D433" s="2" t="s">
        <v>17</v>
      </c>
      <c r="E433" s="2" t="s">
        <v>18</v>
      </c>
      <c r="F433" s="2">
        <v>105814</v>
      </c>
      <c r="G433" s="2">
        <v>6126</v>
      </c>
      <c r="H433" s="2">
        <v>17091.54</v>
      </c>
      <c r="I433" s="2">
        <v>289</v>
      </c>
      <c r="J433" s="2">
        <v>45447.24</v>
      </c>
    </row>
    <row r="434" spans="1:10" x14ac:dyDescent="0.45">
      <c r="A434" s="2" t="s">
        <v>74</v>
      </c>
      <c r="B434" s="2" t="s">
        <v>20</v>
      </c>
      <c r="C434" s="2" t="s">
        <v>28</v>
      </c>
      <c r="D434" s="2" t="s">
        <v>25</v>
      </c>
      <c r="E434" s="2" t="s">
        <v>33</v>
      </c>
      <c r="F434" s="2">
        <v>41113</v>
      </c>
      <c r="G434" s="2">
        <v>2347</v>
      </c>
      <c r="H434" s="2">
        <v>2253.12</v>
      </c>
      <c r="I434" s="2">
        <v>33</v>
      </c>
      <c r="J434" s="2">
        <v>2659.26</v>
      </c>
    </row>
    <row r="435" spans="1:10" x14ac:dyDescent="0.45">
      <c r="A435" s="2" t="s">
        <v>285</v>
      </c>
      <c r="B435" s="2" t="s">
        <v>15</v>
      </c>
      <c r="C435" s="2" t="s">
        <v>16</v>
      </c>
      <c r="D435" s="2" t="s">
        <v>29</v>
      </c>
      <c r="E435" s="2" t="s">
        <v>33</v>
      </c>
      <c r="F435" s="2">
        <v>43098</v>
      </c>
      <c r="G435" s="2">
        <v>1620</v>
      </c>
      <c r="H435" s="2">
        <v>4422.6000000000004</v>
      </c>
      <c r="I435" s="2">
        <v>39</v>
      </c>
      <c r="J435" s="2">
        <v>7135.44</v>
      </c>
    </row>
    <row r="436" spans="1:10" x14ac:dyDescent="0.45">
      <c r="A436" s="2" t="s">
        <v>170</v>
      </c>
      <c r="B436" s="2" t="s">
        <v>35</v>
      </c>
      <c r="C436" s="2" t="s">
        <v>38</v>
      </c>
      <c r="D436" s="2" t="s">
        <v>41</v>
      </c>
      <c r="E436" s="2" t="s">
        <v>33</v>
      </c>
      <c r="F436" s="2">
        <v>25991</v>
      </c>
      <c r="G436" s="2">
        <v>309</v>
      </c>
      <c r="H436" s="2">
        <v>469.68</v>
      </c>
      <c r="I436" s="2">
        <v>14</v>
      </c>
      <c r="J436" s="2">
        <v>2306.63</v>
      </c>
    </row>
    <row r="437" spans="1:10" x14ac:dyDescent="0.45">
      <c r="A437" s="2" t="s">
        <v>286</v>
      </c>
      <c r="B437" s="2" t="s">
        <v>15</v>
      </c>
      <c r="C437" s="2" t="s">
        <v>38</v>
      </c>
      <c r="D437" s="2" t="s">
        <v>21</v>
      </c>
      <c r="E437" s="2" t="s">
        <v>51</v>
      </c>
      <c r="F437" s="2">
        <v>150778</v>
      </c>
      <c r="G437" s="2">
        <v>2985</v>
      </c>
      <c r="H437" s="2">
        <v>4149.1499999999996</v>
      </c>
      <c r="I437" s="2">
        <v>59</v>
      </c>
      <c r="J437" s="2">
        <v>16435.61</v>
      </c>
    </row>
    <row r="438" spans="1:10" x14ac:dyDescent="0.45">
      <c r="A438" s="2" t="s">
        <v>275</v>
      </c>
      <c r="B438" s="2" t="s">
        <v>15</v>
      </c>
      <c r="C438" s="2" t="s">
        <v>24</v>
      </c>
      <c r="D438" s="2" t="s">
        <v>21</v>
      </c>
      <c r="E438" s="2" t="s">
        <v>30</v>
      </c>
      <c r="F438" s="2">
        <v>113500</v>
      </c>
      <c r="G438" s="2">
        <v>7604</v>
      </c>
      <c r="H438" s="2">
        <v>9885.2000000000007</v>
      </c>
      <c r="I438" s="2">
        <v>340</v>
      </c>
      <c r="J438" s="2">
        <v>21520.639999999999</v>
      </c>
    </row>
    <row r="439" spans="1:10" x14ac:dyDescent="0.45">
      <c r="A439" s="2" t="s">
        <v>276</v>
      </c>
      <c r="B439" s="2" t="s">
        <v>35</v>
      </c>
      <c r="C439" s="2" t="s">
        <v>24</v>
      </c>
      <c r="D439" s="2" t="s">
        <v>21</v>
      </c>
      <c r="E439" s="2" t="s">
        <v>18</v>
      </c>
      <c r="F439" s="2">
        <v>140453</v>
      </c>
      <c r="G439" s="2">
        <v>4213</v>
      </c>
      <c r="H439" s="2">
        <v>4592.17</v>
      </c>
      <c r="I439" s="2">
        <v>56</v>
      </c>
      <c r="J439" s="2">
        <v>4347.7700000000004</v>
      </c>
    </row>
    <row r="440" spans="1:10" x14ac:dyDescent="0.45">
      <c r="A440" s="2" t="s">
        <v>287</v>
      </c>
      <c r="B440" s="2" t="s">
        <v>20</v>
      </c>
      <c r="C440" s="2" t="s">
        <v>38</v>
      </c>
      <c r="D440" s="2" t="s">
        <v>29</v>
      </c>
      <c r="E440" s="2" t="s">
        <v>30</v>
      </c>
      <c r="F440" s="2">
        <v>27936</v>
      </c>
      <c r="G440" s="2">
        <v>1402</v>
      </c>
      <c r="H440" s="2">
        <v>1850.64</v>
      </c>
      <c r="I440" s="2">
        <v>99</v>
      </c>
      <c r="J440" s="2">
        <v>26865.9</v>
      </c>
    </row>
    <row r="441" spans="1:10" x14ac:dyDescent="0.45">
      <c r="A441" s="2" t="s">
        <v>62</v>
      </c>
      <c r="B441" s="2" t="s">
        <v>20</v>
      </c>
      <c r="C441" s="2" t="s">
        <v>38</v>
      </c>
      <c r="D441" s="2" t="s">
        <v>29</v>
      </c>
      <c r="E441" s="2" t="s">
        <v>22</v>
      </c>
      <c r="F441" s="2">
        <v>133303</v>
      </c>
      <c r="G441" s="2">
        <v>4225</v>
      </c>
      <c r="H441" s="2">
        <v>6464.25</v>
      </c>
      <c r="I441" s="2">
        <v>139</v>
      </c>
      <c r="J441" s="2">
        <v>8508.68</v>
      </c>
    </row>
    <row r="442" spans="1:10" x14ac:dyDescent="0.45">
      <c r="A442" s="2" t="s">
        <v>288</v>
      </c>
      <c r="B442" s="2" t="s">
        <v>15</v>
      </c>
      <c r="C442" s="2" t="s">
        <v>24</v>
      </c>
      <c r="D442" s="2" t="s">
        <v>21</v>
      </c>
      <c r="E442" s="2" t="s">
        <v>18</v>
      </c>
      <c r="F442" s="2">
        <v>117333</v>
      </c>
      <c r="G442" s="2">
        <v>2898</v>
      </c>
      <c r="H442" s="2">
        <v>11389.14</v>
      </c>
      <c r="I442" s="2">
        <v>48</v>
      </c>
      <c r="J442" s="2">
        <v>5367.73</v>
      </c>
    </row>
    <row r="443" spans="1:10" x14ac:dyDescent="0.45">
      <c r="A443" s="2" t="s">
        <v>196</v>
      </c>
      <c r="B443" s="2" t="s">
        <v>35</v>
      </c>
      <c r="C443" s="2" t="s">
        <v>38</v>
      </c>
      <c r="D443" s="2" t="s">
        <v>29</v>
      </c>
      <c r="E443" s="2" t="s">
        <v>26</v>
      </c>
      <c r="F443" s="2">
        <v>152680</v>
      </c>
      <c r="G443" s="2">
        <v>6214</v>
      </c>
      <c r="H443" s="2">
        <v>13049.4</v>
      </c>
      <c r="I443" s="2">
        <v>283</v>
      </c>
      <c r="J443" s="2">
        <v>13261.37</v>
      </c>
    </row>
    <row r="444" spans="1:10" x14ac:dyDescent="0.45">
      <c r="A444" s="2" t="s">
        <v>289</v>
      </c>
      <c r="B444" s="2" t="s">
        <v>15</v>
      </c>
      <c r="C444" s="2" t="s">
        <v>38</v>
      </c>
      <c r="D444" s="2" t="s">
        <v>25</v>
      </c>
      <c r="E444" s="2" t="s">
        <v>26</v>
      </c>
      <c r="F444" s="2">
        <v>168384</v>
      </c>
      <c r="G444" s="2">
        <v>4681</v>
      </c>
      <c r="H444" s="2">
        <v>12030.17</v>
      </c>
      <c r="I444" s="2">
        <v>267</v>
      </c>
      <c r="J444" s="2">
        <v>58628.480000000003</v>
      </c>
    </row>
    <row r="445" spans="1:10" x14ac:dyDescent="0.45">
      <c r="A445" s="2" t="s">
        <v>290</v>
      </c>
      <c r="B445" s="2" t="s">
        <v>15</v>
      </c>
      <c r="C445" s="2" t="s">
        <v>38</v>
      </c>
      <c r="D445" s="2" t="s">
        <v>17</v>
      </c>
      <c r="E445" s="2" t="s">
        <v>54</v>
      </c>
      <c r="F445" s="2">
        <v>106026</v>
      </c>
      <c r="G445" s="2">
        <v>5152</v>
      </c>
      <c r="H445" s="2">
        <v>8861.44</v>
      </c>
      <c r="I445" s="2">
        <v>240</v>
      </c>
      <c r="J445" s="2">
        <v>50663.13</v>
      </c>
    </row>
    <row r="446" spans="1:10" x14ac:dyDescent="0.45">
      <c r="A446" s="2" t="s">
        <v>40</v>
      </c>
      <c r="B446" s="2" t="s">
        <v>15</v>
      </c>
      <c r="C446" s="2" t="s">
        <v>16</v>
      </c>
      <c r="D446" s="2" t="s">
        <v>41</v>
      </c>
      <c r="E446" s="2" t="s">
        <v>30</v>
      </c>
      <c r="F446" s="2">
        <v>107364</v>
      </c>
      <c r="G446" s="2">
        <v>4895</v>
      </c>
      <c r="H446" s="2">
        <v>12971.75</v>
      </c>
      <c r="I446" s="2">
        <v>200</v>
      </c>
      <c r="J446" s="2">
        <v>42108.23</v>
      </c>
    </row>
    <row r="447" spans="1:10" x14ac:dyDescent="0.45">
      <c r="A447" s="2" t="s">
        <v>199</v>
      </c>
      <c r="B447" s="2" t="s">
        <v>15</v>
      </c>
      <c r="C447" s="2" t="s">
        <v>24</v>
      </c>
      <c r="D447" s="2" t="s">
        <v>21</v>
      </c>
      <c r="E447" s="2" t="s">
        <v>22</v>
      </c>
      <c r="F447" s="2">
        <v>132152</v>
      </c>
      <c r="G447" s="2">
        <v>7572</v>
      </c>
      <c r="H447" s="2">
        <v>8632.08</v>
      </c>
      <c r="I447" s="2">
        <v>552</v>
      </c>
      <c r="J447" s="2">
        <v>115644.47</v>
      </c>
    </row>
    <row r="448" spans="1:10" x14ac:dyDescent="0.45">
      <c r="A448" s="2" t="s">
        <v>105</v>
      </c>
      <c r="B448" s="2" t="s">
        <v>15</v>
      </c>
      <c r="C448" s="2" t="s">
        <v>28</v>
      </c>
      <c r="D448" s="2" t="s">
        <v>17</v>
      </c>
      <c r="E448" s="2" t="s">
        <v>54</v>
      </c>
      <c r="F448" s="2">
        <v>116695</v>
      </c>
      <c r="G448" s="2">
        <v>5799</v>
      </c>
      <c r="H448" s="2">
        <v>18150.87</v>
      </c>
      <c r="I448" s="2">
        <v>372</v>
      </c>
      <c r="J448" s="2">
        <v>56034.95</v>
      </c>
    </row>
    <row r="449" spans="1:10" x14ac:dyDescent="0.45">
      <c r="A449" s="2" t="s">
        <v>291</v>
      </c>
      <c r="B449" s="2" t="s">
        <v>35</v>
      </c>
      <c r="C449" s="2" t="s">
        <v>16</v>
      </c>
      <c r="D449" s="2" t="s">
        <v>41</v>
      </c>
      <c r="E449" s="2" t="s">
        <v>22</v>
      </c>
      <c r="F449" s="2">
        <v>116030</v>
      </c>
      <c r="G449" s="2">
        <v>4177</v>
      </c>
      <c r="H449" s="2">
        <v>3759.3</v>
      </c>
      <c r="I449" s="2">
        <v>188</v>
      </c>
      <c r="J449" s="2">
        <v>8691.11</v>
      </c>
    </row>
    <row r="450" spans="1:10" x14ac:dyDescent="0.45">
      <c r="A450" s="2" t="s">
        <v>226</v>
      </c>
      <c r="B450" s="2" t="s">
        <v>20</v>
      </c>
      <c r="C450" s="2" t="s">
        <v>16</v>
      </c>
      <c r="D450" s="2" t="s">
        <v>41</v>
      </c>
      <c r="E450" s="2" t="s">
        <v>54</v>
      </c>
      <c r="F450" s="2">
        <v>164599</v>
      </c>
      <c r="G450" s="2">
        <v>11209</v>
      </c>
      <c r="H450" s="2">
        <v>4595.6899999999996</v>
      </c>
      <c r="I450" s="2">
        <v>653</v>
      </c>
      <c r="J450" s="2">
        <v>133415.01</v>
      </c>
    </row>
    <row r="451" spans="1:10" x14ac:dyDescent="0.45">
      <c r="A451" s="2" t="s">
        <v>174</v>
      </c>
      <c r="B451" s="2" t="s">
        <v>20</v>
      </c>
      <c r="C451" s="2" t="s">
        <v>24</v>
      </c>
      <c r="D451" s="2" t="s">
        <v>17</v>
      </c>
      <c r="E451" s="2" t="s">
        <v>51</v>
      </c>
      <c r="F451" s="2">
        <v>188844</v>
      </c>
      <c r="G451" s="2">
        <v>12860</v>
      </c>
      <c r="H451" s="2">
        <v>12602.8</v>
      </c>
      <c r="I451" s="2">
        <v>892</v>
      </c>
      <c r="J451" s="2">
        <v>133607.64000000001</v>
      </c>
    </row>
    <row r="452" spans="1:10" x14ac:dyDescent="0.45">
      <c r="A452" s="2" t="s">
        <v>132</v>
      </c>
      <c r="B452" s="2" t="s">
        <v>20</v>
      </c>
      <c r="C452" s="2" t="s">
        <v>16</v>
      </c>
      <c r="D452" s="2" t="s">
        <v>41</v>
      </c>
      <c r="E452" s="2" t="s">
        <v>33</v>
      </c>
      <c r="F452" s="2">
        <v>90468</v>
      </c>
      <c r="G452" s="2">
        <v>5753</v>
      </c>
      <c r="H452" s="2">
        <v>4602.3999999999996</v>
      </c>
      <c r="I452" s="2">
        <v>141</v>
      </c>
      <c r="J452" s="2">
        <v>12042.73</v>
      </c>
    </row>
    <row r="453" spans="1:10" x14ac:dyDescent="0.45">
      <c r="A453" s="2" t="s">
        <v>102</v>
      </c>
      <c r="B453" s="2" t="s">
        <v>15</v>
      </c>
      <c r="C453" s="2" t="s">
        <v>24</v>
      </c>
      <c r="D453" s="2" t="s">
        <v>41</v>
      </c>
      <c r="E453" s="2" t="s">
        <v>54</v>
      </c>
      <c r="F453" s="2">
        <v>117223</v>
      </c>
      <c r="G453" s="2">
        <v>7935</v>
      </c>
      <c r="H453" s="2">
        <v>16028.7</v>
      </c>
      <c r="I453" s="2">
        <v>166</v>
      </c>
      <c r="J453" s="2">
        <v>47449.87</v>
      </c>
    </row>
    <row r="454" spans="1:10" x14ac:dyDescent="0.45">
      <c r="A454" s="2" t="s">
        <v>95</v>
      </c>
      <c r="B454" s="2" t="s">
        <v>20</v>
      </c>
      <c r="C454" s="2" t="s">
        <v>28</v>
      </c>
      <c r="D454" s="2" t="s">
        <v>29</v>
      </c>
      <c r="E454" s="2" t="s">
        <v>30</v>
      </c>
      <c r="F454" s="2">
        <v>93478</v>
      </c>
      <c r="G454" s="2">
        <v>5786</v>
      </c>
      <c r="H454" s="2">
        <v>2430.12</v>
      </c>
      <c r="I454" s="2">
        <v>272</v>
      </c>
      <c r="J454" s="2">
        <v>27905.19</v>
      </c>
    </row>
    <row r="455" spans="1:10" x14ac:dyDescent="0.45">
      <c r="A455" s="2" t="s">
        <v>78</v>
      </c>
      <c r="B455" s="2" t="s">
        <v>15</v>
      </c>
      <c r="C455" s="2" t="s">
        <v>24</v>
      </c>
      <c r="D455" s="2" t="s">
        <v>21</v>
      </c>
      <c r="E455" s="2" t="s">
        <v>33</v>
      </c>
      <c r="F455" s="2">
        <v>9134</v>
      </c>
      <c r="G455" s="2">
        <v>228</v>
      </c>
      <c r="H455" s="2">
        <v>316.92</v>
      </c>
      <c r="I455" s="2">
        <v>2</v>
      </c>
      <c r="J455" s="2">
        <v>329.55</v>
      </c>
    </row>
    <row r="456" spans="1:10" x14ac:dyDescent="0.45">
      <c r="A456" s="2" t="s">
        <v>292</v>
      </c>
      <c r="B456" s="2" t="s">
        <v>35</v>
      </c>
      <c r="C456" s="2" t="s">
        <v>38</v>
      </c>
      <c r="D456" s="2" t="s">
        <v>41</v>
      </c>
      <c r="E456" s="2" t="s">
        <v>18</v>
      </c>
      <c r="F456" s="2">
        <v>29485</v>
      </c>
      <c r="G456" s="2">
        <v>1341</v>
      </c>
      <c r="H456" s="2">
        <v>1890.81</v>
      </c>
      <c r="I456" s="2">
        <v>46</v>
      </c>
      <c r="J456" s="2">
        <v>4626.55</v>
      </c>
    </row>
    <row r="457" spans="1:10" x14ac:dyDescent="0.45">
      <c r="A457" s="2" t="s">
        <v>195</v>
      </c>
      <c r="B457" s="2" t="s">
        <v>20</v>
      </c>
      <c r="C457" s="2" t="s">
        <v>24</v>
      </c>
      <c r="D457" s="2" t="s">
        <v>29</v>
      </c>
      <c r="E457" s="2" t="s">
        <v>33</v>
      </c>
      <c r="F457" s="2">
        <v>22221</v>
      </c>
      <c r="G457" s="2">
        <v>1706</v>
      </c>
      <c r="H457" s="2">
        <v>853</v>
      </c>
      <c r="I457" s="2">
        <v>74</v>
      </c>
      <c r="J457" s="2">
        <v>14659.06</v>
      </c>
    </row>
    <row r="458" spans="1:10" x14ac:dyDescent="0.45">
      <c r="A458" s="2" t="s">
        <v>270</v>
      </c>
      <c r="B458" s="2" t="s">
        <v>15</v>
      </c>
      <c r="C458" s="2" t="s">
        <v>38</v>
      </c>
      <c r="D458" s="2" t="s">
        <v>29</v>
      </c>
      <c r="E458" s="2" t="s">
        <v>30</v>
      </c>
      <c r="F458" s="2">
        <v>178567</v>
      </c>
      <c r="G458" s="2">
        <v>8374</v>
      </c>
      <c r="H458" s="2">
        <v>11137.42</v>
      </c>
      <c r="I458" s="2">
        <v>98</v>
      </c>
      <c r="J458" s="2">
        <v>8808.2900000000009</v>
      </c>
    </row>
    <row r="459" spans="1:10" x14ac:dyDescent="0.45">
      <c r="A459" s="2" t="s">
        <v>184</v>
      </c>
      <c r="B459" s="2" t="s">
        <v>20</v>
      </c>
      <c r="C459" s="2" t="s">
        <v>38</v>
      </c>
      <c r="D459" s="2" t="s">
        <v>41</v>
      </c>
      <c r="E459" s="2" t="s">
        <v>54</v>
      </c>
      <c r="F459" s="2">
        <v>93074</v>
      </c>
      <c r="G459" s="2">
        <v>4225</v>
      </c>
      <c r="H459" s="2">
        <v>6506.5</v>
      </c>
      <c r="I459" s="2">
        <v>300</v>
      </c>
      <c r="J459" s="2">
        <v>11467.08</v>
      </c>
    </row>
    <row r="460" spans="1:10" x14ac:dyDescent="0.45">
      <c r="A460" s="2" t="s">
        <v>145</v>
      </c>
      <c r="B460" s="2" t="s">
        <v>15</v>
      </c>
      <c r="C460" s="2" t="s">
        <v>16</v>
      </c>
      <c r="D460" s="2" t="s">
        <v>25</v>
      </c>
      <c r="E460" s="2" t="s">
        <v>54</v>
      </c>
      <c r="F460" s="2">
        <v>155840</v>
      </c>
      <c r="G460" s="2">
        <v>4566</v>
      </c>
      <c r="H460" s="2">
        <v>5113.92</v>
      </c>
      <c r="I460" s="2">
        <v>312</v>
      </c>
      <c r="J460" s="2">
        <v>40138.5</v>
      </c>
    </row>
    <row r="461" spans="1:10" x14ac:dyDescent="0.45">
      <c r="A461" s="2" t="s">
        <v>293</v>
      </c>
      <c r="B461" s="2" t="s">
        <v>20</v>
      </c>
      <c r="C461" s="2" t="s">
        <v>38</v>
      </c>
      <c r="D461" s="2" t="s">
        <v>41</v>
      </c>
      <c r="E461" s="2" t="s">
        <v>51</v>
      </c>
      <c r="F461" s="2">
        <v>21956</v>
      </c>
      <c r="G461" s="2">
        <v>1611</v>
      </c>
      <c r="H461" s="2">
        <v>2271.5100000000002</v>
      </c>
      <c r="I461" s="2">
        <v>79</v>
      </c>
      <c r="J461" s="2">
        <v>9545.2800000000007</v>
      </c>
    </row>
    <row r="462" spans="1:10" x14ac:dyDescent="0.45">
      <c r="A462" s="2" t="s">
        <v>214</v>
      </c>
      <c r="B462" s="2" t="s">
        <v>35</v>
      </c>
      <c r="C462" s="2" t="s">
        <v>16</v>
      </c>
      <c r="D462" s="2" t="s">
        <v>41</v>
      </c>
      <c r="E462" s="2" t="s">
        <v>26</v>
      </c>
      <c r="F462" s="2">
        <v>177224</v>
      </c>
      <c r="G462" s="2">
        <v>2374</v>
      </c>
      <c r="H462" s="2">
        <v>3727.18</v>
      </c>
      <c r="I462" s="2">
        <v>142</v>
      </c>
      <c r="J462" s="2">
        <v>18303.419999999998</v>
      </c>
    </row>
    <row r="463" spans="1:10" x14ac:dyDescent="0.45">
      <c r="A463" s="2" t="s">
        <v>264</v>
      </c>
      <c r="B463" s="2" t="s">
        <v>15</v>
      </c>
      <c r="C463" s="2" t="s">
        <v>16</v>
      </c>
      <c r="D463" s="2" t="s">
        <v>21</v>
      </c>
      <c r="E463" s="2" t="s">
        <v>18</v>
      </c>
      <c r="F463" s="2">
        <v>93720</v>
      </c>
      <c r="G463" s="2">
        <v>2661</v>
      </c>
      <c r="H463" s="2">
        <v>4523.7</v>
      </c>
      <c r="I463" s="2">
        <v>104</v>
      </c>
      <c r="J463" s="2">
        <v>18904.07</v>
      </c>
    </row>
    <row r="464" spans="1:10" x14ac:dyDescent="0.45">
      <c r="A464" s="2" t="s">
        <v>94</v>
      </c>
      <c r="B464" s="2" t="s">
        <v>15</v>
      </c>
      <c r="C464" s="2" t="s">
        <v>38</v>
      </c>
      <c r="D464" s="2" t="s">
        <v>21</v>
      </c>
      <c r="E464" s="2" t="s">
        <v>26</v>
      </c>
      <c r="F464" s="2">
        <v>169909</v>
      </c>
      <c r="G464" s="2">
        <v>7781</v>
      </c>
      <c r="H464" s="2">
        <v>19452.5</v>
      </c>
      <c r="I464" s="2">
        <v>124</v>
      </c>
      <c r="J464" s="2">
        <v>26123.279999999999</v>
      </c>
    </row>
    <row r="465" spans="1:10" x14ac:dyDescent="0.45">
      <c r="A465" s="2" t="s">
        <v>294</v>
      </c>
      <c r="B465" s="2" t="s">
        <v>35</v>
      </c>
      <c r="C465" s="2" t="s">
        <v>24</v>
      </c>
      <c r="D465" s="2" t="s">
        <v>25</v>
      </c>
      <c r="E465" s="2" t="s">
        <v>26</v>
      </c>
      <c r="F465" s="2">
        <v>46548</v>
      </c>
      <c r="G465" s="2">
        <v>1047</v>
      </c>
      <c r="H465" s="2">
        <v>1622.85</v>
      </c>
      <c r="I465" s="2">
        <v>28</v>
      </c>
      <c r="J465" s="2">
        <v>7800.92</v>
      </c>
    </row>
    <row r="466" spans="1:10" x14ac:dyDescent="0.45">
      <c r="A466" s="2" t="s">
        <v>295</v>
      </c>
      <c r="B466" s="2" t="s">
        <v>35</v>
      </c>
      <c r="C466" s="2" t="s">
        <v>16</v>
      </c>
      <c r="D466" s="2" t="s">
        <v>25</v>
      </c>
      <c r="E466" s="2" t="s">
        <v>26</v>
      </c>
      <c r="F466" s="2">
        <v>6875</v>
      </c>
      <c r="G466" s="2">
        <v>158</v>
      </c>
      <c r="H466" s="2">
        <v>289.14</v>
      </c>
      <c r="I466" s="2">
        <v>2</v>
      </c>
      <c r="J466" s="2">
        <v>386.94</v>
      </c>
    </row>
    <row r="467" spans="1:10" x14ac:dyDescent="0.45">
      <c r="A467" s="2" t="s">
        <v>58</v>
      </c>
      <c r="B467" s="2" t="s">
        <v>15</v>
      </c>
      <c r="C467" s="2" t="s">
        <v>16</v>
      </c>
      <c r="D467" s="2" t="s">
        <v>29</v>
      </c>
      <c r="E467" s="2" t="s">
        <v>51</v>
      </c>
      <c r="F467" s="2">
        <v>106975</v>
      </c>
      <c r="G467" s="2">
        <v>4300</v>
      </c>
      <c r="H467" s="2">
        <v>10277</v>
      </c>
      <c r="I467" s="2">
        <v>335</v>
      </c>
      <c r="J467" s="2">
        <v>35904.36</v>
      </c>
    </row>
    <row r="468" spans="1:10" x14ac:dyDescent="0.45">
      <c r="A468" s="2" t="s">
        <v>210</v>
      </c>
      <c r="B468" s="2" t="s">
        <v>15</v>
      </c>
      <c r="C468" s="2" t="s">
        <v>28</v>
      </c>
      <c r="D468" s="2" t="s">
        <v>29</v>
      </c>
      <c r="E468" s="2" t="s">
        <v>22</v>
      </c>
      <c r="F468" s="2">
        <v>10574</v>
      </c>
      <c r="G468" s="2">
        <v>389</v>
      </c>
      <c r="H468" s="2">
        <v>1007.51</v>
      </c>
      <c r="I468" s="2">
        <v>6</v>
      </c>
      <c r="J468" s="2">
        <v>908.68</v>
      </c>
    </row>
    <row r="469" spans="1:10" x14ac:dyDescent="0.45">
      <c r="A469" s="2" t="s">
        <v>256</v>
      </c>
      <c r="B469" s="2" t="s">
        <v>20</v>
      </c>
      <c r="C469" s="2" t="s">
        <v>24</v>
      </c>
      <c r="D469" s="2" t="s">
        <v>17</v>
      </c>
      <c r="E469" s="2" t="s">
        <v>54</v>
      </c>
      <c r="F469" s="2">
        <v>147658</v>
      </c>
      <c r="G469" s="2">
        <v>6939</v>
      </c>
      <c r="H469" s="2">
        <v>5967.54</v>
      </c>
      <c r="I469" s="2">
        <v>282</v>
      </c>
      <c r="J469" s="2">
        <v>39581.75</v>
      </c>
    </row>
    <row r="470" spans="1:10" x14ac:dyDescent="0.45">
      <c r="A470" s="2" t="s">
        <v>152</v>
      </c>
      <c r="B470" s="2" t="s">
        <v>35</v>
      </c>
      <c r="C470" s="2" t="s">
        <v>28</v>
      </c>
      <c r="D470" s="2" t="s">
        <v>29</v>
      </c>
      <c r="E470" s="2" t="s">
        <v>33</v>
      </c>
      <c r="F470" s="2">
        <v>52013</v>
      </c>
      <c r="G470" s="2">
        <v>1565</v>
      </c>
      <c r="H470" s="2">
        <v>1611.95</v>
      </c>
      <c r="I470" s="2">
        <v>23</v>
      </c>
      <c r="J470" s="2">
        <v>6481.69</v>
      </c>
    </row>
    <row r="471" spans="1:10" x14ac:dyDescent="0.45">
      <c r="A471" s="2" t="s">
        <v>296</v>
      </c>
      <c r="B471" s="2" t="s">
        <v>15</v>
      </c>
      <c r="C471" s="2" t="s">
        <v>16</v>
      </c>
      <c r="D471" s="2" t="s">
        <v>41</v>
      </c>
      <c r="E471" s="2" t="s">
        <v>51</v>
      </c>
      <c r="F471" s="2">
        <v>49484</v>
      </c>
      <c r="G471" s="2">
        <v>1118</v>
      </c>
      <c r="H471" s="2">
        <v>2291.9</v>
      </c>
      <c r="I471" s="2">
        <v>79</v>
      </c>
      <c r="J471" s="2">
        <v>18417.53</v>
      </c>
    </row>
    <row r="472" spans="1:10" x14ac:dyDescent="0.45">
      <c r="A472" s="2" t="s">
        <v>49</v>
      </c>
      <c r="B472" s="2" t="s">
        <v>15</v>
      </c>
      <c r="C472" s="2" t="s">
        <v>16</v>
      </c>
      <c r="D472" s="2" t="s">
        <v>25</v>
      </c>
      <c r="E472" s="2" t="s">
        <v>26</v>
      </c>
      <c r="F472" s="2">
        <v>18877</v>
      </c>
      <c r="G472" s="2">
        <v>545</v>
      </c>
      <c r="H472" s="2">
        <v>1744</v>
      </c>
      <c r="I472" s="2">
        <v>26</v>
      </c>
      <c r="J472" s="2">
        <v>5981</v>
      </c>
    </row>
    <row r="473" spans="1:10" x14ac:dyDescent="0.45">
      <c r="A473" s="2" t="s">
        <v>111</v>
      </c>
      <c r="B473" s="2" t="s">
        <v>35</v>
      </c>
      <c r="C473" s="2" t="s">
        <v>28</v>
      </c>
      <c r="D473" s="2" t="s">
        <v>25</v>
      </c>
      <c r="E473" s="2" t="s">
        <v>22</v>
      </c>
      <c r="F473" s="2">
        <v>106505</v>
      </c>
      <c r="G473" s="2">
        <v>1022</v>
      </c>
      <c r="H473" s="2">
        <v>1839.6</v>
      </c>
      <c r="I473" s="2">
        <v>27</v>
      </c>
      <c r="J473" s="2">
        <v>2467.1799999999998</v>
      </c>
    </row>
    <row r="474" spans="1:10" x14ac:dyDescent="0.45">
      <c r="A474" s="2" t="s">
        <v>144</v>
      </c>
      <c r="B474" s="2" t="s">
        <v>15</v>
      </c>
      <c r="C474" s="2" t="s">
        <v>16</v>
      </c>
      <c r="D474" s="2" t="s">
        <v>41</v>
      </c>
      <c r="E474" s="2" t="s">
        <v>51</v>
      </c>
      <c r="F474" s="2">
        <v>65107</v>
      </c>
      <c r="G474" s="2">
        <v>1777</v>
      </c>
      <c r="H474" s="2">
        <v>2896.51</v>
      </c>
      <c r="I474" s="2">
        <v>128</v>
      </c>
      <c r="J474" s="2">
        <v>29612.560000000001</v>
      </c>
    </row>
    <row r="475" spans="1:10" x14ac:dyDescent="0.45">
      <c r="A475" s="2" t="s">
        <v>297</v>
      </c>
      <c r="B475" s="2" t="s">
        <v>15</v>
      </c>
      <c r="C475" s="2" t="s">
        <v>28</v>
      </c>
      <c r="D475" s="2" t="s">
        <v>29</v>
      </c>
      <c r="E475" s="2" t="s">
        <v>51</v>
      </c>
      <c r="F475" s="2">
        <v>69839</v>
      </c>
      <c r="G475" s="2">
        <v>1620</v>
      </c>
      <c r="H475" s="2">
        <v>2041.2</v>
      </c>
      <c r="I475" s="2">
        <v>80</v>
      </c>
      <c r="J475" s="2">
        <v>22785.52</v>
      </c>
    </row>
    <row r="476" spans="1:10" x14ac:dyDescent="0.45">
      <c r="A476" s="2" t="s">
        <v>62</v>
      </c>
      <c r="B476" s="2" t="s">
        <v>15</v>
      </c>
      <c r="C476" s="2" t="s">
        <v>24</v>
      </c>
      <c r="D476" s="2" t="s">
        <v>29</v>
      </c>
      <c r="E476" s="2" t="s">
        <v>26</v>
      </c>
      <c r="F476" s="2">
        <v>104794</v>
      </c>
      <c r="G476" s="2">
        <v>5920</v>
      </c>
      <c r="H476" s="2">
        <v>21667.200000000001</v>
      </c>
      <c r="I476" s="2">
        <v>359</v>
      </c>
      <c r="J476" s="2">
        <v>21837.83</v>
      </c>
    </row>
    <row r="477" spans="1:10" x14ac:dyDescent="0.45">
      <c r="A477" s="2" t="s">
        <v>252</v>
      </c>
      <c r="B477" s="2" t="s">
        <v>35</v>
      </c>
      <c r="C477" s="2" t="s">
        <v>24</v>
      </c>
      <c r="D477" s="2" t="s">
        <v>21</v>
      </c>
      <c r="E477" s="2" t="s">
        <v>26</v>
      </c>
      <c r="F477" s="2">
        <v>33549</v>
      </c>
      <c r="G477" s="2">
        <v>1224</v>
      </c>
      <c r="H477" s="2">
        <v>930.24</v>
      </c>
      <c r="I477" s="2">
        <v>89</v>
      </c>
      <c r="J477" s="2">
        <v>26101.34</v>
      </c>
    </row>
    <row r="478" spans="1:10" x14ac:dyDescent="0.45">
      <c r="A478" s="2" t="s">
        <v>136</v>
      </c>
      <c r="B478" s="2" t="s">
        <v>15</v>
      </c>
      <c r="C478" s="2" t="s">
        <v>24</v>
      </c>
      <c r="D478" s="2" t="s">
        <v>29</v>
      </c>
      <c r="E478" s="2" t="s">
        <v>30</v>
      </c>
      <c r="F478" s="2">
        <v>133027</v>
      </c>
      <c r="G478" s="2">
        <v>7808</v>
      </c>
      <c r="H478" s="2">
        <v>9838.08</v>
      </c>
      <c r="I478" s="2">
        <v>153</v>
      </c>
      <c r="J478" s="2">
        <v>22193.119999999999</v>
      </c>
    </row>
    <row r="479" spans="1:10" x14ac:dyDescent="0.45">
      <c r="A479" s="2" t="s">
        <v>63</v>
      </c>
      <c r="B479" s="2" t="s">
        <v>35</v>
      </c>
      <c r="C479" s="2" t="s">
        <v>24</v>
      </c>
      <c r="D479" s="2" t="s">
        <v>21</v>
      </c>
      <c r="E479" s="2" t="s">
        <v>30</v>
      </c>
      <c r="F479" s="2">
        <v>27419</v>
      </c>
      <c r="G479" s="2">
        <v>1192</v>
      </c>
      <c r="H479" s="2">
        <v>2181.36</v>
      </c>
      <c r="I479" s="2">
        <v>38</v>
      </c>
      <c r="J479" s="2">
        <v>5935.39</v>
      </c>
    </row>
    <row r="480" spans="1:10" x14ac:dyDescent="0.45">
      <c r="A480" s="2" t="s">
        <v>65</v>
      </c>
      <c r="B480" s="2" t="s">
        <v>15</v>
      </c>
      <c r="C480" s="2" t="s">
        <v>24</v>
      </c>
      <c r="D480" s="2" t="s">
        <v>25</v>
      </c>
      <c r="E480" s="2" t="s">
        <v>33</v>
      </c>
      <c r="F480" s="2">
        <v>102648</v>
      </c>
      <c r="G480" s="2">
        <v>2330</v>
      </c>
      <c r="H480" s="2">
        <v>5941.5</v>
      </c>
      <c r="I480" s="2">
        <v>157</v>
      </c>
      <c r="J480" s="2">
        <v>28653.63</v>
      </c>
    </row>
    <row r="481" spans="1:10" x14ac:dyDescent="0.45">
      <c r="A481" s="2" t="s">
        <v>142</v>
      </c>
      <c r="B481" s="2" t="s">
        <v>15</v>
      </c>
      <c r="C481" s="2" t="s">
        <v>38</v>
      </c>
      <c r="D481" s="2" t="s">
        <v>41</v>
      </c>
      <c r="E481" s="2" t="s">
        <v>33</v>
      </c>
      <c r="F481" s="2">
        <v>181687</v>
      </c>
      <c r="G481" s="2">
        <v>8321</v>
      </c>
      <c r="H481" s="2">
        <v>26127.94</v>
      </c>
      <c r="I481" s="2">
        <v>651</v>
      </c>
      <c r="J481" s="2">
        <v>189283.47</v>
      </c>
    </row>
    <row r="482" spans="1:10" x14ac:dyDescent="0.45">
      <c r="A482" s="2" t="s">
        <v>298</v>
      </c>
      <c r="B482" s="2" t="s">
        <v>15</v>
      </c>
      <c r="C482" s="2" t="s">
        <v>38</v>
      </c>
      <c r="D482" s="2" t="s">
        <v>29</v>
      </c>
      <c r="E482" s="2" t="s">
        <v>22</v>
      </c>
      <c r="F482" s="2">
        <v>166792</v>
      </c>
      <c r="G482" s="2">
        <v>6071</v>
      </c>
      <c r="H482" s="2">
        <v>19123.650000000001</v>
      </c>
      <c r="I482" s="2">
        <v>323</v>
      </c>
      <c r="J482" s="2">
        <v>23590.83</v>
      </c>
    </row>
    <row r="483" spans="1:10" x14ac:dyDescent="0.45">
      <c r="A483" s="2" t="s">
        <v>282</v>
      </c>
      <c r="B483" s="2" t="s">
        <v>20</v>
      </c>
      <c r="C483" s="2" t="s">
        <v>16</v>
      </c>
      <c r="D483" s="2" t="s">
        <v>29</v>
      </c>
      <c r="E483" s="2" t="s">
        <v>26</v>
      </c>
      <c r="F483" s="2">
        <v>7889</v>
      </c>
      <c r="G483" s="2">
        <v>416</v>
      </c>
      <c r="H483" s="2">
        <v>416</v>
      </c>
      <c r="I483" s="2">
        <v>16</v>
      </c>
      <c r="J483" s="2">
        <v>2147.9499999999998</v>
      </c>
    </row>
    <row r="484" spans="1:10" x14ac:dyDescent="0.45">
      <c r="A484" s="2" t="s">
        <v>299</v>
      </c>
      <c r="B484" s="2" t="s">
        <v>35</v>
      </c>
      <c r="C484" s="2" t="s">
        <v>24</v>
      </c>
      <c r="D484" s="2" t="s">
        <v>41</v>
      </c>
      <c r="E484" s="2" t="s">
        <v>51</v>
      </c>
      <c r="F484" s="2">
        <v>129746</v>
      </c>
      <c r="G484" s="2">
        <v>4891</v>
      </c>
      <c r="H484" s="2">
        <v>8852.7099999999991</v>
      </c>
      <c r="I484" s="2">
        <v>117</v>
      </c>
      <c r="J484" s="2">
        <v>26101.17</v>
      </c>
    </row>
    <row r="485" spans="1:10" x14ac:dyDescent="0.45">
      <c r="A485" s="2" t="s">
        <v>213</v>
      </c>
      <c r="B485" s="2" t="s">
        <v>15</v>
      </c>
      <c r="C485" s="2" t="s">
        <v>38</v>
      </c>
      <c r="D485" s="2" t="s">
        <v>41</v>
      </c>
      <c r="E485" s="2" t="s">
        <v>30</v>
      </c>
      <c r="F485" s="2">
        <v>94506</v>
      </c>
      <c r="G485" s="2">
        <v>3269</v>
      </c>
      <c r="H485" s="2">
        <v>5099.6400000000003</v>
      </c>
      <c r="I485" s="2">
        <v>193</v>
      </c>
      <c r="J485" s="2">
        <v>7342.38</v>
      </c>
    </row>
    <row r="486" spans="1:10" x14ac:dyDescent="0.45">
      <c r="A486" s="2" t="s">
        <v>77</v>
      </c>
      <c r="B486" s="2" t="s">
        <v>15</v>
      </c>
      <c r="C486" s="2" t="s">
        <v>38</v>
      </c>
      <c r="D486" s="2" t="s">
        <v>21</v>
      </c>
      <c r="E486" s="2" t="s">
        <v>33</v>
      </c>
      <c r="F486" s="2">
        <v>12086</v>
      </c>
      <c r="G486" s="2">
        <v>594</v>
      </c>
      <c r="H486" s="2">
        <v>1461.24</v>
      </c>
      <c r="I486" s="2">
        <v>21</v>
      </c>
      <c r="J486" s="2">
        <v>3418.15</v>
      </c>
    </row>
    <row r="487" spans="1:10" x14ac:dyDescent="0.45">
      <c r="A487" s="2" t="s">
        <v>272</v>
      </c>
      <c r="B487" s="2" t="s">
        <v>20</v>
      </c>
      <c r="C487" s="2" t="s">
        <v>38</v>
      </c>
      <c r="D487" s="2" t="s">
        <v>29</v>
      </c>
      <c r="E487" s="2" t="s">
        <v>22</v>
      </c>
      <c r="F487" s="2">
        <v>145497</v>
      </c>
      <c r="G487" s="2">
        <v>4743</v>
      </c>
      <c r="H487" s="2">
        <v>1660.05</v>
      </c>
      <c r="I487" s="2">
        <v>313</v>
      </c>
      <c r="J487" s="2">
        <v>81349.350000000006</v>
      </c>
    </row>
    <row r="488" spans="1:10" x14ac:dyDescent="0.45">
      <c r="A488" s="2" t="s">
        <v>300</v>
      </c>
      <c r="B488" s="2" t="s">
        <v>35</v>
      </c>
      <c r="C488" s="2" t="s">
        <v>16</v>
      </c>
      <c r="D488" s="2" t="s">
        <v>21</v>
      </c>
      <c r="E488" s="2" t="s">
        <v>18</v>
      </c>
      <c r="F488" s="2">
        <v>14491</v>
      </c>
      <c r="G488" s="2">
        <v>259</v>
      </c>
      <c r="H488" s="2">
        <v>440.3</v>
      </c>
      <c r="I488" s="2">
        <v>3</v>
      </c>
      <c r="J488" s="2">
        <v>260.32</v>
      </c>
    </row>
    <row r="489" spans="1:10" x14ac:dyDescent="0.45">
      <c r="A489" s="2" t="s">
        <v>98</v>
      </c>
      <c r="B489" s="2" t="s">
        <v>35</v>
      </c>
      <c r="C489" s="2" t="s">
        <v>28</v>
      </c>
      <c r="D489" s="2" t="s">
        <v>17</v>
      </c>
      <c r="E489" s="2" t="s">
        <v>18</v>
      </c>
      <c r="F489" s="2">
        <v>156043</v>
      </c>
      <c r="G489" s="2">
        <v>4478</v>
      </c>
      <c r="H489" s="2">
        <v>5955.74</v>
      </c>
      <c r="I489" s="2">
        <v>193</v>
      </c>
      <c r="J489" s="2">
        <v>22322.38</v>
      </c>
    </row>
    <row r="490" spans="1:10" x14ac:dyDescent="0.45">
      <c r="A490" s="2" t="s">
        <v>161</v>
      </c>
      <c r="B490" s="2" t="s">
        <v>20</v>
      </c>
      <c r="C490" s="2" t="s">
        <v>38</v>
      </c>
      <c r="D490" s="2" t="s">
        <v>25</v>
      </c>
      <c r="E490" s="2" t="s">
        <v>22</v>
      </c>
      <c r="F490" s="2">
        <v>115304</v>
      </c>
      <c r="G490" s="2">
        <v>3551</v>
      </c>
      <c r="H490" s="2">
        <v>5539.56</v>
      </c>
      <c r="I490" s="2">
        <v>232</v>
      </c>
      <c r="J490" s="2">
        <v>22178.1</v>
      </c>
    </row>
    <row r="491" spans="1:10" x14ac:dyDescent="0.45">
      <c r="A491" s="2" t="s">
        <v>261</v>
      </c>
      <c r="B491" s="2" t="s">
        <v>20</v>
      </c>
      <c r="C491" s="2" t="s">
        <v>28</v>
      </c>
      <c r="D491" s="2" t="s">
        <v>17</v>
      </c>
      <c r="E491" s="2" t="s">
        <v>18</v>
      </c>
      <c r="F491" s="2">
        <v>132571</v>
      </c>
      <c r="G491" s="2">
        <v>9147</v>
      </c>
      <c r="H491" s="2">
        <v>9329.94</v>
      </c>
      <c r="I491" s="2">
        <v>502</v>
      </c>
      <c r="J491" s="2">
        <v>55471.3</v>
      </c>
    </row>
    <row r="492" spans="1:10" x14ac:dyDescent="0.45">
      <c r="A492" s="2" t="s">
        <v>39</v>
      </c>
      <c r="B492" s="2" t="s">
        <v>15</v>
      </c>
      <c r="C492" s="2" t="s">
        <v>38</v>
      </c>
      <c r="D492" s="2" t="s">
        <v>41</v>
      </c>
      <c r="E492" s="2" t="s">
        <v>18</v>
      </c>
      <c r="F492" s="2">
        <v>92502</v>
      </c>
      <c r="G492" s="2">
        <v>2960</v>
      </c>
      <c r="H492" s="2">
        <v>6097.6</v>
      </c>
      <c r="I492" s="2">
        <v>201</v>
      </c>
      <c r="J492" s="2">
        <v>47885.36</v>
      </c>
    </row>
    <row r="493" spans="1:10" x14ac:dyDescent="0.45">
      <c r="A493" s="2" t="s">
        <v>301</v>
      </c>
      <c r="B493" s="2" t="s">
        <v>15</v>
      </c>
      <c r="C493" s="2" t="s">
        <v>38</v>
      </c>
      <c r="D493" s="2" t="s">
        <v>21</v>
      </c>
      <c r="E493" s="2" t="s">
        <v>26</v>
      </c>
      <c r="F493" s="2">
        <v>133792</v>
      </c>
      <c r="G493" s="2">
        <v>6943</v>
      </c>
      <c r="H493" s="2">
        <v>16316.05</v>
      </c>
      <c r="I493" s="2">
        <v>186</v>
      </c>
      <c r="J493" s="2">
        <v>17630.23</v>
      </c>
    </row>
    <row r="494" spans="1:10" x14ac:dyDescent="0.45">
      <c r="A494" s="2" t="s">
        <v>58</v>
      </c>
      <c r="B494" s="2" t="s">
        <v>15</v>
      </c>
      <c r="C494" s="2" t="s">
        <v>38</v>
      </c>
      <c r="D494" s="2" t="s">
        <v>21</v>
      </c>
      <c r="E494" s="2" t="s">
        <v>22</v>
      </c>
      <c r="F494" s="2">
        <v>77258</v>
      </c>
      <c r="G494" s="2">
        <v>3963</v>
      </c>
      <c r="H494" s="2">
        <v>7133.4</v>
      </c>
      <c r="I494" s="2">
        <v>135</v>
      </c>
      <c r="J494" s="2">
        <v>34518.129999999997</v>
      </c>
    </row>
    <row r="495" spans="1:10" x14ac:dyDescent="0.45">
      <c r="A495" s="2" t="s">
        <v>292</v>
      </c>
      <c r="B495" s="2" t="s">
        <v>15</v>
      </c>
      <c r="C495" s="2" t="s">
        <v>38</v>
      </c>
      <c r="D495" s="2" t="s">
        <v>21</v>
      </c>
      <c r="E495" s="2" t="s">
        <v>18</v>
      </c>
      <c r="F495" s="2">
        <v>74672</v>
      </c>
      <c r="G495" s="2">
        <v>2665</v>
      </c>
      <c r="H495" s="2">
        <v>4157.3999999999996</v>
      </c>
      <c r="I495" s="2">
        <v>129</v>
      </c>
      <c r="J495" s="2">
        <v>32318.91</v>
      </c>
    </row>
    <row r="496" spans="1:10" x14ac:dyDescent="0.45">
      <c r="A496" s="2" t="s">
        <v>174</v>
      </c>
      <c r="B496" s="2" t="s">
        <v>20</v>
      </c>
      <c r="C496" s="2" t="s">
        <v>16</v>
      </c>
      <c r="D496" s="2" t="s">
        <v>25</v>
      </c>
      <c r="E496" s="2" t="s">
        <v>54</v>
      </c>
      <c r="F496" s="2">
        <v>41558</v>
      </c>
      <c r="G496" s="2">
        <v>1757</v>
      </c>
      <c r="H496" s="2">
        <v>2125.9699999999998</v>
      </c>
      <c r="I496" s="2">
        <v>72</v>
      </c>
      <c r="J496" s="2">
        <v>18414.150000000001</v>
      </c>
    </row>
    <row r="497" spans="1:10" x14ac:dyDescent="0.45">
      <c r="A497" s="2" t="s">
        <v>302</v>
      </c>
      <c r="B497" s="2" t="s">
        <v>15</v>
      </c>
      <c r="C497" s="2" t="s">
        <v>28</v>
      </c>
      <c r="D497" s="2" t="s">
        <v>25</v>
      </c>
      <c r="E497" s="2" t="s">
        <v>54</v>
      </c>
      <c r="F497" s="2">
        <v>134560</v>
      </c>
      <c r="G497" s="2">
        <v>5947</v>
      </c>
      <c r="H497" s="2">
        <v>16889.48</v>
      </c>
      <c r="I497" s="2">
        <v>144</v>
      </c>
      <c r="J497" s="2">
        <v>23257.77</v>
      </c>
    </row>
    <row r="498" spans="1:10" x14ac:dyDescent="0.45">
      <c r="A498" s="2" t="s">
        <v>43</v>
      </c>
      <c r="B498" s="2" t="s">
        <v>20</v>
      </c>
      <c r="C498" s="2" t="s">
        <v>16</v>
      </c>
      <c r="D498" s="2" t="s">
        <v>41</v>
      </c>
      <c r="E498" s="2" t="s">
        <v>33</v>
      </c>
      <c r="F498" s="2">
        <v>143518</v>
      </c>
      <c r="G498" s="2">
        <v>10491</v>
      </c>
      <c r="H498" s="2">
        <v>8917.35</v>
      </c>
      <c r="I498" s="2">
        <v>313</v>
      </c>
      <c r="J498" s="2">
        <v>46285.52</v>
      </c>
    </row>
    <row r="499" spans="1:10" x14ac:dyDescent="0.45">
      <c r="A499" s="2" t="s">
        <v>303</v>
      </c>
      <c r="B499" s="2" t="s">
        <v>35</v>
      </c>
      <c r="C499" s="2" t="s">
        <v>24</v>
      </c>
      <c r="D499" s="2" t="s">
        <v>17</v>
      </c>
      <c r="E499" s="2" t="s">
        <v>22</v>
      </c>
      <c r="F499" s="2">
        <v>7402</v>
      </c>
      <c r="G499" s="2">
        <v>91</v>
      </c>
      <c r="H499" s="2">
        <v>189.28</v>
      </c>
      <c r="I499" s="2">
        <v>6</v>
      </c>
      <c r="J499" s="2">
        <v>1105.17</v>
      </c>
    </row>
    <row r="500" spans="1:10" x14ac:dyDescent="0.45">
      <c r="A500" s="2" t="s">
        <v>169</v>
      </c>
      <c r="B500" s="2" t="s">
        <v>15</v>
      </c>
      <c r="C500" s="2" t="s">
        <v>28</v>
      </c>
      <c r="D500" s="2" t="s">
        <v>21</v>
      </c>
      <c r="E500" s="2" t="s">
        <v>54</v>
      </c>
      <c r="F500" s="2">
        <v>49225</v>
      </c>
      <c r="G500" s="2">
        <v>2367</v>
      </c>
      <c r="H500" s="2">
        <v>4355.28</v>
      </c>
      <c r="I500" s="2">
        <v>137</v>
      </c>
      <c r="J500" s="2">
        <v>8811.5300000000007</v>
      </c>
    </row>
    <row r="501" spans="1:10" x14ac:dyDescent="0.45">
      <c r="A501" s="2" t="s">
        <v>218</v>
      </c>
      <c r="B501" s="2" t="s">
        <v>15</v>
      </c>
      <c r="C501" s="2" t="s">
        <v>24</v>
      </c>
      <c r="D501" s="2" t="s">
        <v>25</v>
      </c>
      <c r="E501" s="2" t="s">
        <v>51</v>
      </c>
      <c r="F501" s="2">
        <v>173678</v>
      </c>
      <c r="G501" s="2">
        <v>11428</v>
      </c>
      <c r="H501" s="2">
        <v>24113.08</v>
      </c>
      <c r="I501" s="2">
        <v>310</v>
      </c>
      <c r="J501" s="2">
        <v>83080.36</v>
      </c>
    </row>
    <row r="502" spans="1:10" x14ac:dyDescent="0.45">
      <c r="A502" s="2" t="s">
        <v>73</v>
      </c>
      <c r="B502" s="2" t="s">
        <v>35</v>
      </c>
      <c r="C502" s="2" t="s">
        <v>38</v>
      </c>
      <c r="D502" s="2" t="s">
        <v>25</v>
      </c>
      <c r="E502" s="2" t="s">
        <v>54</v>
      </c>
      <c r="F502" s="2">
        <v>92793</v>
      </c>
      <c r="G502" s="2">
        <v>1261</v>
      </c>
      <c r="H502" s="2">
        <v>466.57</v>
      </c>
      <c r="I502" s="2">
        <v>80</v>
      </c>
      <c r="J502" s="2">
        <v>13024.34</v>
      </c>
    </row>
    <row r="503" spans="1:10" x14ac:dyDescent="0.45">
      <c r="A503" s="2" t="s">
        <v>283</v>
      </c>
      <c r="B503" s="2" t="s">
        <v>20</v>
      </c>
      <c r="C503" s="2" t="s">
        <v>24</v>
      </c>
      <c r="D503" s="2" t="s">
        <v>29</v>
      </c>
      <c r="E503" s="2" t="s">
        <v>22</v>
      </c>
      <c r="F503" s="2">
        <v>122408</v>
      </c>
      <c r="G503" s="2">
        <v>6671</v>
      </c>
      <c r="H503" s="2">
        <v>7805.07</v>
      </c>
      <c r="I503" s="2">
        <v>293</v>
      </c>
      <c r="J503" s="2">
        <v>67215.820000000007</v>
      </c>
    </row>
    <row r="504" spans="1:10" x14ac:dyDescent="0.45">
      <c r="A504" s="2" t="s">
        <v>49</v>
      </c>
      <c r="B504" s="2" t="s">
        <v>20</v>
      </c>
      <c r="C504" s="2" t="s">
        <v>16</v>
      </c>
      <c r="D504" s="2" t="s">
        <v>41</v>
      </c>
      <c r="E504" s="2" t="s">
        <v>18</v>
      </c>
      <c r="F504" s="2">
        <v>162826</v>
      </c>
      <c r="G504" s="2">
        <v>7815</v>
      </c>
      <c r="H504" s="2">
        <v>12816.6</v>
      </c>
      <c r="I504" s="2">
        <v>120</v>
      </c>
      <c r="J504" s="2">
        <v>13520.75</v>
      </c>
    </row>
    <row r="505" spans="1:10" x14ac:dyDescent="0.45">
      <c r="A505" s="2" t="s">
        <v>120</v>
      </c>
      <c r="B505" s="2" t="s">
        <v>35</v>
      </c>
      <c r="C505" s="2" t="s">
        <v>28</v>
      </c>
      <c r="D505" s="2" t="s">
        <v>25</v>
      </c>
      <c r="E505" s="2" t="s">
        <v>51</v>
      </c>
      <c r="F505" s="2">
        <v>134614</v>
      </c>
      <c r="G505" s="2">
        <v>3190</v>
      </c>
      <c r="H505" s="2">
        <v>5678.2</v>
      </c>
      <c r="I505" s="2">
        <v>188</v>
      </c>
      <c r="J505" s="2">
        <v>41736.54</v>
      </c>
    </row>
    <row r="506" spans="1:10" x14ac:dyDescent="0.45">
      <c r="A506" s="2" t="s">
        <v>304</v>
      </c>
      <c r="B506" s="2" t="s">
        <v>15</v>
      </c>
      <c r="C506" s="2" t="s">
        <v>28</v>
      </c>
      <c r="D506" s="2" t="s">
        <v>17</v>
      </c>
      <c r="E506" s="2" t="s">
        <v>51</v>
      </c>
      <c r="F506" s="2">
        <v>116451</v>
      </c>
      <c r="G506" s="2">
        <v>3388</v>
      </c>
      <c r="H506" s="2">
        <v>11485.32</v>
      </c>
      <c r="I506" s="2">
        <v>188</v>
      </c>
      <c r="J506" s="2">
        <v>28791.61</v>
      </c>
    </row>
    <row r="507" spans="1:10" x14ac:dyDescent="0.45">
      <c r="A507" s="2" t="s">
        <v>305</v>
      </c>
      <c r="B507" s="2" t="s">
        <v>15</v>
      </c>
      <c r="C507" s="2" t="s">
        <v>16</v>
      </c>
      <c r="D507" s="2" t="s">
        <v>41</v>
      </c>
      <c r="E507" s="2" t="s">
        <v>30</v>
      </c>
      <c r="F507" s="2">
        <v>188276</v>
      </c>
      <c r="G507" s="2">
        <v>11277</v>
      </c>
      <c r="H507" s="2">
        <v>27966.959999999999</v>
      </c>
      <c r="I507" s="2">
        <v>554</v>
      </c>
      <c r="J507" s="2">
        <v>89376.47</v>
      </c>
    </row>
    <row r="508" spans="1:10" x14ac:dyDescent="0.45">
      <c r="A508" s="2" t="s">
        <v>105</v>
      </c>
      <c r="B508" s="2" t="s">
        <v>35</v>
      </c>
      <c r="C508" s="2" t="s">
        <v>16</v>
      </c>
      <c r="D508" s="2" t="s">
        <v>17</v>
      </c>
      <c r="E508" s="2" t="s">
        <v>54</v>
      </c>
      <c r="F508" s="2">
        <v>165552</v>
      </c>
      <c r="G508" s="2">
        <v>4337</v>
      </c>
      <c r="H508" s="2">
        <v>9628.14</v>
      </c>
      <c r="I508" s="2">
        <v>132</v>
      </c>
      <c r="J508" s="2">
        <v>21448.35</v>
      </c>
    </row>
    <row r="509" spans="1:10" x14ac:dyDescent="0.45">
      <c r="A509" s="2" t="s">
        <v>116</v>
      </c>
      <c r="B509" s="2" t="s">
        <v>35</v>
      </c>
      <c r="C509" s="2" t="s">
        <v>24</v>
      </c>
      <c r="D509" s="2" t="s">
        <v>21</v>
      </c>
      <c r="E509" s="2" t="s">
        <v>22</v>
      </c>
      <c r="F509" s="2">
        <v>82271</v>
      </c>
      <c r="G509" s="2">
        <v>3397</v>
      </c>
      <c r="H509" s="2">
        <v>1766.44</v>
      </c>
      <c r="I509" s="2">
        <v>36</v>
      </c>
      <c r="J509" s="2">
        <v>6412.73</v>
      </c>
    </row>
    <row r="510" spans="1:10" x14ac:dyDescent="0.45">
      <c r="A510" s="2" t="s">
        <v>50</v>
      </c>
      <c r="B510" s="2" t="s">
        <v>20</v>
      </c>
      <c r="C510" s="2" t="s">
        <v>16</v>
      </c>
      <c r="D510" s="2" t="s">
        <v>17</v>
      </c>
      <c r="E510" s="2" t="s">
        <v>30</v>
      </c>
      <c r="F510" s="2">
        <v>61921</v>
      </c>
      <c r="G510" s="2">
        <v>3814</v>
      </c>
      <c r="H510" s="2">
        <v>1182.3399999999999</v>
      </c>
      <c r="I510" s="2">
        <v>50</v>
      </c>
      <c r="J510" s="2">
        <v>8842.35</v>
      </c>
    </row>
    <row r="511" spans="1:10" x14ac:dyDescent="0.45">
      <c r="A511" s="2" t="s">
        <v>306</v>
      </c>
      <c r="B511" s="2" t="s">
        <v>15</v>
      </c>
      <c r="C511" s="2" t="s">
        <v>28</v>
      </c>
      <c r="D511" s="2" t="s">
        <v>41</v>
      </c>
      <c r="E511" s="2" t="s">
        <v>33</v>
      </c>
      <c r="F511" s="2">
        <v>161089</v>
      </c>
      <c r="G511" s="2">
        <v>6540</v>
      </c>
      <c r="H511" s="2">
        <v>13734</v>
      </c>
      <c r="I511" s="2">
        <v>285</v>
      </c>
      <c r="J511" s="2">
        <v>49746.79</v>
      </c>
    </row>
    <row r="512" spans="1:10" x14ac:dyDescent="0.45">
      <c r="A512" s="2" t="s">
        <v>307</v>
      </c>
      <c r="B512" s="2" t="s">
        <v>15</v>
      </c>
      <c r="C512" s="2" t="s">
        <v>28</v>
      </c>
      <c r="D512" s="2" t="s">
        <v>25</v>
      </c>
      <c r="E512" s="2" t="s">
        <v>26</v>
      </c>
      <c r="F512" s="2">
        <v>85618</v>
      </c>
      <c r="G512" s="2">
        <v>2679</v>
      </c>
      <c r="H512" s="2">
        <v>2464.6799999999998</v>
      </c>
      <c r="I512" s="2">
        <v>74</v>
      </c>
      <c r="J512" s="2">
        <v>6024.46</v>
      </c>
    </row>
    <row r="513" spans="1:10" x14ac:dyDescent="0.45">
      <c r="A513" s="2" t="s">
        <v>308</v>
      </c>
      <c r="B513" s="2" t="s">
        <v>35</v>
      </c>
      <c r="C513" s="2" t="s">
        <v>16</v>
      </c>
      <c r="D513" s="2" t="s">
        <v>25</v>
      </c>
      <c r="E513" s="2" t="s">
        <v>54</v>
      </c>
      <c r="F513" s="2">
        <v>30457</v>
      </c>
      <c r="G513" s="2">
        <v>606</v>
      </c>
      <c r="H513" s="2">
        <v>351.48</v>
      </c>
      <c r="I513" s="2">
        <v>34</v>
      </c>
      <c r="J513" s="2">
        <v>4981.9399999999996</v>
      </c>
    </row>
    <row r="514" spans="1:10" x14ac:dyDescent="0.45">
      <c r="A514" s="2" t="s">
        <v>131</v>
      </c>
      <c r="B514" s="2" t="s">
        <v>20</v>
      </c>
      <c r="C514" s="2" t="s">
        <v>16</v>
      </c>
      <c r="D514" s="2" t="s">
        <v>41</v>
      </c>
      <c r="E514" s="2" t="s">
        <v>51</v>
      </c>
      <c r="F514" s="2">
        <v>46420</v>
      </c>
      <c r="G514" s="2">
        <v>1880</v>
      </c>
      <c r="H514" s="2">
        <v>3572</v>
      </c>
      <c r="I514" s="2">
        <v>113</v>
      </c>
      <c r="J514" s="2">
        <v>5769.59</v>
      </c>
    </row>
    <row r="515" spans="1:10" x14ac:dyDescent="0.45">
      <c r="A515" s="2" t="s">
        <v>309</v>
      </c>
      <c r="B515" s="2" t="s">
        <v>15</v>
      </c>
      <c r="C515" s="2" t="s">
        <v>16</v>
      </c>
      <c r="D515" s="2" t="s">
        <v>41</v>
      </c>
      <c r="E515" s="2" t="s">
        <v>22</v>
      </c>
      <c r="F515" s="2">
        <v>180746</v>
      </c>
      <c r="G515" s="2">
        <v>5024</v>
      </c>
      <c r="H515" s="2">
        <v>6430.72</v>
      </c>
      <c r="I515" s="2">
        <v>64</v>
      </c>
      <c r="J515" s="2">
        <v>17709.21</v>
      </c>
    </row>
    <row r="516" spans="1:10" x14ac:dyDescent="0.45">
      <c r="A516" s="2" t="s">
        <v>282</v>
      </c>
      <c r="B516" s="2" t="s">
        <v>20</v>
      </c>
      <c r="C516" s="2" t="s">
        <v>16</v>
      </c>
      <c r="D516" s="2" t="s">
        <v>29</v>
      </c>
      <c r="E516" s="2" t="s">
        <v>30</v>
      </c>
      <c r="F516" s="2">
        <v>131244</v>
      </c>
      <c r="G516" s="2">
        <v>5604</v>
      </c>
      <c r="H516" s="2">
        <v>2129.52</v>
      </c>
      <c r="I516" s="2">
        <v>229</v>
      </c>
      <c r="J516" s="2">
        <v>65541.490000000005</v>
      </c>
    </row>
    <row r="517" spans="1:10" x14ac:dyDescent="0.45">
      <c r="A517" s="2" t="s">
        <v>157</v>
      </c>
      <c r="B517" s="2" t="s">
        <v>15</v>
      </c>
      <c r="C517" s="2" t="s">
        <v>16</v>
      </c>
      <c r="D517" s="2" t="s">
        <v>41</v>
      </c>
      <c r="E517" s="2" t="s">
        <v>30</v>
      </c>
      <c r="F517" s="2">
        <v>86678</v>
      </c>
      <c r="G517" s="2">
        <v>2158</v>
      </c>
      <c r="H517" s="2">
        <v>3129.1</v>
      </c>
      <c r="I517" s="2">
        <v>163</v>
      </c>
      <c r="J517" s="2">
        <v>27708.880000000001</v>
      </c>
    </row>
    <row r="518" spans="1:10" x14ac:dyDescent="0.45">
      <c r="A518" s="2" t="s">
        <v>249</v>
      </c>
      <c r="B518" s="2" t="s">
        <v>15</v>
      </c>
      <c r="C518" s="2" t="s">
        <v>38</v>
      </c>
      <c r="D518" s="2" t="s">
        <v>21</v>
      </c>
      <c r="E518" s="2" t="s">
        <v>33</v>
      </c>
      <c r="F518" s="2">
        <v>70226</v>
      </c>
      <c r="G518" s="2">
        <v>4037</v>
      </c>
      <c r="H518" s="2">
        <v>8719.92</v>
      </c>
      <c r="I518" s="2">
        <v>240</v>
      </c>
      <c r="J518" s="2">
        <v>68153.47</v>
      </c>
    </row>
    <row r="519" spans="1:10" x14ac:dyDescent="0.45">
      <c r="A519" s="2" t="s">
        <v>119</v>
      </c>
      <c r="B519" s="2" t="s">
        <v>15</v>
      </c>
      <c r="C519" s="2" t="s">
        <v>16</v>
      </c>
      <c r="D519" s="2" t="s">
        <v>17</v>
      </c>
      <c r="E519" s="2" t="s">
        <v>30</v>
      </c>
      <c r="F519" s="2">
        <v>124119</v>
      </c>
      <c r="G519" s="2">
        <v>6416</v>
      </c>
      <c r="H519" s="2">
        <v>16360.8</v>
      </c>
      <c r="I519" s="2">
        <v>358</v>
      </c>
      <c r="J519" s="2">
        <v>48445.72</v>
      </c>
    </row>
    <row r="520" spans="1:10" x14ac:dyDescent="0.45">
      <c r="A520" s="2" t="s">
        <v>84</v>
      </c>
      <c r="B520" s="2" t="s">
        <v>15</v>
      </c>
      <c r="C520" s="2" t="s">
        <v>28</v>
      </c>
      <c r="D520" s="2" t="s">
        <v>25</v>
      </c>
      <c r="E520" s="2" t="s">
        <v>18</v>
      </c>
      <c r="F520" s="2">
        <v>126292</v>
      </c>
      <c r="G520" s="2">
        <v>5165</v>
      </c>
      <c r="H520" s="2">
        <v>7695.85</v>
      </c>
      <c r="I520" s="2">
        <v>110</v>
      </c>
      <c r="J520" s="2">
        <v>14074.18</v>
      </c>
    </row>
    <row r="521" spans="1:10" x14ac:dyDescent="0.45">
      <c r="A521" s="2" t="s">
        <v>310</v>
      </c>
      <c r="B521" s="2" t="s">
        <v>15</v>
      </c>
      <c r="C521" s="2" t="s">
        <v>24</v>
      </c>
      <c r="D521" s="2" t="s">
        <v>41</v>
      </c>
      <c r="E521" s="2" t="s">
        <v>33</v>
      </c>
      <c r="F521" s="2">
        <v>189935</v>
      </c>
      <c r="G521" s="2">
        <v>10161</v>
      </c>
      <c r="H521" s="2">
        <v>15139.89</v>
      </c>
      <c r="I521" s="2">
        <v>615</v>
      </c>
      <c r="J521" s="2">
        <v>31748.86</v>
      </c>
    </row>
    <row r="522" spans="1:10" x14ac:dyDescent="0.45">
      <c r="A522" s="2" t="s">
        <v>229</v>
      </c>
      <c r="B522" s="2" t="s">
        <v>15</v>
      </c>
      <c r="C522" s="2" t="s">
        <v>38</v>
      </c>
      <c r="D522" s="2" t="s">
        <v>21</v>
      </c>
      <c r="E522" s="2" t="s">
        <v>18</v>
      </c>
      <c r="F522" s="2">
        <v>103066</v>
      </c>
      <c r="G522" s="2">
        <v>2380</v>
      </c>
      <c r="H522" s="2">
        <v>5926.2</v>
      </c>
      <c r="I522" s="2">
        <v>121</v>
      </c>
      <c r="J522" s="2">
        <v>20395.259999999998</v>
      </c>
    </row>
    <row r="523" spans="1:10" x14ac:dyDescent="0.45">
      <c r="A523" s="2" t="s">
        <v>263</v>
      </c>
      <c r="B523" s="2" t="s">
        <v>35</v>
      </c>
      <c r="C523" s="2" t="s">
        <v>28</v>
      </c>
      <c r="D523" s="2" t="s">
        <v>41</v>
      </c>
      <c r="E523" s="2" t="s">
        <v>26</v>
      </c>
      <c r="F523" s="2">
        <v>11083</v>
      </c>
      <c r="G523" s="2">
        <v>193</v>
      </c>
      <c r="H523" s="2">
        <v>160.19</v>
      </c>
      <c r="I523" s="2">
        <v>11</v>
      </c>
      <c r="J523" s="2">
        <v>912.82</v>
      </c>
    </row>
    <row r="524" spans="1:10" x14ac:dyDescent="0.45">
      <c r="A524" s="2" t="s">
        <v>311</v>
      </c>
      <c r="B524" s="2" t="s">
        <v>35</v>
      </c>
      <c r="C524" s="2" t="s">
        <v>38</v>
      </c>
      <c r="D524" s="2" t="s">
        <v>21</v>
      </c>
      <c r="E524" s="2" t="s">
        <v>18</v>
      </c>
      <c r="F524" s="2">
        <v>6074</v>
      </c>
      <c r="G524" s="2">
        <v>128</v>
      </c>
      <c r="H524" s="2">
        <v>193.28</v>
      </c>
      <c r="I524" s="2">
        <v>5</v>
      </c>
      <c r="J524" s="2">
        <v>1253.71</v>
      </c>
    </row>
    <row r="525" spans="1:10" x14ac:dyDescent="0.45">
      <c r="A525" s="2" t="s">
        <v>312</v>
      </c>
      <c r="B525" s="2" t="s">
        <v>20</v>
      </c>
      <c r="C525" s="2" t="s">
        <v>24</v>
      </c>
      <c r="D525" s="2" t="s">
        <v>25</v>
      </c>
      <c r="E525" s="2" t="s">
        <v>33</v>
      </c>
      <c r="F525" s="2">
        <v>54752</v>
      </c>
      <c r="G525" s="2">
        <v>2814</v>
      </c>
      <c r="H525" s="2">
        <v>2420.04</v>
      </c>
      <c r="I525" s="2">
        <v>137</v>
      </c>
      <c r="J525" s="2">
        <v>13580.22</v>
      </c>
    </row>
    <row r="526" spans="1:10" x14ac:dyDescent="0.45">
      <c r="A526" s="2" t="s">
        <v>313</v>
      </c>
      <c r="B526" s="2" t="s">
        <v>35</v>
      </c>
      <c r="C526" s="2" t="s">
        <v>24</v>
      </c>
      <c r="D526" s="2" t="s">
        <v>25</v>
      </c>
      <c r="E526" s="2" t="s">
        <v>22</v>
      </c>
      <c r="F526" s="2">
        <v>141313</v>
      </c>
      <c r="G526" s="2">
        <v>4762</v>
      </c>
      <c r="H526" s="2">
        <v>5000.1000000000004</v>
      </c>
      <c r="I526" s="2">
        <v>207</v>
      </c>
      <c r="J526" s="2">
        <v>26737.15</v>
      </c>
    </row>
    <row r="527" spans="1:10" x14ac:dyDescent="0.45">
      <c r="A527" s="2" t="s">
        <v>291</v>
      </c>
      <c r="B527" s="2" t="s">
        <v>20</v>
      </c>
      <c r="C527" s="2" t="s">
        <v>38</v>
      </c>
      <c r="D527" s="2" t="s">
        <v>21</v>
      </c>
      <c r="E527" s="2" t="s">
        <v>26</v>
      </c>
      <c r="F527" s="2">
        <v>34669</v>
      </c>
      <c r="G527" s="2">
        <v>1965</v>
      </c>
      <c r="H527" s="2">
        <v>3163.65</v>
      </c>
      <c r="I527" s="2">
        <v>74</v>
      </c>
      <c r="J527" s="2">
        <v>12153.4</v>
      </c>
    </row>
    <row r="528" spans="1:10" x14ac:dyDescent="0.45">
      <c r="A528" s="2" t="s">
        <v>213</v>
      </c>
      <c r="B528" s="2" t="s">
        <v>35</v>
      </c>
      <c r="C528" s="2" t="s">
        <v>38</v>
      </c>
      <c r="D528" s="2" t="s">
        <v>41</v>
      </c>
      <c r="E528" s="2" t="s">
        <v>54</v>
      </c>
      <c r="F528" s="2">
        <v>104714</v>
      </c>
      <c r="G528" s="2">
        <v>1015</v>
      </c>
      <c r="H528" s="2">
        <v>943.95</v>
      </c>
      <c r="I528" s="2">
        <v>78</v>
      </c>
      <c r="J528" s="2">
        <v>20952.03</v>
      </c>
    </row>
    <row r="529" spans="1:10" x14ac:dyDescent="0.45">
      <c r="A529" s="2" t="s">
        <v>314</v>
      </c>
      <c r="B529" s="2" t="s">
        <v>20</v>
      </c>
      <c r="C529" s="2" t="s">
        <v>24</v>
      </c>
      <c r="D529" s="2" t="s">
        <v>25</v>
      </c>
      <c r="E529" s="2" t="s">
        <v>18</v>
      </c>
      <c r="F529" s="2">
        <v>109733</v>
      </c>
      <c r="G529" s="2">
        <v>6616</v>
      </c>
      <c r="H529" s="2">
        <v>6020.56</v>
      </c>
      <c r="I529" s="2">
        <v>516</v>
      </c>
      <c r="J529" s="2">
        <v>53965.61</v>
      </c>
    </row>
    <row r="530" spans="1:10" x14ac:dyDescent="0.45">
      <c r="A530" s="2" t="s">
        <v>168</v>
      </c>
      <c r="B530" s="2" t="s">
        <v>20</v>
      </c>
      <c r="C530" s="2" t="s">
        <v>38</v>
      </c>
      <c r="D530" s="2" t="s">
        <v>29</v>
      </c>
      <c r="E530" s="2" t="s">
        <v>26</v>
      </c>
      <c r="F530" s="2">
        <v>67502</v>
      </c>
      <c r="G530" s="2">
        <v>5859</v>
      </c>
      <c r="H530" s="2">
        <v>2812.32</v>
      </c>
      <c r="I530" s="2">
        <v>395</v>
      </c>
      <c r="J530" s="2">
        <v>42271.31</v>
      </c>
    </row>
    <row r="531" spans="1:10" x14ac:dyDescent="0.45">
      <c r="A531" s="2" t="s">
        <v>315</v>
      </c>
      <c r="B531" s="2" t="s">
        <v>15</v>
      </c>
      <c r="C531" s="2" t="s">
        <v>38</v>
      </c>
      <c r="D531" s="2" t="s">
        <v>41</v>
      </c>
      <c r="E531" s="2" t="s">
        <v>33</v>
      </c>
      <c r="F531" s="2">
        <v>129121</v>
      </c>
      <c r="G531" s="2">
        <v>4893</v>
      </c>
      <c r="H531" s="2">
        <v>12526.08</v>
      </c>
      <c r="I531" s="2">
        <v>137</v>
      </c>
      <c r="J531" s="2">
        <v>7241.16</v>
      </c>
    </row>
    <row r="532" spans="1:10" x14ac:dyDescent="0.45">
      <c r="A532" s="2" t="s">
        <v>316</v>
      </c>
      <c r="B532" s="2" t="s">
        <v>15</v>
      </c>
      <c r="C532" s="2" t="s">
        <v>24</v>
      </c>
      <c r="D532" s="2" t="s">
        <v>17</v>
      </c>
      <c r="E532" s="2" t="s">
        <v>26</v>
      </c>
      <c r="F532" s="2">
        <v>173102</v>
      </c>
      <c r="G532" s="2">
        <v>4414</v>
      </c>
      <c r="H532" s="2">
        <v>15007.6</v>
      </c>
      <c r="I532" s="2">
        <v>341</v>
      </c>
      <c r="J532" s="2">
        <v>52487.34</v>
      </c>
    </row>
    <row r="533" spans="1:10" x14ac:dyDescent="0.45">
      <c r="A533" s="2" t="s">
        <v>137</v>
      </c>
      <c r="B533" s="2" t="s">
        <v>15</v>
      </c>
      <c r="C533" s="2" t="s">
        <v>28</v>
      </c>
      <c r="D533" s="2" t="s">
        <v>21</v>
      </c>
      <c r="E533" s="2" t="s">
        <v>33</v>
      </c>
      <c r="F533" s="2">
        <v>140607</v>
      </c>
      <c r="G533" s="2">
        <v>6397</v>
      </c>
      <c r="H533" s="2">
        <v>9147.7099999999991</v>
      </c>
      <c r="I533" s="2">
        <v>393</v>
      </c>
      <c r="J533" s="2">
        <v>82224.929999999993</v>
      </c>
    </row>
    <row r="534" spans="1:10" x14ac:dyDescent="0.45">
      <c r="A534" s="2" t="s">
        <v>89</v>
      </c>
      <c r="B534" s="2" t="s">
        <v>15</v>
      </c>
      <c r="C534" s="2" t="s">
        <v>16</v>
      </c>
      <c r="D534" s="2" t="s">
        <v>25</v>
      </c>
      <c r="E534" s="2" t="s">
        <v>30</v>
      </c>
      <c r="F534" s="2">
        <v>48351</v>
      </c>
      <c r="G534" s="2">
        <v>2156</v>
      </c>
      <c r="H534" s="2">
        <v>6812.96</v>
      </c>
      <c r="I534" s="2">
        <v>83</v>
      </c>
      <c r="J534" s="2">
        <v>7504.87</v>
      </c>
    </row>
    <row r="535" spans="1:10" x14ac:dyDescent="0.45">
      <c r="A535" s="2" t="s">
        <v>257</v>
      </c>
      <c r="B535" s="2" t="s">
        <v>20</v>
      </c>
      <c r="C535" s="2" t="s">
        <v>24</v>
      </c>
      <c r="D535" s="2" t="s">
        <v>17</v>
      </c>
      <c r="E535" s="2" t="s">
        <v>30</v>
      </c>
      <c r="F535" s="2">
        <v>118135</v>
      </c>
      <c r="G535" s="2">
        <v>8151</v>
      </c>
      <c r="H535" s="2">
        <v>5624.19</v>
      </c>
      <c r="I535" s="2">
        <v>428</v>
      </c>
      <c r="J535" s="2">
        <v>64189.34</v>
      </c>
    </row>
    <row r="536" spans="1:10" x14ac:dyDescent="0.45">
      <c r="A536" s="2" t="s">
        <v>199</v>
      </c>
      <c r="B536" s="2" t="s">
        <v>20</v>
      </c>
      <c r="C536" s="2" t="s">
        <v>16</v>
      </c>
      <c r="D536" s="2" t="s">
        <v>17</v>
      </c>
      <c r="E536" s="2" t="s">
        <v>22</v>
      </c>
      <c r="F536" s="2">
        <v>20185</v>
      </c>
      <c r="G536" s="2">
        <v>878</v>
      </c>
      <c r="H536" s="2">
        <v>535.58000000000004</v>
      </c>
      <c r="I536" s="2">
        <v>27</v>
      </c>
      <c r="J536" s="2">
        <v>7476.28</v>
      </c>
    </row>
    <row r="537" spans="1:10" x14ac:dyDescent="0.45">
      <c r="A537" s="2" t="s">
        <v>78</v>
      </c>
      <c r="B537" s="2" t="s">
        <v>20</v>
      </c>
      <c r="C537" s="2" t="s">
        <v>24</v>
      </c>
      <c r="D537" s="2" t="s">
        <v>41</v>
      </c>
      <c r="E537" s="2" t="s">
        <v>54</v>
      </c>
      <c r="F537" s="2">
        <v>50802</v>
      </c>
      <c r="G537" s="2">
        <v>3617</v>
      </c>
      <c r="H537" s="2">
        <v>1519.14</v>
      </c>
      <c r="I537" s="2">
        <v>279</v>
      </c>
      <c r="J537" s="2">
        <v>22644.29</v>
      </c>
    </row>
    <row r="538" spans="1:10" x14ac:dyDescent="0.45">
      <c r="A538" s="2" t="s">
        <v>34</v>
      </c>
      <c r="B538" s="2" t="s">
        <v>35</v>
      </c>
      <c r="C538" s="2" t="s">
        <v>28</v>
      </c>
      <c r="D538" s="2" t="s">
        <v>41</v>
      </c>
      <c r="E538" s="2" t="s">
        <v>33</v>
      </c>
      <c r="F538" s="2">
        <v>34048</v>
      </c>
      <c r="G538" s="2">
        <v>694</v>
      </c>
      <c r="H538" s="2">
        <v>1006.3</v>
      </c>
      <c r="I538" s="2">
        <v>49</v>
      </c>
      <c r="J538" s="2">
        <v>12555.06</v>
      </c>
    </row>
    <row r="539" spans="1:10" x14ac:dyDescent="0.45">
      <c r="A539" s="2" t="s">
        <v>310</v>
      </c>
      <c r="B539" s="2" t="s">
        <v>20</v>
      </c>
      <c r="C539" s="2" t="s">
        <v>24</v>
      </c>
      <c r="D539" s="2" t="s">
        <v>29</v>
      </c>
      <c r="E539" s="2" t="s">
        <v>18</v>
      </c>
      <c r="F539" s="2">
        <v>56672</v>
      </c>
      <c r="G539" s="2">
        <v>2397</v>
      </c>
      <c r="H539" s="2">
        <v>1150.56</v>
      </c>
      <c r="I539" s="2">
        <v>138</v>
      </c>
      <c r="J539" s="2">
        <v>33165.74</v>
      </c>
    </row>
    <row r="540" spans="1:10" x14ac:dyDescent="0.45">
      <c r="A540" s="2" t="s">
        <v>317</v>
      </c>
      <c r="B540" s="2" t="s">
        <v>15</v>
      </c>
      <c r="C540" s="2" t="s">
        <v>24</v>
      </c>
      <c r="D540" s="2" t="s">
        <v>17</v>
      </c>
      <c r="E540" s="2" t="s">
        <v>18</v>
      </c>
      <c r="F540" s="2">
        <v>128962</v>
      </c>
      <c r="G540" s="2">
        <v>7337</v>
      </c>
      <c r="H540" s="2">
        <v>9904.9500000000007</v>
      </c>
      <c r="I540" s="2">
        <v>226</v>
      </c>
      <c r="J540" s="2">
        <v>26098.81</v>
      </c>
    </row>
    <row r="541" spans="1:10" x14ac:dyDescent="0.45">
      <c r="A541" s="2" t="s">
        <v>117</v>
      </c>
      <c r="B541" s="2" t="s">
        <v>35</v>
      </c>
      <c r="C541" s="2" t="s">
        <v>24</v>
      </c>
      <c r="D541" s="2" t="s">
        <v>25</v>
      </c>
      <c r="E541" s="2" t="s">
        <v>22</v>
      </c>
      <c r="F541" s="2">
        <v>15532</v>
      </c>
      <c r="G541" s="2">
        <v>593</v>
      </c>
      <c r="H541" s="2">
        <v>847.99</v>
      </c>
      <c r="I541" s="2">
        <v>45</v>
      </c>
      <c r="J541" s="2">
        <v>2243.79</v>
      </c>
    </row>
    <row r="542" spans="1:10" x14ac:dyDescent="0.45">
      <c r="A542" s="2" t="s">
        <v>318</v>
      </c>
      <c r="B542" s="2" t="s">
        <v>15</v>
      </c>
      <c r="C542" s="2" t="s">
        <v>24</v>
      </c>
      <c r="D542" s="2" t="s">
        <v>17</v>
      </c>
      <c r="E542" s="2" t="s">
        <v>54</v>
      </c>
      <c r="F542" s="2">
        <v>154666</v>
      </c>
      <c r="G542" s="2">
        <v>5939</v>
      </c>
      <c r="H542" s="2">
        <v>7601.92</v>
      </c>
      <c r="I542" s="2">
        <v>366</v>
      </c>
      <c r="J542" s="2">
        <v>24965.13</v>
      </c>
    </row>
    <row r="543" spans="1:10" x14ac:dyDescent="0.45">
      <c r="A543" s="2" t="s">
        <v>290</v>
      </c>
      <c r="B543" s="2" t="s">
        <v>20</v>
      </c>
      <c r="C543" s="2" t="s">
        <v>24</v>
      </c>
      <c r="D543" s="2" t="s">
        <v>41</v>
      </c>
      <c r="E543" s="2" t="s">
        <v>26</v>
      </c>
      <c r="F543" s="2">
        <v>9722</v>
      </c>
      <c r="G543" s="2">
        <v>455</v>
      </c>
      <c r="H543" s="2">
        <v>550.54999999999995</v>
      </c>
      <c r="I543" s="2">
        <v>29</v>
      </c>
      <c r="J543" s="2">
        <v>3533.89</v>
      </c>
    </row>
    <row r="544" spans="1:10" x14ac:dyDescent="0.45">
      <c r="A544" s="2" t="s">
        <v>75</v>
      </c>
      <c r="B544" s="2" t="s">
        <v>15</v>
      </c>
      <c r="C544" s="2" t="s">
        <v>38</v>
      </c>
      <c r="D544" s="2" t="s">
        <v>17</v>
      </c>
      <c r="E544" s="2" t="s">
        <v>54</v>
      </c>
      <c r="F544" s="2">
        <v>24464</v>
      </c>
      <c r="G544" s="2">
        <v>511</v>
      </c>
      <c r="H544" s="2">
        <v>572.32000000000005</v>
      </c>
      <c r="I544" s="2">
        <v>20</v>
      </c>
      <c r="J544" s="2">
        <v>5921.83</v>
      </c>
    </row>
    <row r="545" spans="1:10" x14ac:dyDescent="0.45">
      <c r="A545" s="2" t="s">
        <v>319</v>
      </c>
      <c r="B545" s="2" t="s">
        <v>35</v>
      </c>
      <c r="C545" s="2" t="s">
        <v>24</v>
      </c>
      <c r="D545" s="2" t="s">
        <v>41</v>
      </c>
      <c r="E545" s="2" t="s">
        <v>51</v>
      </c>
      <c r="F545" s="2">
        <v>170413</v>
      </c>
      <c r="G545" s="2">
        <v>3936</v>
      </c>
      <c r="H545" s="2">
        <v>2794.56</v>
      </c>
      <c r="I545" s="2">
        <v>63</v>
      </c>
      <c r="J545" s="2">
        <v>12671.79</v>
      </c>
    </row>
    <row r="546" spans="1:10" x14ac:dyDescent="0.45">
      <c r="A546" s="2" t="s">
        <v>320</v>
      </c>
      <c r="B546" s="2" t="s">
        <v>20</v>
      </c>
      <c r="C546" s="2" t="s">
        <v>24</v>
      </c>
      <c r="D546" s="2" t="s">
        <v>17</v>
      </c>
      <c r="E546" s="2" t="s">
        <v>30</v>
      </c>
      <c r="F546" s="2">
        <v>109205</v>
      </c>
      <c r="G546" s="2">
        <v>4499</v>
      </c>
      <c r="H546" s="2">
        <v>3779.16</v>
      </c>
      <c r="I546" s="2">
        <v>49</v>
      </c>
      <c r="J546" s="2">
        <v>13660.38</v>
      </c>
    </row>
    <row r="547" spans="1:10" x14ac:dyDescent="0.45">
      <c r="A547" s="2" t="s">
        <v>46</v>
      </c>
      <c r="B547" s="2" t="s">
        <v>15</v>
      </c>
      <c r="C547" s="2" t="s">
        <v>28</v>
      </c>
      <c r="D547" s="2" t="s">
        <v>41</v>
      </c>
      <c r="E547" s="2" t="s">
        <v>30</v>
      </c>
      <c r="F547" s="2">
        <v>161926</v>
      </c>
      <c r="G547" s="2">
        <v>5424</v>
      </c>
      <c r="H547" s="2">
        <v>17844.96</v>
      </c>
      <c r="I547" s="2">
        <v>87</v>
      </c>
      <c r="J547" s="2">
        <v>11807.21</v>
      </c>
    </row>
    <row r="548" spans="1:10" x14ac:dyDescent="0.45">
      <c r="A548" s="2" t="s">
        <v>68</v>
      </c>
      <c r="B548" s="2" t="s">
        <v>35</v>
      </c>
      <c r="C548" s="2" t="s">
        <v>16</v>
      </c>
      <c r="D548" s="2" t="s">
        <v>41</v>
      </c>
      <c r="E548" s="2" t="s">
        <v>22</v>
      </c>
      <c r="F548" s="2">
        <v>125725</v>
      </c>
      <c r="G548" s="2">
        <v>1646</v>
      </c>
      <c r="H548" s="2">
        <v>1333.26</v>
      </c>
      <c r="I548" s="2">
        <v>19</v>
      </c>
      <c r="J548" s="2">
        <v>2319.58</v>
      </c>
    </row>
    <row r="549" spans="1:10" x14ac:dyDescent="0.45">
      <c r="A549" s="2" t="s">
        <v>77</v>
      </c>
      <c r="B549" s="2" t="s">
        <v>20</v>
      </c>
      <c r="C549" s="2" t="s">
        <v>24</v>
      </c>
      <c r="D549" s="2" t="s">
        <v>25</v>
      </c>
      <c r="E549" s="2" t="s">
        <v>18</v>
      </c>
      <c r="F549" s="2">
        <v>116301</v>
      </c>
      <c r="G549" s="2">
        <v>4198</v>
      </c>
      <c r="H549" s="2">
        <v>6087.1</v>
      </c>
      <c r="I549" s="2">
        <v>212</v>
      </c>
      <c r="J549" s="2">
        <v>37780.9</v>
      </c>
    </row>
    <row r="550" spans="1:10" x14ac:dyDescent="0.45">
      <c r="A550" s="2" t="s">
        <v>308</v>
      </c>
      <c r="B550" s="2" t="s">
        <v>15</v>
      </c>
      <c r="C550" s="2" t="s">
        <v>28</v>
      </c>
      <c r="D550" s="2" t="s">
        <v>29</v>
      </c>
      <c r="E550" s="2" t="s">
        <v>33</v>
      </c>
      <c r="F550" s="2">
        <v>88251</v>
      </c>
      <c r="G550" s="2">
        <v>2665</v>
      </c>
      <c r="H550" s="2">
        <v>3437.85</v>
      </c>
      <c r="I550" s="2">
        <v>151</v>
      </c>
      <c r="J550" s="2">
        <v>17509.21</v>
      </c>
    </row>
    <row r="551" spans="1:10" x14ac:dyDescent="0.45">
      <c r="A551" s="2" t="s">
        <v>153</v>
      </c>
      <c r="B551" s="2" t="s">
        <v>15</v>
      </c>
      <c r="C551" s="2" t="s">
        <v>24</v>
      </c>
      <c r="D551" s="2" t="s">
        <v>21</v>
      </c>
      <c r="E551" s="2" t="s">
        <v>30</v>
      </c>
      <c r="F551" s="2">
        <v>185378</v>
      </c>
      <c r="G551" s="2">
        <v>3244</v>
      </c>
      <c r="H551" s="2">
        <v>5904.08</v>
      </c>
      <c r="I551" s="2">
        <v>246</v>
      </c>
      <c r="J551" s="2">
        <v>67552.800000000003</v>
      </c>
    </row>
    <row r="552" spans="1:10" x14ac:dyDescent="0.45">
      <c r="A552" s="2" t="s">
        <v>45</v>
      </c>
      <c r="B552" s="2" t="s">
        <v>35</v>
      </c>
      <c r="C552" s="2" t="s">
        <v>28</v>
      </c>
      <c r="D552" s="2" t="s">
        <v>29</v>
      </c>
      <c r="E552" s="2" t="s">
        <v>26</v>
      </c>
      <c r="F552" s="2">
        <v>177905</v>
      </c>
      <c r="G552" s="2">
        <v>5532</v>
      </c>
      <c r="H552" s="2">
        <v>5421.36</v>
      </c>
      <c r="I552" s="2">
        <v>370</v>
      </c>
      <c r="J552" s="2">
        <v>14673.05</v>
      </c>
    </row>
    <row r="553" spans="1:10" x14ac:dyDescent="0.45">
      <c r="A553" s="2" t="s">
        <v>74</v>
      </c>
      <c r="B553" s="2" t="s">
        <v>35</v>
      </c>
      <c r="C553" s="2" t="s">
        <v>24</v>
      </c>
      <c r="D553" s="2" t="s">
        <v>41</v>
      </c>
      <c r="E553" s="2" t="s">
        <v>33</v>
      </c>
      <c r="F553" s="2">
        <v>122845</v>
      </c>
      <c r="G553" s="2">
        <v>2714</v>
      </c>
      <c r="H553" s="2">
        <v>1546.98</v>
      </c>
      <c r="I553" s="2">
        <v>143</v>
      </c>
      <c r="J553" s="2">
        <v>36419.79</v>
      </c>
    </row>
    <row r="554" spans="1:10" x14ac:dyDescent="0.45">
      <c r="A554" s="2" t="s">
        <v>185</v>
      </c>
      <c r="B554" s="2" t="s">
        <v>35</v>
      </c>
      <c r="C554" s="2" t="s">
        <v>24</v>
      </c>
      <c r="D554" s="2" t="s">
        <v>25</v>
      </c>
      <c r="E554" s="2" t="s">
        <v>30</v>
      </c>
      <c r="F554" s="2">
        <v>36017</v>
      </c>
      <c r="G554" s="2">
        <v>1210</v>
      </c>
      <c r="H554" s="2">
        <v>1222.0999999999999</v>
      </c>
      <c r="I554" s="2">
        <v>28</v>
      </c>
      <c r="J554" s="2">
        <v>1258.31</v>
      </c>
    </row>
    <row r="555" spans="1:10" x14ac:dyDescent="0.45">
      <c r="A555" s="2" t="s">
        <v>92</v>
      </c>
      <c r="B555" s="2" t="s">
        <v>15</v>
      </c>
      <c r="C555" s="2" t="s">
        <v>16</v>
      </c>
      <c r="D555" s="2" t="s">
        <v>21</v>
      </c>
      <c r="E555" s="2" t="s">
        <v>26</v>
      </c>
      <c r="F555" s="2">
        <v>71267</v>
      </c>
      <c r="G555" s="2">
        <v>3962</v>
      </c>
      <c r="H555" s="2">
        <v>3684.66</v>
      </c>
      <c r="I555" s="2">
        <v>287</v>
      </c>
      <c r="J555" s="2">
        <v>50107.59</v>
      </c>
    </row>
    <row r="556" spans="1:10" x14ac:dyDescent="0.45">
      <c r="A556" s="2" t="s">
        <v>177</v>
      </c>
      <c r="B556" s="2" t="s">
        <v>35</v>
      </c>
      <c r="C556" s="2" t="s">
        <v>38</v>
      </c>
      <c r="D556" s="2" t="s">
        <v>21</v>
      </c>
      <c r="E556" s="2" t="s">
        <v>51</v>
      </c>
      <c r="F556" s="2">
        <v>97152</v>
      </c>
      <c r="G556" s="2">
        <v>1156</v>
      </c>
      <c r="H556" s="2">
        <v>624.24</v>
      </c>
      <c r="I556" s="2">
        <v>43</v>
      </c>
      <c r="J556" s="2">
        <v>4965.75</v>
      </c>
    </row>
    <row r="557" spans="1:10" x14ac:dyDescent="0.45">
      <c r="A557" s="2" t="s">
        <v>321</v>
      </c>
      <c r="B557" s="2" t="s">
        <v>35</v>
      </c>
      <c r="C557" s="2" t="s">
        <v>28</v>
      </c>
      <c r="D557" s="2" t="s">
        <v>41</v>
      </c>
      <c r="E557" s="2" t="s">
        <v>26</v>
      </c>
      <c r="F557" s="2">
        <v>33834</v>
      </c>
      <c r="G557" s="2">
        <v>906</v>
      </c>
      <c r="H557" s="2">
        <v>797.28</v>
      </c>
      <c r="I557" s="2">
        <v>23</v>
      </c>
      <c r="J557" s="2">
        <v>2361.23</v>
      </c>
    </row>
    <row r="558" spans="1:10" x14ac:dyDescent="0.45">
      <c r="A558" s="2" t="s">
        <v>52</v>
      </c>
      <c r="B558" s="2" t="s">
        <v>20</v>
      </c>
      <c r="C558" s="2" t="s">
        <v>28</v>
      </c>
      <c r="D558" s="2" t="s">
        <v>41</v>
      </c>
      <c r="E558" s="2" t="s">
        <v>33</v>
      </c>
      <c r="F558" s="2">
        <v>183775</v>
      </c>
      <c r="G558" s="2">
        <v>7093</v>
      </c>
      <c r="H558" s="2">
        <v>7093</v>
      </c>
      <c r="I558" s="2">
        <v>373</v>
      </c>
      <c r="J558" s="2">
        <v>88634</v>
      </c>
    </row>
    <row r="559" spans="1:10" x14ac:dyDescent="0.45">
      <c r="A559" s="2" t="s">
        <v>217</v>
      </c>
      <c r="B559" s="2" t="s">
        <v>35</v>
      </c>
      <c r="C559" s="2" t="s">
        <v>16</v>
      </c>
      <c r="D559" s="2" t="s">
        <v>17</v>
      </c>
      <c r="E559" s="2" t="s">
        <v>18</v>
      </c>
      <c r="F559" s="2">
        <v>199405</v>
      </c>
      <c r="G559" s="2">
        <v>5204</v>
      </c>
      <c r="H559" s="2">
        <v>4995.84</v>
      </c>
      <c r="I559" s="2">
        <v>333</v>
      </c>
      <c r="J559" s="2">
        <v>25169.83</v>
      </c>
    </row>
    <row r="560" spans="1:10" x14ac:dyDescent="0.45">
      <c r="A560" s="2" t="s">
        <v>322</v>
      </c>
      <c r="B560" s="2" t="s">
        <v>20</v>
      </c>
      <c r="C560" s="2" t="s">
        <v>16</v>
      </c>
      <c r="D560" s="2" t="s">
        <v>25</v>
      </c>
      <c r="E560" s="2" t="s">
        <v>30</v>
      </c>
      <c r="F560" s="2">
        <v>169512</v>
      </c>
      <c r="G560" s="2">
        <v>9475</v>
      </c>
      <c r="H560" s="2">
        <v>13359.75</v>
      </c>
      <c r="I560" s="2">
        <v>203</v>
      </c>
      <c r="J560" s="2">
        <v>26995.02</v>
      </c>
    </row>
    <row r="561" spans="1:10" x14ac:dyDescent="0.45">
      <c r="A561" s="2" t="s">
        <v>323</v>
      </c>
      <c r="B561" s="2" t="s">
        <v>15</v>
      </c>
      <c r="C561" s="2" t="s">
        <v>38</v>
      </c>
      <c r="D561" s="2" t="s">
        <v>21</v>
      </c>
      <c r="E561" s="2" t="s">
        <v>51</v>
      </c>
      <c r="F561" s="2">
        <v>14884</v>
      </c>
      <c r="G561" s="2">
        <v>541</v>
      </c>
      <c r="H561" s="2">
        <v>1758.25</v>
      </c>
      <c r="I561" s="2">
        <v>43</v>
      </c>
      <c r="J561" s="2">
        <v>4123.58</v>
      </c>
    </row>
    <row r="562" spans="1:10" x14ac:dyDescent="0.45">
      <c r="A562" s="2" t="s">
        <v>123</v>
      </c>
      <c r="B562" s="2" t="s">
        <v>20</v>
      </c>
      <c r="C562" s="2" t="s">
        <v>28</v>
      </c>
      <c r="D562" s="2" t="s">
        <v>25</v>
      </c>
      <c r="E562" s="2" t="s">
        <v>30</v>
      </c>
      <c r="F562" s="2">
        <v>47623</v>
      </c>
      <c r="G562" s="2">
        <v>1695</v>
      </c>
      <c r="H562" s="2">
        <v>3135.75</v>
      </c>
      <c r="I562" s="2">
        <v>36</v>
      </c>
      <c r="J562" s="2">
        <v>9884.86</v>
      </c>
    </row>
    <row r="563" spans="1:10" x14ac:dyDescent="0.45">
      <c r="A563" s="2" t="s">
        <v>324</v>
      </c>
      <c r="B563" s="2" t="s">
        <v>35</v>
      </c>
      <c r="C563" s="2" t="s">
        <v>16</v>
      </c>
      <c r="D563" s="2" t="s">
        <v>41</v>
      </c>
      <c r="E563" s="2" t="s">
        <v>26</v>
      </c>
      <c r="F563" s="2">
        <v>102780</v>
      </c>
      <c r="G563" s="2">
        <v>1952</v>
      </c>
      <c r="H563" s="2">
        <v>2342.4</v>
      </c>
      <c r="I563" s="2">
        <v>63</v>
      </c>
      <c r="J563" s="2">
        <v>16160.9</v>
      </c>
    </row>
    <row r="564" spans="1:10" x14ac:dyDescent="0.45">
      <c r="A564" s="2" t="s">
        <v>313</v>
      </c>
      <c r="B564" s="2" t="s">
        <v>15</v>
      </c>
      <c r="C564" s="2" t="s">
        <v>28</v>
      </c>
      <c r="D564" s="2" t="s">
        <v>25</v>
      </c>
      <c r="E564" s="2" t="s">
        <v>54</v>
      </c>
      <c r="F564" s="2">
        <v>167717</v>
      </c>
      <c r="G564" s="2">
        <v>4142</v>
      </c>
      <c r="H564" s="2">
        <v>7165.66</v>
      </c>
      <c r="I564" s="2">
        <v>71</v>
      </c>
      <c r="J564" s="2">
        <v>15937.54</v>
      </c>
    </row>
    <row r="565" spans="1:10" x14ac:dyDescent="0.45">
      <c r="A565" s="2" t="s">
        <v>57</v>
      </c>
      <c r="B565" s="2" t="s">
        <v>35</v>
      </c>
      <c r="C565" s="2" t="s">
        <v>16</v>
      </c>
      <c r="D565" s="2" t="s">
        <v>41</v>
      </c>
      <c r="E565" s="2" t="s">
        <v>22</v>
      </c>
      <c r="F565" s="2">
        <v>189598</v>
      </c>
      <c r="G565" s="2">
        <v>6673</v>
      </c>
      <c r="H565" s="2">
        <v>13279.27</v>
      </c>
      <c r="I565" s="2">
        <v>170</v>
      </c>
      <c r="J565" s="2">
        <v>36177.68</v>
      </c>
    </row>
    <row r="566" spans="1:10" x14ac:dyDescent="0.45">
      <c r="A566" s="2" t="s">
        <v>14</v>
      </c>
      <c r="B566" s="2" t="s">
        <v>20</v>
      </c>
      <c r="C566" s="2" t="s">
        <v>38</v>
      </c>
      <c r="D566" s="2" t="s">
        <v>29</v>
      </c>
      <c r="E566" s="2" t="s">
        <v>30</v>
      </c>
      <c r="F566" s="2">
        <v>92273</v>
      </c>
      <c r="G566" s="2">
        <v>6237</v>
      </c>
      <c r="H566" s="2">
        <v>8794.17</v>
      </c>
      <c r="I566" s="2">
        <v>291</v>
      </c>
      <c r="J566" s="2">
        <v>72065.02</v>
      </c>
    </row>
    <row r="567" spans="1:10" x14ac:dyDescent="0.45">
      <c r="A567" s="2" t="s">
        <v>57</v>
      </c>
      <c r="B567" s="2" t="s">
        <v>15</v>
      </c>
      <c r="C567" s="2" t="s">
        <v>38</v>
      </c>
      <c r="D567" s="2" t="s">
        <v>17</v>
      </c>
      <c r="E567" s="2" t="s">
        <v>22</v>
      </c>
      <c r="F567" s="2">
        <v>118884</v>
      </c>
      <c r="G567" s="2">
        <v>5932</v>
      </c>
      <c r="H567" s="2">
        <v>17499.400000000001</v>
      </c>
      <c r="I567" s="2">
        <v>450</v>
      </c>
      <c r="J567" s="2">
        <v>121374.91</v>
      </c>
    </row>
    <row r="568" spans="1:10" x14ac:dyDescent="0.45">
      <c r="A568" s="2" t="s">
        <v>109</v>
      </c>
      <c r="B568" s="2" t="s">
        <v>15</v>
      </c>
      <c r="C568" s="2" t="s">
        <v>16</v>
      </c>
      <c r="D568" s="2" t="s">
        <v>25</v>
      </c>
      <c r="E568" s="2" t="s">
        <v>54</v>
      </c>
      <c r="F568" s="2">
        <v>84303</v>
      </c>
      <c r="G568" s="2">
        <v>4417</v>
      </c>
      <c r="H568" s="2">
        <v>13781.04</v>
      </c>
      <c r="I568" s="2">
        <v>100</v>
      </c>
      <c r="J568" s="2">
        <v>20354.89</v>
      </c>
    </row>
    <row r="569" spans="1:10" x14ac:dyDescent="0.45">
      <c r="A569" s="2" t="s">
        <v>177</v>
      </c>
      <c r="B569" s="2" t="s">
        <v>15</v>
      </c>
      <c r="C569" s="2" t="s">
        <v>24</v>
      </c>
      <c r="D569" s="2" t="s">
        <v>21</v>
      </c>
      <c r="E569" s="2" t="s">
        <v>30</v>
      </c>
      <c r="F569" s="2">
        <v>89730</v>
      </c>
      <c r="G569" s="2">
        <v>4621</v>
      </c>
      <c r="H569" s="2">
        <v>12384.28</v>
      </c>
      <c r="I569" s="2">
        <v>277</v>
      </c>
      <c r="J569" s="2">
        <v>13483.54</v>
      </c>
    </row>
    <row r="570" spans="1:10" x14ac:dyDescent="0.45">
      <c r="A570" s="2" t="s">
        <v>221</v>
      </c>
      <c r="B570" s="2" t="s">
        <v>15</v>
      </c>
      <c r="C570" s="2" t="s">
        <v>16</v>
      </c>
      <c r="D570" s="2" t="s">
        <v>29</v>
      </c>
      <c r="E570" s="2" t="s">
        <v>22</v>
      </c>
      <c r="F570" s="2">
        <v>174737</v>
      </c>
      <c r="G570" s="2">
        <v>5207</v>
      </c>
      <c r="H570" s="2">
        <v>7498.08</v>
      </c>
      <c r="I570" s="2">
        <v>398</v>
      </c>
      <c r="J570" s="2">
        <v>90351.24</v>
      </c>
    </row>
    <row r="571" spans="1:10" x14ac:dyDescent="0.45">
      <c r="A571" s="2" t="s">
        <v>132</v>
      </c>
      <c r="B571" s="2" t="s">
        <v>15</v>
      </c>
      <c r="C571" s="2" t="s">
        <v>28</v>
      </c>
      <c r="D571" s="2" t="s">
        <v>25</v>
      </c>
      <c r="E571" s="2" t="s">
        <v>30</v>
      </c>
      <c r="F571" s="2">
        <v>145508</v>
      </c>
      <c r="G571" s="2">
        <v>7158</v>
      </c>
      <c r="H571" s="2">
        <v>10307.52</v>
      </c>
      <c r="I571" s="2">
        <v>566</v>
      </c>
      <c r="J571" s="2">
        <v>76404.289999999994</v>
      </c>
    </row>
    <row r="572" spans="1:10" x14ac:dyDescent="0.45">
      <c r="A572" s="2" t="s">
        <v>315</v>
      </c>
      <c r="B572" s="2" t="s">
        <v>15</v>
      </c>
      <c r="C572" s="2" t="s">
        <v>28</v>
      </c>
      <c r="D572" s="2" t="s">
        <v>21</v>
      </c>
      <c r="E572" s="2" t="s">
        <v>54</v>
      </c>
      <c r="F572" s="2">
        <v>75649</v>
      </c>
      <c r="G572" s="2">
        <v>1792</v>
      </c>
      <c r="H572" s="2">
        <v>4981.76</v>
      </c>
      <c r="I572" s="2">
        <v>110</v>
      </c>
      <c r="J572" s="2">
        <v>12588.99</v>
      </c>
    </row>
    <row r="573" spans="1:10" x14ac:dyDescent="0.45">
      <c r="A573" s="2" t="s">
        <v>316</v>
      </c>
      <c r="B573" s="2" t="s">
        <v>20</v>
      </c>
      <c r="C573" s="2" t="s">
        <v>38</v>
      </c>
      <c r="D573" s="2" t="s">
        <v>41</v>
      </c>
      <c r="E573" s="2" t="s">
        <v>22</v>
      </c>
      <c r="F573" s="2">
        <v>85522</v>
      </c>
      <c r="G573" s="2">
        <v>3378</v>
      </c>
      <c r="H573" s="2">
        <v>1182.3</v>
      </c>
      <c r="I573" s="2">
        <v>167</v>
      </c>
      <c r="J573" s="2">
        <v>30312.31</v>
      </c>
    </row>
    <row r="574" spans="1:10" x14ac:dyDescent="0.45">
      <c r="A574" s="2" t="s">
        <v>123</v>
      </c>
      <c r="B574" s="2" t="s">
        <v>35</v>
      </c>
      <c r="C574" s="2" t="s">
        <v>28</v>
      </c>
      <c r="D574" s="2" t="s">
        <v>25</v>
      </c>
      <c r="E574" s="2" t="s">
        <v>33</v>
      </c>
      <c r="F574" s="2">
        <v>19588</v>
      </c>
      <c r="G574" s="2">
        <v>434</v>
      </c>
      <c r="H574" s="2">
        <v>768.18</v>
      </c>
      <c r="I574" s="2">
        <v>5</v>
      </c>
      <c r="J574" s="2">
        <v>560.03</v>
      </c>
    </row>
    <row r="575" spans="1:10" x14ac:dyDescent="0.45">
      <c r="A575" s="2" t="s">
        <v>176</v>
      </c>
      <c r="B575" s="2" t="s">
        <v>20</v>
      </c>
      <c r="C575" s="2" t="s">
        <v>24</v>
      </c>
      <c r="D575" s="2" t="s">
        <v>41</v>
      </c>
      <c r="E575" s="2" t="s">
        <v>33</v>
      </c>
      <c r="F575" s="2">
        <v>92985</v>
      </c>
      <c r="G575" s="2">
        <v>8024</v>
      </c>
      <c r="H575" s="2">
        <v>6820.4</v>
      </c>
      <c r="I575" s="2">
        <v>520</v>
      </c>
      <c r="J575" s="2">
        <v>150774.99</v>
      </c>
    </row>
    <row r="576" spans="1:10" x14ac:dyDescent="0.45">
      <c r="A576" s="2" t="s">
        <v>70</v>
      </c>
      <c r="B576" s="2" t="s">
        <v>15</v>
      </c>
      <c r="C576" s="2" t="s">
        <v>24</v>
      </c>
      <c r="D576" s="2" t="s">
        <v>41</v>
      </c>
      <c r="E576" s="2" t="s">
        <v>26</v>
      </c>
      <c r="F576" s="2">
        <v>134198</v>
      </c>
      <c r="G576" s="2">
        <v>2670</v>
      </c>
      <c r="H576" s="2">
        <v>8410.5</v>
      </c>
      <c r="I576" s="2">
        <v>71</v>
      </c>
      <c r="J576" s="2">
        <v>14769.75</v>
      </c>
    </row>
    <row r="577" spans="1:10" x14ac:dyDescent="0.45">
      <c r="A577" s="2" t="s">
        <v>165</v>
      </c>
      <c r="B577" s="2" t="s">
        <v>20</v>
      </c>
      <c r="C577" s="2" t="s">
        <v>16</v>
      </c>
      <c r="D577" s="2" t="s">
        <v>41</v>
      </c>
      <c r="E577" s="2" t="s">
        <v>33</v>
      </c>
      <c r="F577" s="2">
        <v>25951</v>
      </c>
      <c r="G577" s="2">
        <v>809</v>
      </c>
      <c r="H577" s="2">
        <v>388.32</v>
      </c>
      <c r="I577" s="2">
        <v>61</v>
      </c>
      <c r="J577" s="2">
        <v>10397.040000000001</v>
      </c>
    </row>
    <row r="578" spans="1:10" x14ac:dyDescent="0.45">
      <c r="A578" s="2" t="s">
        <v>325</v>
      </c>
      <c r="B578" s="2" t="s">
        <v>15</v>
      </c>
      <c r="C578" s="2" t="s">
        <v>28</v>
      </c>
      <c r="D578" s="2" t="s">
        <v>41</v>
      </c>
      <c r="E578" s="2" t="s">
        <v>22</v>
      </c>
      <c r="F578" s="2">
        <v>55385</v>
      </c>
      <c r="G578" s="2">
        <v>1678</v>
      </c>
      <c r="H578" s="2">
        <v>2416.3200000000002</v>
      </c>
      <c r="I578" s="2">
        <v>64</v>
      </c>
      <c r="J578" s="2">
        <v>18110.48</v>
      </c>
    </row>
    <row r="579" spans="1:10" x14ac:dyDescent="0.45">
      <c r="A579" s="2" t="s">
        <v>326</v>
      </c>
      <c r="B579" s="2" t="s">
        <v>15</v>
      </c>
      <c r="C579" s="2" t="s">
        <v>16</v>
      </c>
      <c r="D579" s="2" t="s">
        <v>29</v>
      </c>
      <c r="E579" s="2" t="s">
        <v>51</v>
      </c>
      <c r="F579" s="2">
        <v>21702</v>
      </c>
      <c r="G579" s="2">
        <v>1000</v>
      </c>
      <c r="H579" s="2">
        <v>3170</v>
      </c>
      <c r="I579" s="2">
        <v>17</v>
      </c>
      <c r="J579" s="2">
        <v>3670.88</v>
      </c>
    </row>
    <row r="580" spans="1:10" x14ac:dyDescent="0.45">
      <c r="A580" s="2" t="s">
        <v>62</v>
      </c>
      <c r="B580" s="2" t="s">
        <v>20</v>
      </c>
      <c r="C580" s="2" t="s">
        <v>16</v>
      </c>
      <c r="D580" s="2" t="s">
        <v>29</v>
      </c>
      <c r="E580" s="2" t="s">
        <v>18</v>
      </c>
      <c r="F580" s="2">
        <v>195972</v>
      </c>
      <c r="G580" s="2">
        <v>13796</v>
      </c>
      <c r="H580" s="2">
        <v>6898</v>
      </c>
      <c r="I580" s="2">
        <v>645</v>
      </c>
      <c r="J580" s="2">
        <v>54701.33</v>
      </c>
    </row>
    <row r="581" spans="1:10" x14ac:dyDescent="0.45">
      <c r="A581" s="2" t="s">
        <v>327</v>
      </c>
      <c r="B581" s="2" t="s">
        <v>35</v>
      </c>
      <c r="C581" s="2" t="s">
        <v>16</v>
      </c>
      <c r="D581" s="2" t="s">
        <v>25</v>
      </c>
      <c r="E581" s="2" t="s">
        <v>18</v>
      </c>
      <c r="F581" s="2">
        <v>73447</v>
      </c>
      <c r="G581" s="2">
        <v>2401</v>
      </c>
      <c r="H581" s="2">
        <v>3457.44</v>
      </c>
      <c r="I581" s="2">
        <v>93</v>
      </c>
      <c r="J581" s="2">
        <v>11150.38</v>
      </c>
    </row>
    <row r="582" spans="1:10" x14ac:dyDescent="0.45">
      <c r="A582" s="2" t="s">
        <v>198</v>
      </c>
      <c r="B582" s="2" t="s">
        <v>35</v>
      </c>
      <c r="C582" s="2" t="s">
        <v>16</v>
      </c>
      <c r="D582" s="2" t="s">
        <v>25</v>
      </c>
      <c r="E582" s="2" t="s">
        <v>18</v>
      </c>
      <c r="F582" s="2">
        <v>55867</v>
      </c>
      <c r="G582" s="2">
        <v>1681</v>
      </c>
      <c r="H582" s="2">
        <v>3328.38</v>
      </c>
      <c r="I582" s="2">
        <v>32</v>
      </c>
      <c r="J582" s="2">
        <v>3790.94</v>
      </c>
    </row>
    <row r="583" spans="1:10" x14ac:dyDescent="0.45">
      <c r="A583" s="2" t="s">
        <v>235</v>
      </c>
      <c r="B583" s="2" t="s">
        <v>15</v>
      </c>
      <c r="C583" s="2" t="s">
        <v>38</v>
      </c>
      <c r="D583" s="2" t="s">
        <v>17</v>
      </c>
      <c r="E583" s="2" t="s">
        <v>22</v>
      </c>
      <c r="F583" s="2">
        <v>64567</v>
      </c>
      <c r="G583" s="2">
        <v>1439</v>
      </c>
      <c r="H583" s="2">
        <v>3295.31</v>
      </c>
      <c r="I583" s="2">
        <v>64</v>
      </c>
      <c r="J583" s="2">
        <v>4231.38</v>
      </c>
    </row>
    <row r="584" spans="1:10" x14ac:dyDescent="0.45">
      <c r="A584" s="2" t="s">
        <v>328</v>
      </c>
      <c r="B584" s="2" t="s">
        <v>20</v>
      </c>
      <c r="C584" s="2" t="s">
        <v>28</v>
      </c>
      <c r="D584" s="2" t="s">
        <v>29</v>
      </c>
      <c r="E584" s="2" t="s">
        <v>33</v>
      </c>
      <c r="F584" s="2">
        <v>97254</v>
      </c>
      <c r="G584" s="2">
        <v>3374</v>
      </c>
      <c r="H584" s="2">
        <v>5567.1</v>
      </c>
      <c r="I584" s="2">
        <v>63</v>
      </c>
      <c r="J584" s="2">
        <v>17255.150000000001</v>
      </c>
    </row>
    <row r="585" spans="1:10" x14ac:dyDescent="0.45">
      <c r="A585" s="2" t="s">
        <v>142</v>
      </c>
      <c r="B585" s="2" t="s">
        <v>35</v>
      </c>
      <c r="C585" s="2" t="s">
        <v>28</v>
      </c>
      <c r="D585" s="2" t="s">
        <v>25</v>
      </c>
      <c r="E585" s="2" t="s">
        <v>22</v>
      </c>
      <c r="F585" s="2">
        <v>147897</v>
      </c>
      <c r="G585" s="2">
        <v>2144</v>
      </c>
      <c r="H585" s="2">
        <v>4159.3599999999997</v>
      </c>
      <c r="I585" s="2">
        <v>24</v>
      </c>
      <c r="J585" s="2">
        <v>3826.61</v>
      </c>
    </row>
    <row r="586" spans="1:10" x14ac:dyDescent="0.45">
      <c r="A586" s="2" t="s">
        <v>307</v>
      </c>
      <c r="B586" s="2" t="s">
        <v>35</v>
      </c>
      <c r="C586" s="2" t="s">
        <v>38</v>
      </c>
      <c r="D586" s="2" t="s">
        <v>25</v>
      </c>
      <c r="E586" s="2" t="s">
        <v>30</v>
      </c>
      <c r="F586" s="2">
        <v>115379</v>
      </c>
      <c r="G586" s="2">
        <v>5134</v>
      </c>
      <c r="H586" s="2">
        <v>12372.94</v>
      </c>
      <c r="I586" s="2">
        <v>391</v>
      </c>
      <c r="J586" s="2">
        <v>109895.16</v>
      </c>
    </row>
    <row r="587" spans="1:10" x14ac:dyDescent="0.45">
      <c r="A587" s="2" t="s">
        <v>329</v>
      </c>
      <c r="B587" s="2" t="s">
        <v>15</v>
      </c>
      <c r="C587" s="2" t="s">
        <v>16</v>
      </c>
      <c r="D587" s="2" t="s">
        <v>17</v>
      </c>
      <c r="E587" s="2" t="s">
        <v>22</v>
      </c>
      <c r="F587" s="2">
        <v>51566</v>
      </c>
      <c r="G587" s="2">
        <v>1531</v>
      </c>
      <c r="H587" s="2">
        <v>2128.09</v>
      </c>
      <c r="I587" s="2">
        <v>112</v>
      </c>
      <c r="J587" s="2">
        <v>6716.48</v>
      </c>
    </row>
    <row r="588" spans="1:10" x14ac:dyDescent="0.45">
      <c r="A588" s="2" t="s">
        <v>330</v>
      </c>
      <c r="B588" s="2" t="s">
        <v>15</v>
      </c>
      <c r="C588" s="2" t="s">
        <v>16</v>
      </c>
      <c r="D588" s="2" t="s">
        <v>25</v>
      </c>
      <c r="E588" s="2" t="s">
        <v>18</v>
      </c>
      <c r="F588" s="2">
        <v>184889</v>
      </c>
      <c r="G588" s="2">
        <v>6212</v>
      </c>
      <c r="H588" s="2">
        <v>13480.04</v>
      </c>
      <c r="I588" s="2">
        <v>73</v>
      </c>
      <c r="J588" s="2">
        <v>2434.91</v>
      </c>
    </row>
    <row r="589" spans="1:10" x14ac:dyDescent="0.45">
      <c r="A589" s="2" t="s">
        <v>37</v>
      </c>
      <c r="B589" s="2" t="s">
        <v>20</v>
      </c>
      <c r="C589" s="2" t="s">
        <v>28</v>
      </c>
      <c r="D589" s="2" t="s">
        <v>21</v>
      </c>
      <c r="E589" s="2" t="s">
        <v>54</v>
      </c>
      <c r="F589" s="2">
        <v>100028</v>
      </c>
      <c r="G589" s="2">
        <v>7402</v>
      </c>
      <c r="H589" s="2">
        <v>5403.46</v>
      </c>
      <c r="I589" s="2">
        <v>100</v>
      </c>
      <c r="J589" s="2">
        <v>7280.48</v>
      </c>
    </row>
    <row r="590" spans="1:10" x14ac:dyDescent="0.45">
      <c r="A590" s="2" t="s">
        <v>331</v>
      </c>
      <c r="B590" s="2" t="s">
        <v>20</v>
      </c>
      <c r="C590" s="2" t="s">
        <v>16</v>
      </c>
      <c r="D590" s="2" t="s">
        <v>21</v>
      </c>
      <c r="E590" s="2" t="s">
        <v>51</v>
      </c>
      <c r="F590" s="2">
        <v>29741</v>
      </c>
      <c r="G590" s="2">
        <v>1287</v>
      </c>
      <c r="H590" s="2">
        <v>1583.01</v>
      </c>
      <c r="I590" s="2">
        <v>55</v>
      </c>
      <c r="J590" s="2">
        <v>6012.36</v>
      </c>
    </row>
    <row r="591" spans="1:10" x14ac:dyDescent="0.45">
      <c r="A591" s="2" t="s">
        <v>320</v>
      </c>
      <c r="B591" s="2" t="s">
        <v>15</v>
      </c>
      <c r="C591" s="2" t="s">
        <v>28</v>
      </c>
      <c r="D591" s="2" t="s">
        <v>17</v>
      </c>
      <c r="E591" s="2" t="s">
        <v>54</v>
      </c>
      <c r="F591" s="2">
        <v>155033</v>
      </c>
      <c r="G591" s="2">
        <v>5782</v>
      </c>
      <c r="H591" s="2">
        <v>12546.94</v>
      </c>
      <c r="I591" s="2">
        <v>248</v>
      </c>
      <c r="J591" s="2">
        <v>71470.23</v>
      </c>
    </row>
    <row r="592" spans="1:10" x14ac:dyDescent="0.45">
      <c r="A592" s="2" t="s">
        <v>318</v>
      </c>
      <c r="B592" s="2" t="s">
        <v>20</v>
      </c>
      <c r="C592" s="2" t="s">
        <v>28</v>
      </c>
      <c r="D592" s="2" t="s">
        <v>17</v>
      </c>
      <c r="E592" s="2" t="s">
        <v>33</v>
      </c>
      <c r="F592" s="2">
        <v>13562</v>
      </c>
      <c r="G592" s="2">
        <v>790</v>
      </c>
      <c r="H592" s="2">
        <v>932.2</v>
      </c>
      <c r="I592" s="2">
        <v>40</v>
      </c>
      <c r="J592" s="2">
        <v>7014.55</v>
      </c>
    </row>
    <row r="593" spans="1:10" x14ac:dyDescent="0.45">
      <c r="A593" s="2" t="s">
        <v>254</v>
      </c>
      <c r="B593" s="2" t="s">
        <v>35</v>
      </c>
      <c r="C593" s="2" t="s">
        <v>28</v>
      </c>
      <c r="D593" s="2" t="s">
        <v>25</v>
      </c>
      <c r="E593" s="2" t="s">
        <v>18</v>
      </c>
      <c r="F593" s="2">
        <v>84830</v>
      </c>
      <c r="G593" s="2">
        <v>2612</v>
      </c>
      <c r="H593" s="2">
        <v>5171.76</v>
      </c>
      <c r="I593" s="2">
        <v>84</v>
      </c>
      <c r="J593" s="2">
        <v>6284.59</v>
      </c>
    </row>
    <row r="594" spans="1:10" x14ac:dyDescent="0.45">
      <c r="A594" s="2" t="s">
        <v>128</v>
      </c>
      <c r="B594" s="2" t="s">
        <v>35</v>
      </c>
      <c r="C594" s="2" t="s">
        <v>28</v>
      </c>
      <c r="D594" s="2" t="s">
        <v>25</v>
      </c>
      <c r="E594" s="2" t="s">
        <v>30</v>
      </c>
      <c r="F594" s="2">
        <v>119427</v>
      </c>
      <c r="G594" s="2">
        <v>1146</v>
      </c>
      <c r="H594" s="2">
        <v>2211.7800000000002</v>
      </c>
      <c r="I594" s="2">
        <v>27</v>
      </c>
      <c r="J594" s="2">
        <v>5094.3599999999997</v>
      </c>
    </row>
    <row r="595" spans="1:10" x14ac:dyDescent="0.45">
      <c r="A595" s="2" t="s">
        <v>318</v>
      </c>
      <c r="B595" s="2" t="s">
        <v>15</v>
      </c>
      <c r="C595" s="2" t="s">
        <v>28</v>
      </c>
      <c r="D595" s="2" t="s">
        <v>21</v>
      </c>
      <c r="E595" s="2" t="s">
        <v>51</v>
      </c>
      <c r="F595" s="2">
        <v>175623</v>
      </c>
      <c r="G595" s="2">
        <v>9483</v>
      </c>
      <c r="H595" s="2">
        <v>9198.51</v>
      </c>
      <c r="I595" s="2">
        <v>268</v>
      </c>
      <c r="J595" s="2">
        <v>79311.56</v>
      </c>
    </row>
    <row r="596" spans="1:10" x14ac:dyDescent="0.45">
      <c r="A596" s="2" t="s">
        <v>118</v>
      </c>
      <c r="B596" s="2" t="s">
        <v>15</v>
      </c>
      <c r="C596" s="2" t="s">
        <v>16</v>
      </c>
      <c r="D596" s="2" t="s">
        <v>29</v>
      </c>
      <c r="E596" s="2" t="s">
        <v>54</v>
      </c>
      <c r="F596" s="2">
        <v>93919</v>
      </c>
      <c r="G596" s="2">
        <v>4968</v>
      </c>
      <c r="H596" s="2">
        <v>12668.4</v>
      </c>
      <c r="I596" s="2">
        <v>308</v>
      </c>
      <c r="J596" s="2">
        <v>66254.75</v>
      </c>
    </row>
    <row r="597" spans="1:10" x14ac:dyDescent="0.45">
      <c r="A597" s="2" t="s">
        <v>264</v>
      </c>
      <c r="B597" s="2" t="s">
        <v>20</v>
      </c>
      <c r="C597" s="2" t="s">
        <v>38</v>
      </c>
      <c r="D597" s="2" t="s">
        <v>17</v>
      </c>
      <c r="E597" s="2" t="s">
        <v>18</v>
      </c>
      <c r="F597" s="2">
        <v>46190</v>
      </c>
      <c r="G597" s="2">
        <v>3030</v>
      </c>
      <c r="H597" s="2">
        <v>1272.5999999999999</v>
      </c>
      <c r="I597" s="2">
        <v>183</v>
      </c>
      <c r="J597" s="2">
        <v>38945.83</v>
      </c>
    </row>
    <row r="598" spans="1:10" x14ac:dyDescent="0.45">
      <c r="A598" s="2" t="s">
        <v>154</v>
      </c>
      <c r="B598" s="2" t="s">
        <v>35</v>
      </c>
      <c r="C598" s="2" t="s">
        <v>38</v>
      </c>
      <c r="D598" s="2" t="s">
        <v>25</v>
      </c>
      <c r="E598" s="2" t="s">
        <v>54</v>
      </c>
      <c r="F598" s="2">
        <v>152996</v>
      </c>
      <c r="G598" s="2">
        <v>3136</v>
      </c>
      <c r="H598" s="2">
        <v>5613.44</v>
      </c>
      <c r="I598" s="2">
        <v>82</v>
      </c>
      <c r="J598" s="2">
        <v>6472.17</v>
      </c>
    </row>
    <row r="599" spans="1:10" x14ac:dyDescent="0.45">
      <c r="A599" s="2" t="s">
        <v>206</v>
      </c>
      <c r="B599" s="2" t="s">
        <v>20</v>
      </c>
      <c r="C599" s="2" t="s">
        <v>28</v>
      </c>
      <c r="D599" s="2" t="s">
        <v>41</v>
      </c>
      <c r="E599" s="2" t="s">
        <v>18</v>
      </c>
      <c r="F599" s="2">
        <v>62600</v>
      </c>
      <c r="G599" s="2">
        <v>3142</v>
      </c>
      <c r="H599" s="2">
        <v>2230.8200000000002</v>
      </c>
      <c r="I599" s="2">
        <v>245</v>
      </c>
      <c r="J599" s="2">
        <v>17495.080000000002</v>
      </c>
    </row>
    <row r="600" spans="1:10" x14ac:dyDescent="0.45">
      <c r="A600" s="2" t="s">
        <v>44</v>
      </c>
      <c r="B600" s="2" t="s">
        <v>35</v>
      </c>
      <c r="C600" s="2" t="s">
        <v>16</v>
      </c>
      <c r="D600" s="2" t="s">
        <v>41</v>
      </c>
      <c r="E600" s="2" t="s">
        <v>18</v>
      </c>
      <c r="F600" s="2">
        <v>36127</v>
      </c>
      <c r="G600" s="2">
        <v>610</v>
      </c>
      <c r="H600" s="2">
        <v>677.1</v>
      </c>
      <c r="I600" s="2">
        <v>45</v>
      </c>
      <c r="J600" s="2">
        <v>6906.4</v>
      </c>
    </row>
    <row r="601" spans="1:10" x14ac:dyDescent="0.45">
      <c r="A601" s="2" t="s">
        <v>239</v>
      </c>
      <c r="B601" s="2" t="s">
        <v>20</v>
      </c>
      <c r="C601" s="2" t="s">
        <v>24</v>
      </c>
      <c r="D601" s="2" t="s">
        <v>21</v>
      </c>
      <c r="E601" s="2" t="s">
        <v>51</v>
      </c>
      <c r="F601" s="2">
        <v>110940</v>
      </c>
      <c r="G601" s="2">
        <v>6512</v>
      </c>
      <c r="H601" s="2">
        <v>9181.92</v>
      </c>
      <c r="I601" s="2">
        <v>108</v>
      </c>
      <c r="J601" s="2">
        <v>14612.87</v>
      </c>
    </row>
    <row r="602" spans="1:10" x14ac:dyDescent="0.45">
      <c r="A602" s="2" t="s">
        <v>260</v>
      </c>
      <c r="B602" s="2" t="s">
        <v>35</v>
      </c>
      <c r="C602" s="2" t="s">
        <v>16</v>
      </c>
      <c r="D602" s="2" t="s">
        <v>41</v>
      </c>
      <c r="E602" s="2" t="s">
        <v>22</v>
      </c>
      <c r="F602" s="2">
        <v>91332</v>
      </c>
      <c r="G602" s="2">
        <v>3762</v>
      </c>
      <c r="H602" s="2">
        <v>2445.3000000000002</v>
      </c>
      <c r="I602" s="2">
        <v>125</v>
      </c>
      <c r="J602" s="2">
        <v>31285.11</v>
      </c>
    </row>
    <row r="603" spans="1:10" x14ac:dyDescent="0.45">
      <c r="A603" s="2" t="s">
        <v>159</v>
      </c>
      <c r="B603" s="2" t="s">
        <v>20</v>
      </c>
      <c r="C603" s="2" t="s">
        <v>24</v>
      </c>
      <c r="D603" s="2" t="s">
        <v>21</v>
      </c>
      <c r="E603" s="2" t="s">
        <v>18</v>
      </c>
      <c r="F603" s="2">
        <v>149526</v>
      </c>
      <c r="G603" s="2">
        <v>4321</v>
      </c>
      <c r="H603" s="2">
        <v>3370.38</v>
      </c>
      <c r="I603" s="2">
        <v>120</v>
      </c>
      <c r="J603" s="2">
        <v>25118.55</v>
      </c>
    </row>
    <row r="604" spans="1:10" x14ac:dyDescent="0.45">
      <c r="A604" s="2" t="s">
        <v>90</v>
      </c>
      <c r="B604" s="2" t="s">
        <v>35</v>
      </c>
      <c r="C604" s="2" t="s">
        <v>16</v>
      </c>
      <c r="D604" s="2" t="s">
        <v>25</v>
      </c>
      <c r="E604" s="2" t="s">
        <v>26</v>
      </c>
      <c r="F604" s="2">
        <v>77746</v>
      </c>
      <c r="G604" s="2">
        <v>2861</v>
      </c>
      <c r="H604" s="2">
        <v>2975.44</v>
      </c>
      <c r="I604" s="2">
        <v>82</v>
      </c>
      <c r="J604" s="2">
        <v>21523.93</v>
      </c>
    </row>
    <row r="605" spans="1:10" x14ac:dyDescent="0.45">
      <c r="A605" s="2" t="s">
        <v>37</v>
      </c>
      <c r="B605" s="2" t="s">
        <v>15</v>
      </c>
      <c r="C605" s="2" t="s">
        <v>24</v>
      </c>
      <c r="D605" s="2" t="s">
        <v>25</v>
      </c>
      <c r="E605" s="2" t="s">
        <v>22</v>
      </c>
      <c r="F605" s="2">
        <v>105804</v>
      </c>
      <c r="G605" s="2">
        <v>3110</v>
      </c>
      <c r="H605" s="2">
        <v>3016.7</v>
      </c>
      <c r="I605" s="2">
        <v>200</v>
      </c>
      <c r="J605" s="2">
        <v>49067.29</v>
      </c>
    </row>
    <row r="606" spans="1:10" x14ac:dyDescent="0.45">
      <c r="A606" s="2" t="s">
        <v>151</v>
      </c>
      <c r="B606" s="2" t="s">
        <v>35</v>
      </c>
      <c r="C606" s="2" t="s">
        <v>24</v>
      </c>
      <c r="D606" s="2" t="s">
        <v>17</v>
      </c>
      <c r="E606" s="2" t="s">
        <v>30</v>
      </c>
      <c r="F606" s="2">
        <v>37599</v>
      </c>
      <c r="G606" s="2">
        <v>1225</v>
      </c>
      <c r="H606" s="2">
        <v>1592.5</v>
      </c>
      <c r="I606" s="2">
        <v>73</v>
      </c>
      <c r="J606" s="2">
        <v>19164.89</v>
      </c>
    </row>
    <row r="607" spans="1:10" x14ac:dyDescent="0.45">
      <c r="A607" s="2" t="s">
        <v>252</v>
      </c>
      <c r="B607" s="2" t="s">
        <v>15</v>
      </c>
      <c r="C607" s="2" t="s">
        <v>28</v>
      </c>
      <c r="D607" s="2" t="s">
        <v>41</v>
      </c>
      <c r="E607" s="2" t="s">
        <v>51</v>
      </c>
      <c r="F607" s="2">
        <v>9791</v>
      </c>
      <c r="G607" s="2">
        <v>519</v>
      </c>
      <c r="H607" s="2">
        <v>2050.0500000000002</v>
      </c>
      <c r="I607" s="2">
        <v>40</v>
      </c>
      <c r="J607" s="2">
        <v>2255.2399999999998</v>
      </c>
    </row>
    <row r="608" spans="1:10" x14ac:dyDescent="0.45">
      <c r="A608" s="2" t="s">
        <v>44</v>
      </c>
      <c r="B608" s="2" t="s">
        <v>15</v>
      </c>
      <c r="C608" s="2" t="s">
        <v>16</v>
      </c>
      <c r="D608" s="2" t="s">
        <v>25</v>
      </c>
      <c r="E608" s="2" t="s">
        <v>26</v>
      </c>
      <c r="F608" s="2">
        <v>34802</v>
      </c>
      <c r="G608" s="2">
        <v>1708</v>
      </c>
      <c r="H608" s="2">
        <v>4953.2</v>
      </c>
      <c r="I608" s="2">
        <v>72</v>
      </c>
      <c r="J608" s="2">
        <v>6827.25</v>
      </c>
    </row>
    <row r="609" spans="1:10" x14ac:dyDescent="0.45">
      <c r="A609" s="2" t="s">
        <v>198</v>
      </c>
      <c r="B609" s="2" t="s">
        <v>20</v>
      </c>
      <c r="C609" s="2" t="s">
        <v>38</v>
      </c>
      <c r="D609" s="2" t="s">
        <v>25</v>
      </c>
      <c r="E609" s="2" t="s">
        <v>51</v>
      </c>
      <c r="F609" s="2">
        <v>81394</v>
      </c>
      <c r="G609" s="2">
        <v>5192</v>
      </c>
      <c r="H609" s="2">
        <v>4880.4799999999996</v>
      </c>
      <c r="I609" s="2">
        <v>253</v>
      </c>
      <c r="J609" s="2">
        <v>41499.01</v>
      </c>
    </row>
    <row r="610" spans="1:10" x14ac:dyDescent="0.45">
      <c r="A610" s="2" t="s">
        <v>115</v>
      </c>
      <c r="B610" s="2" t="s">
        <v>15</v>
      </c>
      <c r="C610" s="2" t="s">
        <v>28</v>
      </c>
      <c r="D610" s="2" t="s">
        <v>41</v>
      </c>
      <c r="E610" s="2" t="s">
        <v>30</v>
      </c>
      <c r="F610" s="2">
        <v>101299</v>
      </c>
      <c r="G610" s="2">
        <v>3504</v>
      </c>
      <c r="H610" s="2">
        <v>6307.2</v>
      </c>
      <c r="I610" s="2">
        <v>250</v>
      </c>
      <c r="J610" s="2">
        <v>36776.35</v>
      </c>
    </row>
    <row r="611" spans="1:10" x14ac:dyDescent="0.45">
      <c r="A611" s="2" t="s">
        <v>278</v>
      </c>
      <c r="B611" s="2" t="s">
        <v>35</v>
      </c>
      <c r="C611" s="2" t="s">
        <v>24</v>
      </c>
      <c r="D611" s="2" t="s">
        <v>25</v>
      </c>
      <c r="E611" s="2" t="s">
        <v>30</v>
      </c>
      <c r="F611" s="2">
        <v>140431</v>
      </c>
      <c r="G611" s="2">
        <v>1544</v>
      </c>
      <c r="H611" s="2">
        <v>802.88</v>
      </c>
      <c r="I611" s="2">
        <v>74</v>
      </c>
      <c r="J611" s="2">
        <v>2904.54</v>
      </c>
    </row>
    <row r="612" spans="1:10" x14ac:dyDescent="0.45">
      <c r="A612" s="2" t="s">
        <v>133</v>
      </c>
      <c r="B612" s="2" t="s">
        <v>15</v>
      </c>
      <c r="C612" s="2" t="s">
        <v>24</v>
      </c>
      <c r="D612" s="2" t="s">
        <v>29</v>
      </c>
      <c r="E612" s="2" t="s">
        <v>33</v>
      </c>
      <c r="F612" s="2">
        <v>113368</v>
      </c>
      <c r="G612" s="2">
        <v>5260</v>
      </c>
      <c r="H612" s="2">
        <v>6890.6</v>
      </c>
      <c r="I612" s="2">
        <v>168</v>
      </c>
      <c r="J612" s="2">
        <v>8983.58</v>
      </c>
    </row>
    <row r="613" spans="1:10" x14ac:dyDescent="0.45">
      <c r="A613" s="2" t="s">
        <v>330</v>
      </c>
      <c r="B613" s="2" t="s">
        <v>15</v>
      </c>
      <c r="C613" s="2" t="s">
        <v>38</v>
      </c>
      <c r="D613" s="2" t="s">
        <v>41</v>
      </c>
      <c r="E613" s="2" t="s">
        <v>30</v>
      </c>
      <c r="F613" s="2">
        <v>89263</v>
      </c>
      <c r="G613" s="2">
        <v>3695</v>
      </c>
      <c r="H613" s="2">
        <v>6540.15</v>
      </c>
      <c r="I613" s="2">
        <v>155</v>
      </c>
      <c r="J613" s="2">
        <v>19291.23</v>
      </c>
    </row>
    <row r="614" spans="1:10" x14ac:dyDescent="0.45">
      <c r="A614" s="2" t="s">
        <v>207</v>
      </c>
      <c r="B614" s="2" t="s">
        <v>35</v>
      </c>
      <c r="C614" s="2" t="s">
        <v>38</v>
      </c>
      <c r="D614" s="2" t="s">
        <v>41</v>
      </c>
      <c r="E614" s="2" t="s">
        <v>26</v>
      </c>
      <c r="F614" s="2">
        <v>168947</v>
      </c>
      <c r="G614" s="2">
        <v>4510</v>
      </c>
      <c r="H614" s="2">
        <v>8749.4</v>
      </c>
      <c r="I614" s="2">
        <v>179</v>
      </c>
      <c r="J614" s="2">
        <v>48341.14</v>
      </c>
    </row>
    <row r="615" spans="1:10" x14ac:dyDescent="0.45">
      <c r="A615" s="2" t="s">
        <v>88</v>
      </c>
      <c r="B615" s="2" t="s">
        <v>20</v>
      </c>
      <c r="C615" s="2" t="s">
        <v>16</v>
      </c>
      <c r="D615" s="2" t="s">
        <v>21</v>
      </c>
      <c r="E615" s="2" t="s">
        <v>18</v>
      </c>
      <c r="F615" s="2">
        <v>139511</v>
      </c>
      <c r="G615" s="2">
        <v>8384</v>
      </c>
      <c r="H615" s="2">
        <v>11318.4</v>
      </c>
      <c r="I615" s="2">
        <v>209</v>
      </c>
      <c r="J615" s="2">
        <v>26357.3</v>
      </c>
    </row>
    <row r="616" spans="1:10" x14ac:dyDescent="0.45">
      <c r="A616" s="2" t="s">
        <v>327</v>
      </c>
      <c r="B616" s="2" t="s">
        <v>15</v>
      </c>
      <c r="C616" s="2" t="s">
        <v>16</v>
      </c>
      <c r="D616" s="2" t="s">
        <v>17</v>
      </c>
      <c r="E616" s="2" t="s">
        <v>22</v>
      </c>
      <c r="F616" s="2">
        <v>25927</v>
      </c>
      <c r="G616" s="2">
        <v>1501</v>
      </c>
      <c r="H616" s="2">
        <v>1516.01</v>
      </c>
      <c r="I616" s="2">
        <v>44</v>
      </c>
      <c r="J616" s="2">
        <v>4091.03</v>
      </c>
    </row>
    <row r="617" spans="1:10" x14ac:dyDescent="0.45">
      <c r="A617" s="2" t="s">
        <v>332</v>
      </c>
      <c r="B617" s="2" t="s">
        <v>35</v>
      </c>
      <c r="C617" s="2" t="s">
        <v>28</v>
      </c>
      <c r="D617" s="2" t="s">
        <v>41</v>
      </c>
      <c r="E617" s="2" t="s">
        <v>30</v>
      </c>
      <c r="F617" s="2">
        <v>165322</v>
      </c>
      <c r="G617" s="2">
        <v>4529</v>
      </c>
      <c r="H617" s="2">
        <v>7835.17</v>
      </c>
      <c r="I617" s="2">
        <v>167</v>
      </c>
      <c r="J617" s="2">
        <v>38358.92</v>
      </c>
    </row>
    <row r="618" spans="1:10" x14ac:dyDescent="0.45">
      <c r="A618" s="2" t="s">
        <v>127</v>
      </c>
      <c r="B618" s="2" t="s">
        <v>35</v>
      </c>
      <c r="C618" s="2" t="s">
        <v>24</v>
      </c>
      <c r="D618" s="2" t="s">
        <v>25</v>
      </c>
      <c r="E618" s="2" t="s">
        <v>51</v>
      </c>
      <c r="F618" s="2">
        <v>149542</v>
      </c>
      <c r="G618" s="2">
        <v>2497</v>
      </c>
      <c r="H618" s="2">
        <v>2596.88</v>
      </c>
      <c r="I618" s="2">
        <v>70</v>
      </c>
      <c r="J618" s="2">
        <v>12612.87</v>
      </c>
    </row>
    <row r="619" spans="1:10" x14ac:dyDescent="0.45">
      <c r="A619" s="2" t="s">
        <v>333</v>
      </c>
      <c r="B619" s="2" t="s">
        <v>35</v>
      </c>
      <c r="C619" s="2" t="s">
        <v>24</v>
      </c>
      <c r="D619" s="2" t="s">
        <v>25</v>
      </c>
      <c r="E619" s="2" t="s">
        <v>22</v>
      </c>
      <c r="F619" s="2">
        <v>20021</v>
      </c>
      <c r="G619" s="2">
        <v>462</v>
      </c>
      <c r="H619" s="2">
        <v>725.34</v>
      </c>
      <c r="I619" s="2">
        <v>20</v>
      </c>
      <c r="J619" s="2">
        <v>4554.08</v>
      </c>
    </row>
    <row r="620" spans="1:10" x14ac:dyDescent="0.45">
      <c r="A620" s="2" t="s">
        <v>247</v>
      </c>
      <c r="B620" s="2" t="s">
        <v>15</v>
      </c>
      <c r="C620" s="2" t="s">
        <v>28</v>
      </c>
      <c r="D620" s="2" t="s">
        <v>29</v>
      </c>
      <c r="E620" s="2" t="s">
        <v>18</v>
      </c>
      <c r="F620" s="2">
        <v>31783</v>
      </c>
      <c r="G620" s="2">
        <v>781</v>
      </c>
      <c r="H620" s="2">
        <v>905.96</v>
      </c>
      <c r="I620" s="2">
        <v>49</v>
      </c>
      <c r="J620" s="2">
        <v>4886.84</v>
      </c>
    </row>
    <row r="621" spans="1:10" x14ac:dyDescent="0.45">
      <c r="A621" s="2" t="s">
        <v>243</v>
      </c>
      <c r="B621" s="2" t="s">
        <v>35</v>
      </c>
      <c r="C621" s="2" t="s">
        <v>38</v>
      </c>
      <c r="D621" s="2" t="s">
        <v>21</v>
      </c>
      <c r="E621" s="2" t="s">
        <v>51</v>
      </c>
      <c r="F621" s="2">
        <v>171020</v>
      </c>
      <c r="G621" s="2">
        <v>2616</v>
      </c>
      <c r="H621" s="2">
        <v>1151.04</v>
      </c>
      <c r="I621" s="2">
        <v>41</v>
      </c>
      <c r="J621" s="2">
        <v>9636.8799999999992</v>
      </c>
    </row>
    <row r="622" spans="1:10" x14ac:dyDescent="0.45">
      <c r="A622" s="2" t="s">
        <v>334</v>
      </c>
      <c r="B622" s="2" t="s">
        <v>15</v>
      </c>
      <c r="C622" s="2" t="s">
        <v>28</v>
      </c>
      <c r="D622" s="2" t="s">
        <v>17</v>
      </c>
      <c r="E622" s="2" t="s">
        <v>54</v>
      </c>
      <c r="F622" s="2">
        <v>31325</v>
      </c>
      <c r="G622" s="2">
        <v>858</v>
      </c>
      <c r="H622" s="2">
        <v>1818.96</v>
      </c>
      <c r="I622" s="2">
        <v>43</v>
      </c>
      <c r="J622" s="2">
        <v>2004.67</v>
      </c>
    </row>
    <row r="623" spans="1:10" x14ac:dyDescent="0.45">
      <c r="A623" s="2" t="s">
        <v>50</v>
      </c>
      <c r="B623" s="2" t="s">
        <v>35</v>
      </c>
      <c r="C623" s="2" t="s">
        <v>38</v>
      </c>
      <c r="D623" s="2" t="s">
        <v>29</v>
      </c>
      <c r="E623" s="2" t="s">
        <v>54</v>
      </c>
      <c r="F623" s="2">
        <v>49134</v>
      </c>
      <c r="G623" s="2">
        <v>1026</v>
      </c>
      <c r="H623" s="2">
        <v>820.8</v>
      </c>
      <c r="I623" s="2">
        <v>16</v>
      </c>
      <c r="J623" s="2">
        <v>1025.05</v>
      </c>
    </row>
    <row r="624" spans="1:10" x14ac:dyDescent="0.45">
      <c r="A624" s="2" t="s">
        <v>335</v>
      </c>
      <c r="B624" s="2" t="s">
        <v>15</v>
      </c>
      <c r="C624" s="2" t="s">
        <v>38</v>
      </c>
      <c r="D624" s="2" t="s">
        <v>29</v>
      </c>
      <c r="E624" s="2" t="s">
        <v>51</v>
      </c>
      <c r="F624" s="2">
        <v>114599</v>
      </c>
      <c r="G624" s="2">
        <v>2028</v>
      </c>
      <c r="H624" s="2">
        <v>4928.04</v>
      </c>
      <c r="I624" s="2">
        <v>29</v>
      </c>
      <c r="J624" s="2">
        <v>5366.72</v>
      </c>
    </row>
    <row r="625" spans="1:10" x14ac:dyDescent="0.45">
      <c r="A625" s="2" t="s">
        <v>93</v>
      </c>
      <c r="B625" s="2" t="s">
        <v>35</v>
      </c>
      <c r="C625" s="2" t="s">
        <v>24</v>
      </c>
      <c r="D625" s="2" t="s">
        <v>17</v>
      </c>
      <c r="E625" s="2" t="s">
        <v>22</v>
      </c>
      <c r="F625" s="2">
        <v>198581</v>
      </c>
      <c r="G625" s="2">
        <v>1985</v>
      </c>
      <c r="H625" s="2">
        <v>3493.6</v>
      </c>
      <c r="I625" s="2">
        <v>38</v>
      </c>
      <c r="J625" s="2">
        <v>8029.71</v>
      </c>
    </row>
    <row r="626" spans="1:10" x14ac:dyDescent="0.45">
      <c r="A626" s="2" t="s">
        <v>293</v>
      </c>
      <c r="B626" s="2" t="s">
        <v>15</v>
      </c>
      <c r="C626" s="2" t="s">
        <v>24</v>
      </c>
      <c r="D626" s="2" t="s">
        <v>29</v>
      </c>
      <c r="E626" s="2" t="s">
        <v>33</v>
      </c>
      <c r="F626" s="2">
        <v>157890</v>
      </c>
      <c r="G626" s="2">
        <v>9204</v>
      </c>
      <c r="H626" s="2">
        <v>31017.48</v>
      </c>
      <c r="I626" s="2">
        <v>321</v>
      </c>
      <c r="J626" s="2">
        <v>10260.33</v>
      </c>
    </row>
    <row r="627" spans="1:10" x14ac:dyDescent="0.45">
      <c r="A627" s="2" t="s">
        <v>109</v>
      </c>
      <c r="B627" s="2" t="s">
        <v>15</v>
      </c>
      <c r="C627" s="2" t="s">
        <v>16</v>
      </c>
      <c r="D627" s="2" t="s">
        <v>21</v>
      </c>
      <c r="E627" s="2" t="s">
        <v>30</v>
      </c>
      <c r="F627" s="2">
        <v>161215</v>
      </c>
      <c r="G627" s="2">
        <v>5948</v>
      </c>
      <c r="H627" s="2">
        <v>13501.96</v>
      </c>
      <c r="I627" s="2">
        <v>439</v>
      </c>
      <c r="J627" s="2">
        <v>105685.25</v>
      </c>
    </row>
    <row r="628" spans="1:10" x14ac:dyDescent="0.45">
      <c r="A628" s="2" t="s">
        <v>336</v>
      </c>
      <c r="B628" s="2" t="s">
        <v>20</v>
      </c>
      <c r="C628" s="2" t="s">
        <v>24</v>
      </c>
      <c r="D628" s="2" t="s">
        <v>17</v>
      </c>
      <c r="E628" s="2" t="s">
        <v>51</v>
      </c>
      <c r="F628" s="2">
        <v>48147</v>
      </c>
      <c r="G628" s="2">
        <v>3562</v>
      </c>
      <c r="H628" s="2">
        <v>1496.04</v>
      </c>
      <c r="I628" s="2">
        <v>163</v>
      </c>
      <c r="J628" s="2">
        <v>41382.29</v>
      </c>
    </row>
    <row r="629" spans="1:10" x14ac:dyDescent="0.45">
      <c r="A629" s="2" t="s">
        <v>109</v>
      </c>
      <c r="B629" s="2" t="s">
        <v>35</v>
      </c>
      <c r="C629" s="2" t="s">
        <v>24</v>
      </c>
      <c r="D629" s="2" t="s">
        <v>21</v>
      </c>
      <c r="E629" s="2" t="s">
        <v>26</v>
      </c>
      <c r="F629" s="2">
        <v>90818</v>
      </c>
      <c r="G629" s="2">
        <v>3287</v>
      </c>
      <c r="H629" s="2">
        <v>2629.6</v>
      </c>
      <c r="I629" s="2">
        <v>123</v>
      </c>
      <c r="J629" s="2">
        <v>11242.68</v>
      </c>
    </row>
    <row r="630" spans="1:10" x14ac:dyDescent="0.45">
      <c r="A630" s="2" t="s">
        <v>225</v>
      </c>
      <c r="B630" s="2" t="s">
        <v>15</v>
      </c>
      <c r="C630" s="2" t="s">
        <v>24</v>
      </c>
      <c r="D630" s="2" t="s">
        <v>29</v>
      </c>
      <c r="E630" s="2" t="s">
        <v>51</v>
      </c>
      <c r="F630" s="2">
        <v>118415</v>
      </c>
      <c r="G630" s="2">
        <v>6500</v>
      </c>
      <c r="H630" s="2">
        <v>11310</v>
      </c>
      <c r="I630" s="2">
        <v>458</v>
      </c>
      <c r="J630" s="2">
        <v>110383.15</v>
      </c>
    </row>
    <row r="631" spans="1:10" x14ac:dyDescent="0.45">
      <c r="A631" s="2" t="s">
        <v>39</v>
      </c>
      <c r="B631" s="2" t="s">
        <v>20</v>
      </c>
      <c r="C631" s="2" t="s">
        <v>28</v>
      </c>
      <c r="D631" s="2" t="s">
        <v>29</v>
      </c>
      <c r="E631" s="2" t="s">
        <v>30</v>
      </c>
      <c r="F631" s="2">
        <v>113886</v>
      </c>
      <c r="G631" s="2">
        <v>4965</v>
      </c>
      <c r="H631" s="2">
        <v>6653.1</v>
      </c>
      <c r="I631" s="2">
        <v>141</v>
      </c>
      <c r="J631" s="2">
        <v>24007.439999999999</v>
      </c>
    </row>
    <row r="632" spans="1:10" x14ac:dyDescent="0.45">
      <c r="A632" s="2" t="s">
        <v>230</v>
      </c>
      <c r="B632" s="2" t="s">
        <v>35</v>
      </c>
      <c r="C632" s="2" t="s">
        <v>38</v>
      </c>
      <c r="D632" s="2" t="s">
        <v>25</v>
      </c>
      <c r="E632" s="2" t="s">
        <v>26</v>
      </c>
      <c r="F632" s="2">
        <v>113668</v>
      </c>
      <c r="G632" s="2">
        <v>2864</v>
      </c>
      <c r="H632" s="2">
        <v>4496.4799999999996</v>
      </c>
      <c r="I632" s="2">
        <v>81</v>
      </c>
      <c r="J632" s="2">
        <v>6109.21</v>
      </c>
    </row>
    <row r="633" spans="1:10" x14ac:dyDescent="0.45">
      <c r="A633" s="2" t="s">
        <v>203</v>
      </c>
      <c r="B633" s="2" t="s">
        <v>35</v>
      </c>
      <c r="C633" s="2" t="s">
        <v>28</v>
      </c>
      <c r="D633" s="2" t="s">
        <v>25</v>
      </c>
      <c r="E633" s="2" t="s">
        <v>54</v>
      </c>
      <c r="F633" s="2">
        <v>76880</v>
      </c>
      <c r="G633" s="2">
        <v>1798</v>
      </c>
      <c r="H633" s="2">
        <v>2121.64</v>
      </c>
      <c r="I633" s="2">
        <v>91</v>
      </c>
      <c r="J633" s="2">
        <v>8926.11</v>
      </c>
    </row>
    <row r="634" spans="1:10" x14ac:dyDescent="0.45">
      <c r="A634" s="2" t="s">
        <v>97</v>
      </c>
      <c r="B634" s="2" t="s">
        <v>15</v>
      </c>
      <c r="C634" s="2" t="s">
        <v>16</v>
      </c>
      <c r="D634" s="2" t="s">
        <v>21</v>
      </c>
      <c r="E634" s="2" t="s">
        <v>54</v>
      </c>
      <c r="F634" s="2">
        <v>138438</v>
      </c>
      <c r="G634" s="2">
        <v>4734</v>
      </c>
      <c r="H634" s="2">
        <v>16758.36</v>
      </c>
      <c r="I634" s="2">
        <v>191</v>
      </c>
      <c r="J634" s="2">
        <v>38220.879999999997</v>
      </c>
    </row>
    <row r="635" spans="1:10" x14ac:dyDescent="0.45">
      <c r="A635" s="2" t="s">
        <v>284</v>
      </c>
      <c r="B635" s="2" t="s">
        <v>15</v>
      </c>
      <c r="C635" s="2" t="s">
        <v>16</v>
      </c>
      <c r="D635" s="2" t="s">
        <v>41</v>
      </c>
      <c r="E635" s="2" t="s">
        <v>30</v>
      </c>
      <c r="F635" s="2">
        <v>34764</v>
      </c>
      <c r="G635" s="2">
        <v>1251</v>
      </c>
      <c r="H635" s="2">
        <v>1038.33</v>
      </c>
      <c r="I635" s="2">
        <v>83</v>
      </c>
      <c r="J635" s="2">
        <v>3361.16</v>
      </c>
    </row>
    <row r="636" spans="1:10" x14ac:dyDescent="0.45">
      <c r="A636" s="2" t="s">
        <v>137</v>
      </c>
      <c r="B636" s="2" t="s">
        <v>35</v>
      </c>
      <c r="C636" s="2" t="s">
        <v>24</v>
      </c>
      <c r="D636" s="2" t="s">
        <v>17</v>
      </c>
      <c r="E636" s="2" t="s">
        <v>33</v>
      </c>
      <c r="F636" s="2">
        <v>61387</v>
      </c>
      <c r="G636" s="2">
        <v>1608</v>
      </c>
      <c r="H636" s="2">
        <v>3360.72</v>
      </c>
      <c r="I636" s="2">
        <v>96</v>
      </c>
      <c r="J636" s="2">
        <v>12312.27</v>
      </c>
    </row>
    <row r="637" spans="1:10" x14ac:dyDescent="0.45">
      <c r="A637" s="2" t="s">
        <v>48</v>
      </c>
      <c r="B637" s="2" t="s">
        <v>20</v>
      </c>
      <c r="C637" s="2" t="s">
        <v>28</v>
      </c>
      <c r="D637" s="2" t="s">
        <v>29</v>
      </c>
      <c r="E637" s="2" t="s">
        <v>18</v>
      </c>
      <c r="F637" s="2">
        <v>139607</v>
      </c>
      <c r="G637" s="2">
        <v>10289</v>
      </c>
      <c r="H637" s="2">
        <v>9362.99</v>
      </c>
      <c r="I637" s="2">
        <v>580</v>
      </c>
      <c r="J637" s="2">
        <v>94107.07</v>
      </c>
    </row>
    <row r="638" spans="1:10" x14ac:dyDescent="0.45">
      <c r="A638" s="2" t="s">
        <v>337</v>
      </c>
      <c r="B638" s="2" t="s">
        <v>35</v>
      </c>
      <c r="C638" s="2" t="s">
        <v>28</v>
      </c>
      <c r="D638" s="2" t="s">
        <v>21</v>
      </c>
      <c r="E638" s="2" t="s">
        <v>22</v>
      </c>
      <c r="F638" s="2">
        <v>48271</v>
      </c>
      <c r="G638" s="2">
        <v>1182</v>
      </c>
      <c r="H638" s="2">
        <v>2293.08</v>
      </c>
      <c r="I638" s="2">
        <v>30</v>
      </c>
      <c r="J638" s="2">
        <v>2529.5</v>
      </c>
    </row>
    <row r="639" spans="1:10" x14ac:dyDescent="0.45">
      <c r="A639" s="2" t="s">
        <v>286</v>
      </c>
      <c r="B639" s="2" t="s">
        <v>20</v>
      </c>
      <c r="C639" s="2" t="s">
        <v>16</v>
      </c>
      <c r="D639" s="2" t="s">
        <v>21</v>
      </c>
      <c r="E639" s="2" t="s">
        <v>54</v>
      </c>
      <c r="F639" s="2">
        <v>181833</v>
      </c>
      <c r="G639" s="2">
        <v>10018</v>
      </c>
      <c r="H639" s="2">
        <v>4808.6400000000003</v>
      </c>
      <c r="I639" s="2">
        <v>686</v>
      </c>
      <c r="J639" s="2">
        <v>153650.81</v>
      </c>
    </row>
    <row r="640" spans="1:10" x14ac:dyDescent="0.45">
      <c r="A640" s="2" t="s">
        <v>125</v>
      </c>
      <c r="B640" s="2" t="s">
        <v>35</v>
      </c>
      <c r="C640" s="2" t="s">
        <v>24</v>
      </c>
      <c r="D640" s="2" t="s">
        <v>41</v>
      </c>
      <c r="E640" s="2" t="s">
        <v>26</v>
      </c>
      <c r="F640" s="2">
        <v>83678</v>
      </c>
      <c r="G640" s="2">
        <v>2761</v>
      </c>
      <c r="H640" s="2">
        <v>4583.26</v>
      </c>
      <c r="I640" s="2">
        <v>35</v>
      </c>
      <c r="J640" s="2">
        <v>4630.4799999999996</v>
      </c>
    </row>
    <row r="641" spans="1:10" x14ac:dyDescent="0.45">
      <c r="A641" s="2" t="s">
        <v>311</v>
      </c>
      <c r="B641" s="2" t="s">
        <v>15</v>
      </c>
      <c r="C641" s="2" t="s">
        <v>16</v>
      </c>
      <c r="D641" s="2" t="s">
        <v>29</v>
      </c>
      <c r="E641" s="2" t="s">
        <v>54</v>
      </c>
      <c r="F641" s="2">
        <v>32898</v>
      </c>
      <c r="G641" s="2">
        <v>1743</v>
      </c>
      <c r="H641" s="2">
        <v>2039.31</v>
      </c>
      <c r="I641" s="2">
        <v>130</v>
      </c>
      <c r="J641" s="2">
        <v>31968.71</v>
      </c>
    </row>
    <row r="642" spans="1:10" x14ac:dyDescent="0.45">
      <c r="A642" s="2" t="s">
        <v>321</v>
      </c>
      <c r="B642" s="2" t="s">
        <v>35</v>
      </c>
      <c r="C642" s="2" t="s">
        <v>16</v>
      </c>
      <c r="D642" s="2" t="s">
        <v>25</v>
      </c>
      <c r="E642" s="2" t="s">
        <v>30</v>
      </c>
      <c r="F642" s="2">
        <v>36153</v>
      </c>
      <c r="G642" s="2">
        <v>882</v>
      </c>
      <c r="H642" s="2">
        <v>1481.76</v>
      </c>
      <c r="I642" s="2">
        <v>62</v>
      </c>
      <c r="J642" s="2">
        <v>16744.05</v>
      </c>
    </row>
    <row r="643" spans="1:10" x14ac:dyDescent="0.45">
      <c r="A643" s="2" t="s">
        <v>338</v>
      </c>
      <c r="B643" s="2" t="s">
        <v>35</v>
      </c>
      <c r="C643" s="2" t="s">
        <v>16</v>
      </c>
      <c r="D643" s="2" t="s">
        <v>25</v>
      </c>
      <c r="E643" s="2" t="s">
        <v>26</v>
      </c>
      <c r="F643" s="2">
        <v>140372</v>
      </c>
      <c r="G643" s="2">
        <v>4548</v>
      </c>
      <c r="H643" s="2">
        <v>6549.12</v>
      </c>
      <c r="I643" s="2">
        <v>125</v>
      </c>
      <c r="J643" s="2">
        <v>23552.19</v>
      </c>
    </row>
    <row r="644" spans="1:10" x14ac:dyDescent="0.45">
      <c r="A644" s="2" t="s">
        <v>265</v>
      </c>
      <c r="B644" s="2" t="s">
        <v>20</v>
      </c>
      <c r="C644" s="2" t="s">
        <v>24</v>
      </c>
      <c r="D644" s="2" t="s">
        <v>29</v>
      </c>
      <c r="E644" s="2" t="s">
        <v>18</v>
      </c>
      <c r="F644" s="2">
        <v>196889</v>
      </c>
      <c r="G644" s="2">
        <v>9568</v>
      </c>
      <c r="H644" s="2">
        <v>8898.24</v>
      </c>
      <c r="I644" s="2">
        <v>137</v>
      </c>
      <c r="J644" s="2">
        <v>34964.660000000003</v>
      </c>
    </row>
    <row r="645" spans="1:10" x14ac:dyDescent="0.45">
      <c r="A645" s="2" t="s">
        <v>339</v>
      </c>
      <c r="B645" s="2" t="s">
        <v>20</v>
      </c>
      <c r="C645" s="2" t="s">
        <v>38</v>
      </c>
      <c r="D645" s="2" t="s">
        <v>21</v>
      </c>
      <c r="E645" s="2" t="s">
        <v>22</v>
      </c>
      <c r="F645" s="2">
        <v>77467</v>
      </c>
      <c r="G645" s="2">
        <v>3300</v>
      </c>
      <c r="H645" s="2">
        <v>3333</v>
      </c>
      <c r="I645" s="2">
        <v>180</v>
      </c>
      <c r="J645" s="2">
        <v>42781.66</v>
      </c>
    </row>
    <row r="646" spans="1:10" x14ac:dyDescent="0.45">
      <c r="A646" s="2" t="s">
        <v>339</v>
      </c>
      <c r="B646" s="2" t="s">
        <v>15</v>
      </c>
      <c r="C646" s="2" t="s">
        <v>28</v>
      </c>
      <c r="D646" s="2" t="s">
        <v>17</v>
      </c>
      <c r="E646" s="2" t="s">
        <v>18</v>
      </c>
      <c r="F646" s="2">
        <v>29016</v>
      </c>
      <c r="G646" s="2">
        <v>1088</v>
      </c>
      <c r="H646" s="2">
        <v>2241.2800000000002</v>
      </c>
      <c r="I646" s="2">
        <v>56</v>
      </c>
      <c r="J646" s="2">
        <v>9936.27</v>
      </c>
    </row>
    <row r="647" spans="1:10" x14ac:dyDescent="0.45">
      <c r="A647" s="2" t="s">
        <v>340</v>
      </c>
      <c r="B647" s="2" t="s">
        <v>35</v>
      </c>
      <c r="C647" s="2" t="s">
        <v>28</v>
      </c>
      <c r="D647" s="2" t="s">
        <v>25</v>
      </c>
      <c r="E647" s="2" t="s">
        <v>33</v>
      </c>
      <c r="F647" s="2">
        <v>117200</v>
      </c>
      <c r="G647" s="2">
        <v>1699</v>
      </c>
      <c r="H647" s="2">
        <v>3296.06</v>
      </c>
      <c r="I647" s="2">
        <v>113</v>
      </c>
      <c r="J647" s="2">
        <v>30970.48</v>
      </c>
    </row>
    <row r="648" spans="1:10" x14ac:dyDescent="0.45">
      <c r="A648" s="2" t="s">
        <v>164</v>
      </c>
      <c r="B648" s="2" t="s">
        <v>15</v>
      </c>
      <c r="C648" s="2" t="s">
        <v>28</v>
      </c>
      <c r="D648" s="2" t="s">
        <v>29</v>
      </c>
      <c r="E648" s="2" t="s">
        <v>30</v>
      </c>
      <c r="F648" s="2">
        <v>134157</v>
      </c>
      <c r="G648" s="2">
        <v>3407</v>
      </c>
      <c r="H648" s="2">
        <v>8210.8700000000008</v>
      </c>
      <c r="I648" s="2">
        <v>147</v>
      </c>
      <c r="J648" s="2">
        <v>41434.67</v>
      </c>
    </row>
    <row r="649" spans="1:10" x14ac:dyDescent="0.45">
      <c r="A649" s="2" t="s">
        <v>95</v>
      </c>
      <c r="B649" s="2" t="s">
        <v>15</v>
      </c>
      <c r="C649" s="2" t="s">
        <v>38</v>
      </c>
      <c r="D649" s="2" t="s">
        <v>17</v>
      </c>
      <c r="E649" s="2" t="s">
        <v>51</v>
      </c>
      <c r="F649" s="2">
        <v>161434</v>
      </c>
      <c r="G649" s="2">
        <v>6328</v>
      </c>
      <c r="H649" s="2">
        <v>4872.5600000000004</v>
      </c>
      <c r="I649" s="2">
        <v>263</v>
      </c>
      <c r="J649" s="2">
        <v>25426.86</v>
      </c>
    </row>
    <row r="650" spans="1:10" x14ac:dyDescent="0.45">
      <c r="A650" s="2" t="s">
        <v>105</v>
      </c>
      <c r="B650" s="2" t="s">
        <v>20</v>
      </c>
      <c r="C650" s="2" t="s">
        <v>28</v>
      </c>
      <c r="D650" s="2" t="s">
        <v>29</v>
      </c>
      <c r="E650" s="2" t="s">
        <v>33</v>
      </c>
      <c r="F650" s="2">
        <v>62888</v>
      </c>
      <c r="G650" s="2">
        <v>3307</v>
      </c>
      <c r="H650" s="2">
        <v>2017.27</v>
      </c>
      <c r="I650" s="2">
        <v>55</v>
      </c>
      <c r="J650" s="2">
        <v>12898.32</v>
      </c>
    </row>
    <row r="651" spans="1:10" x14ac:dyDescent="0.45">
      <c r="A651" s="2" t="s">
        <v>92</v>
      </c>
      <c r="B651" s="2" t="s">
        <v>15</v>
      </c>
      <c r="C651" s="2" t="s">
        <v>24</v>
      </c>
      <c r="D651" s="2" t="s">
        <v>29</v>
      </c>
      <c r="E651" s="2" t="s">
        <v>33</v>
      </c>
      <c r="F651" s="2">
        <v>108187</v>
      </c>
      <c r="G651" s="2">
        <v>2423</v>
      </c>
      <c r="H651" s="2">
        <v>6469.41</v>
      </c>
      <c r="I651" s="2">
        <v>179</v>
      </c>
      <c r="J651" s="2">
        <v>29012.87</v>
      </c>
    </row>
    <row r="652" spans="1:10" x14ac:dyDescent="0.45">
      <c r="A652" s="2" t="s">
        <v>215</v>
      </c>
      <c r="B652" s="2" t="s">
        <v>35</v>
      </c>
      <c r="C652" s="2" t="s">
        <v>16</v>
      </c>
      <c r="D652" s="2" t="s">
        <v>41</v>
      </c>
      <c r="E652" s="2" t="s">
        <v>33</v>
      </c>
      <c r="F652" s="2">
        <v>199363</v>
      </c>
      <c r="G652" s="2">
        <v>3847</v>
      </c>
      <c r="H652" s="2">
        <v>3462.3</v>
      </c>
      <c r="I652" s="2">
        <v>73</v>
      </c>
      <c r="J652" s="2">
        <v>11133.49</v>
      </c>
    </row>
    <row r="653" spans="1:10" x14ac:dyDescent="0.45">
      <c r="A653" s="2" t="s">
        <v>90</v>
      </c>
      <c r="B653" s="2" t="s">
        <v>35</v>
      </c>
      <c r="C653" s="2" t="s">
        <v>24</v>
      </c>
      <c r="D653" s="2" t="s">
        <v>29</v>
      </c>
      <c r="E653" s="2" t="s">
        <v>54</v>
      </c>
      <c r="F653" s="2">
        <v>59160</v>
      </c>
      <c r="G653" s="2">
        <v>958</v>
      </c>
      <c r="H653" s="2">
        <v>958</v>
      </c>
      <c r="I653" s="2">
        <v>35</v>
      </c>
      <c r="J653" s="2">
        <v>7848.99</v>
      </c>
    </row>
    <row r="654" spans="1:10" x14ac:dyDescent="0.45">
      <c r="A654" s="2" t="s">
        <v>286</v>
      </c>
      <c r="B654" s="2" t="s">
        <v>15</v>
      </c>
      <c r="C654" s="2" t="s">
        <v>28</v>
      </c>
      <c r="D654" s="2" t="s">
        <v>41</v>
      </c>
      <c r="E654" s="2" t="s">
        <v>54</v>
      </c>
      <c r="F654" s="2">
        <v>78551</v>
      </c>
      <c r="G654" s="2">
        <v>2411</v>
      </c>
      <c r="H654" s="2">
        <v>8149.18</v>
      </c>
      <c r="I654" s="2">
        <v>92</v>
      </c>
      <c r="J654" s="2">
        <v>8262.09</v>
      </c>
    </row>
    <row r="655" spans="1:10" x14ac:dyDescent="0.45">
      <c r="A655" s="2" t="s">
        <v>202</v>
      </c>
      <c r="B655" s="2" t="s">
        <v>35</v>
      </c>
      <c r="C655" s="2" t="s">
        <v>38</v>
      </c>
      <c r="D655" s="2" t="s">
        <v>29</v>
      </c>
      <c r="E655" s="2" t="s">
        <v>26</v>
      </c>
      <c r="F655" s="2">
        <v>186711</v>
      </c>
      <c r="G655" s="2">
        <v>7748</v>
      </c>
      <c r="H655" s="2">
        <v>4493.84</v>
      </c>
      <c r="I655" s="2">
        <v>536</v>
      </c>
      <c r="J655" s="2">
        <v>89187.58</v>
      </c>
    </row>
    <row r="656" spans="1:10" x14ac:dyDescent="0.45">
      <c r="A656" s="2" t="s">
        <v>182</v>
      </c>
      <c r="B656" s="2" t="s">
        <v>35</v>
      </c>
      <c r="C656" s="2" t="s">
        <v>28</v>
      </c>
      <c r="D656" s="2" t="s">
        <v>29</v>
      </c>
      <c r="E656" s="2" t="s">
        <v>22</v>
      </c>
      <c r="F656" s="2">
        <v>5528</v>
      </c>
      <c r="G656" s="2">
        <v>108</v>
      </c>
      <c r="H656" s="2">
        <v>218.16</v>
      </c>
      <c r="I656" s="2">
        <v>7</v>
      </c>
      <c r="J656" s="2">
        <v>2000.84</v>
      </c>
    </row>
    <row r="657" spans="1:10" x14ac:dyDescent="0.45">
      <c r="A657" s="2" t="s">
        <v>129</v>
      </c>
      <c r="B657" s="2" t="s">
        <v>15</v>
      </c>
      <c r="C657" s="2" t="s">
        <v>28</v>
      </c>
      <c r="D657" s="2" t="s">
        <v>29</v>
      </c>
      <c r="E657" s="2" t="s">
        <v>33</v>
      </c>
      <c r="F657" s="2">
        <v>144535</v>
      </c>
      <c r="G657" s="2">
        <v>7588</v>
      </c>
      <c r="H657" s="2">
        <v>23522.799999999999</v>
      </c>
      <c r="I657" s="2">
        <v>445</v>
      </c>
      <c r="J657" s="2">
        <v>105358.98</v>
      </c>
    </row>
    <row r="658" spans="1:10" x14ac:dyDescent="0.45">
      <c r="A658" s="2" t="s">
        <v>266</v>
      </c>
      <c r="B658" s="2" t="s">
        <v>35</v>
      </c>
      <c r="C658" s="2" t="s">
        <v>16</v>
      </c>
      <c r="D658" s="2" t="s">
        <v>41</v>
      </c>
      <c r="E658" s="2" t="s">
        <v>18</v>
      </c>
      <c r="F658" s="2">
        <v>8188</v>
      </c>
      <c r="G658" s="2">
        <v>272</v>
      </c>
      <c r="H658" s="2">
        <v>315.52</v>
      </c>
      <c r="I658" s="2">
        <v>14</v>
      </c>
      <c r="J658" s="2">
        <v>3745.84</v>
      </c>
    </row>
    <row r="659" spans="1:10" x14ac:dyDescent="0.45">
      <c r="A659" s="2" t="s">
        <v>294</v>
      </c>
      <c r="B659" s="2" t="s">
        <v>15</v>
      </c>
      <c r="C659" s="2" t="s">
        <v>38</v>
      </c>
      <c r="D659" s="2" t="s">
        <v>17</v>
      </c>
      <c r="E659" s="2" t="s">
        <v>33</v>
      </c>
      <c r="F659" s="2">
        <v>71151</v>
      </c>
      <c r="G659" s="2">
        <v>4368</v>
      </c>
      <c r="H659" s="2">
        <v>14108.64</v>
      </c>
      <c r="I659" s="2">
        <v>202</v>
      </c>
      <c r="J659" s="2">
        <v>51341.85</v>
      </c>
    </row>
    <row r="660" spans="1:10" x14ac:dyDescent="0.45">
      <c r="A660" s="2" t="s">
        <v>69</v>
      </c>
      <c r="B660" s="2" t="s">
        <v>35</v>
      </c>
      <c r="C660" s="2" t="s">
        <v>28</v>
      </c>
      <c r="D660" s="2" t="s">
        <v>21</v>
      </c>
      <c r="E660" s="2" t="s">
        <v>30</v>
      </c>
      <c r="F660" s="2">
        <v>171797</v>
      </c>
      <c r="G660" s="2">
        <v>5153</v>
      </c>
      <c r="H660" s="2">
        <v>2782.62</v>
      </c>
      <c r="I660" s="2">
        <v>255</v>
      </c>
      <c r="J660" s="2">
        <v>52673.17</v>
      </c>
    </row>
    <row r="661" spans="1:10" x14ac:dyDescent="0.45">
      <c r="A661" s="2" t="s">
        <v>139</v>
      </c>
      <c r="B661" s="2" t="s">
        <v>20</v>
      </c>
      <c r="C661" s="2" t="s">
        <v>16</v>
      </c>
      <c r="D661" s="2" t="s">
        <v>21</v>
      </c>
      <c r="E661" s="2" t="s">
        <v>54</v>
      </c>
      <c r="F661" s="2">
        <v>173050</v>
      </c>
      <c r="G661" s="2">
        <v>8565</v>
      </c>
      <c r="H661" s="2">
        <v>5909.85</v>
      </c>
      <c r="I661" s="2">
        <v>414</v>
      </c>
      <c r="J661" s="2">
        <v>118511.79</v>
      </c>
    </row>
    <row r="662" spans="1:10" x14ac:dyDescent="0.45">
      <c r="A662" s="2" t="s">
        <v>189</v>
      </c>
      <c r="B662" s="2" t="s">
        <v>20</v>
      </c>
      <c r="C662" s="2" t="s">
        <v>24</v>
      </c>
      <c r="D662" s="2" t="s">
        <v>41</v>
      </c>
      <c r="E662" s="2" t="s">
        <v>33</v>
      </c>
      <c r="F662" s="2">
        <v>178269</v>
      </c>
      <c r="G662" s="2">
        <v>8646</v>
      </c>
      <c r="H662" s="2">
        <v>5446.98</v>
      </c>
      <c r="I662" s="2">
        <v>93</v>
      </c>
      <c r="J662" s="2">
        <v>10627.54</v>
      </c>
    </row>
    <row r="663" spans="1:10" x14ac:dyDescent="0.45">
      <c r="A663" s="2" t="s">
        <v>205</v>
      </c>
      <c r="B663" s="2" t="s">
        <v>15</v>
      </c>
      <c r="C663" s="2" t="s">
        <v>38</v>
      </c>
      <c r="D663" s="2" t="s">
        <v>41</v>
      </c>
      <c r="E663" s="2" t="s">
        <v>18</v>
      </c>
      <c r="F663" s="2">
        <v>164028</v>
      </c>
      <c r="G663" s="2">
        <v>5905</v>
      </c>
      <c r="H663" s="2">
        <v>5905</v>
      </c>
      <c r="I663" s="2">
        <v>377</v>
      </c>
      <c r="J663" s="2">
        <v>25718.59</v>
      </c>
    </row>
    <row r="664" spans="1:10" x14ac:dyDescent="0.45">
      <c r="A664" s="2" t="s">
        <v>258</v>
      </c>
      <c r="B664" s="2" t="s">
        <v>20</v>
      </c>
      <c r="C664" s="2" t="s">
        <v>24</v>
      </c>
      <c r="D664" s="2" t="s">
        <v>25</v>
      </c>
      <c r="E664" s="2" t="s">
        <v>54</v>
      </c>
      <c r="F664" s="2">
        <v>184504</v>
      </c>
      <c r="G664" s="2">
        <v>15479</v>
      </c>
      <c r="H664" s="2">
        <v>12383.2</v>
      </c>
      <c r="I664" s="2">
        <v>538</v>
      </c>
      <c r="J664" s="2">
        <v>112251.74</v>
      </c>
    </row>
    <row r="665" spans="1:10" x14ac:dyDescent="0.45">
      <c r="A665" s="2" t="s">
        <v>325</v>
      </c>
      <c r="B665" s="2" t="s">
        <v>20</v>
      </c>
      <c r="C665" s="2" t="s">
        <v>28</v>
      </c>
      <c r="D665" s="2" t="s">
        <v>25</v>
      </c>
      <c r="E665" s="2" t="s">
        <v>51</v>
      </c>
      <c r="F665" s="2">
        <v>119515</v>
      </c>
      <c r="G665" s="2">
        <v>6824</v>
      </c>
      <c r="H665" s="2">
        <v>5868.64</v>
      </c>
      <c r="I665" s="2">
        <v>89</v>
      </c>
      <c r="J665" s="2">
        <v>25992.880000000001</v>
      </c>
    </row>
    <row r="666" spans="1:10" x14ac:dyDescent="0.45">
      <c r="A666" s="2" t="s">
        <v>296</v>
      </c>
      <c r="B666" s="2" t="s">
        <v>35</v>
      </c>
      <c r="C666" s="2" t="s">
        <v>16</v>
      </c>
      <c r="D666" s="2" t="s">
        <v>21</v>
      </c>
      <c r="E666" s="2" t="s">
        <v>26</v>
      </c>
      <c r="F666" s="2">
        <v>108591</v>
      </c>
      <c r="G666" s="2">
        <v>2084</v>
      </c>
      <c r="H666" s="2">
        <v>4501.4399999999996</v>
      </c>
      <c r="I666" s="2">
        <v>31</v>
      </c>
      <c r="J666" s="2">
        <v>6469.19</v>
      </c>
    </row>
    <row r="667" spans="1:10" x14ac:dyDescent="0.45">
      <c r="A667" s="2" t="s">
        <v>183</v>
      </c>
      <c r="B667" s="2" t="s">
        <v>35</v>
      </c>
      <c r="C667" s="2" t="s">
        <v>28</v>
      </c>
      <c r="D667" s="2" t="s">
        <v>21</v>
      </c>
      <c r="E667" s="2" t="s">
        <v>22</v>
      </c>
      <c r="F667" s="2">
        <v>68472</v>
      </c>
      <c r="G667" s="2">
        <v>2601</v>
      </c>
      <c r="H667" s="2">
        <v>3589.38</v>
      </c>
      <c r="I667" s="2">
        <v>63</v>
      </c>
      <c r="J667" s="2">
        <v>17508.47</v>
      </c>
    </row>
    <row r="668" spans="1:10" x14ac:dyDescent="0.45">
      <c r="A668" s="2" t="s">
        <v>211</v>
      </c>
      <c r="B668" s="2" t="s">
        <v>20</v>
      </c>
      <c r="C668" s="2" t="s">
        <v>28</v>
      </c>
      <c r="D668" s="2" t="s">
        <v>17</v>
      </c>
      <c r="E668" s="2" t="s">
        <v>26</v>
      </c>
      <c r="F668" s="2">
        <v>170201</v>
      </c>
      <c r="G668" s="2">
        <v>7931</v>
      </c>
      <c r="H668" s="2">
        <v>8327.5499999999993</v>
      </c>
      <c r="I668" s="2">
        <v>182</v>
      </c>
      <c r="J668" s="2">
        <v>10360.549999999999</v>
      </c>
    </row>
    <row r="669" spans="1:10" x14ac:dyDescent="0.45">
      <c r="A669" s="2" t="s">
        <v>194</v>
      </c>
      <c r="B669" s="2" t="s">
        <v>15</v>
      </c>
      <c r="C669" s="2" t="s">
        <v>24</v>
      </c>
      <c r="D669" s="2" t="s">
        <v>21</v>
      </c>
      <c r="E669" s="2" t="s">
        <v>54</v>
      </c>
      <c r="F669" s="2">
        <v>92340</v>
      </c>
      <c r="G669" s="2">
        <v>2502</v>
      </c>
      <c r="H669" s="2">
        <v>4903.92</v>
      </c>
      <c r="I669" s="2">
        <v>153</v>
      </c>
      <c r="J669" s="2">
        <v>27593.24</v>
      </c>
    </row>
    <row r="670" spans="1:10" x14ac:dyDescent="0.45">
      <c r="A670" s="2" t="s">
        <v>121</v>
      </c>
      <c r="B670" s="2" t="s">
        <v>20</v>
      </c>
      <c r="C670" s="2" t="s">
        <v>16</v>
      </c>
      <c r="D670" s="2" t="s">
        <v>29</v>
      </c>
      <c r="E670" s="2" t="s">
        <v>26</v>
      </c>
      <c r="F670" s="2">
        <v>136940</v>
      </c>
      <c r="G670" s="2">
        <v>4683</v>
      </c>
      <c r="H670" s="2">
        <v>3231.27</v>
      </c>
      <c r="I670" s="2">
        <v>137</v>
      </c>
      <c r="J670" s="2">
        <v>12153.39</v>
      </c>
    </row>
    <row r="671" spans="1:10" x14ac:dyDescent="0.45">
      <c r="A671" s="2" t="s">
        <v>145</v>
      </c>
      <c r="B671" s="2" t="s">
        <v>15</v>
      </c>
      <c r="C671" s="2" t="s">
        <v>16</v>
      </c>
      <c r="D671" s="2" t="s">
        <v>21</v>
      </c>
      <c r="E671" s="2" t="s">
        <v>54</v>
      </c>
      <c r="F671" s="2">
        <v>106311</v>
      </c>
      <c r="G671" s="2">
        <v>5762</v>
      </c>
      <c r="H671" s="2">
        <v>5301.04</v>
      </c>
      <c r="I671" s="2">
        <v>434</v>
      </c>
      <c r="J671" s="2">
        <v>55571.88</v>
      </c>
    </row>
    <row r="672" spans="1:10" x14ac:dyDescent="0.45">
      <c r="A672" s="2" t="s">
        <v>341</v>
      </c>
      <c r="B672" s="2" t="s">
        <v>20</v>
      </c>
      <c r="C672" s="2" t="s">
        <v>28</v>
      </c>
      <c r="D672" s="2" t="s">
        <v>41</v>
      </c>
      <c r="E672" s="2" t="s">
        <v>33</v>
      </c>
      <c r="F672" s="2">
        <v>120016</v>
      </c>
      <c r="G672" s="2">
        <v>3336</v>
      </c>
      <c r="H672" s="2">
        <v>4436.88</v>
      </c>
      <c r="I672" s="2">
        <v>43</v>
      </c>
      <c r="J672" s="2">
        <v>5864.19</v>
      </c>
    </row>
    <row r="673" spans="1:10" x14ac:dyDescent="0.45">
      <c r="A673" s="2" t="s">
        <v>342</v>
      </c>
      <c r="B673" s="2" t="s">
        <v>35</v>
      </c>
      <c r="C673" s="2" t="s">
        <v>38</v>
      </c>
      <c r="D673" s="2" t="s">
        <v>29</v>
      </c>
      <c r="E673" s="2" t="s">
        <v>30</v>
      </c>
      <c r="F673" s="2">
        <v>193946</v>
      </c>
      <c r="G673" s="2">
        <v>7854</v>
      </c>
      <c r="H673" s="2">
        <v>14844.06</v>
      </c>
      <c r="I673" s="2">
        <v>461</v>
      </c>
      <c r="J673" s="2">
        <v>86871.54</v>
      </c>
    </row>
    <row r="674" spans="1:10" x14ac:dyDescent="0.45">
      <c r="A674" s="2" t="s">
        <v>261</v>
      </c>
      <c r="B674" s="2" t="s">
        <v>20</v>
      </c>
      <c r="C674" s="2" t="s">
        <v>28</v>
      </c>
      <c r="D674" s="2" t="s">
        <v>41</v>
      </c>
      <c r="E674" s="2" t="s">
        <v>54</v>
      </c>
      <c r="F674" s="2">
        <v>138780</v>
      </c>
      <c r="G674" s="2">
        <v>4135</v>
      </c>
      <c r="H674" s="2">
        <v>3514.75</v>
      </c>
      <c r="I674" s="2">
        <v>86</v>
      </c>
      <c r="J674" s="2">
        <v>7373.66</v>
      </c>
    </row>
    <row r="675" spans="1:10" x14ac:dyDescent="0.45">
      <c r="A675" s="2" t="s">
        <v>200</v>
      </c>
      <c r="B675" s="2" t="s">
        <v>35</v>
      </c>
      <c r="C675" s="2" t="s">
        <v>38</v>
      </c>
      <c r="D675" s="2" t="s">
        <v>29</v>
      </c>
      <c r="E675" s="2" t="s">
        <v>22</v>
      </c>
      <c r="F675" s="2">
        <v>51365</v>
      </c>
      <c r="G675" s="2">
        <v>873</v>
      </c>
      <c r="H675" s="2">
        <v>611.1</v>
      </c>
      <c r="I675" s="2">
        <v>19</v>
      </c>
      <c r="J675" s="2">
        <v>2655.69</v>
      </c>
    </row>
    <row r="676" spans="1:10" x14ac:dyDescent="0.45">
      <c r="A676" s="2" t="s">
        <v>69</v>
      </c>
      <c r="B676" s="2" t="s">
        <v>15</v>
      </c>
      <c r="C676" s="2" t="s">
        <v>28</v>
      </c>
      <c r="D676" s="2" t="s">
        <v>25</v>
      </c>
      <c r="E676" s="2" t="s">
        <v>22</v>
      </c>
      <c r="F676" s="2">
        <v>185903</v>
      </c>
      <c r="G676" s="2">
        <v>4647</v>
      </c>
      <c r="H676" s="2">
        <v>13755.12</v>
      </c>
      <c r="I676" s="2">
        <v>342</v>
      </c>
      <c r="J676" s="2">
        <v>58276.63</v>
      </c>
    </row>
    <row r="677" spans="1:10" x14ac:dyDescent="0.45">
      <c r="A677" s="2" t="s">
        <v>157</v>
      </c>
      <c r="B677" s="2" t="s">
        <v>20</v>
      </c>
      <c r="C677" s="2" t="s">
        <v>38</v>
      </c>
      <c r="D677" s="2" t="s">
        <v>29</v>
      </c>
      <c r="E677" s="2" t="s">
        <v>54</v>
      </c>
      <c r="F677" s="2">
        <v>61232</v>
      </c>
      <c r="G677" s="2">
        <v>2951</v>
      </c>
      <c r="H677" s="2">
        <v>2213.25</v>
      </c>
      <c r="I677" s="2">
        <v>51</v>
      </c>
      <c r="J677" s="2">
        <v>15061.62</v>
      </c>
    </row>
    <row r="678" spans="1:10" x14ac:dyDescent="0.45">
      <c r="A678" s="2" t="s">
        <v>184</v>
      </c>
      <c r="B678" s="2" t="s">
        <v>20</v>
      </c>
      <c r="C678" s="2" t="s">
        <v>38</v>
      </c>
      <c r="D678" s="2" t="s">
        <v>29</v>
      </c>
      <c r="E678" s="2" t="s">
        <v>26</v>
      </c>
      <c r="F678" s="2">
        <v>122286</v>
      </c>
      <c r="G678" s="2">
        <v>7642</v>
      </c>
      <c r="H678" s="2">
        <v>11233.74</v>
      </c>
      <c r="I678" s="2">
        <v>201</v>
      </c>
      <c r="J678" s="2">
        <v>60002.91</v>
      </c>
    </row>
    <row r="679" spans="1:10" x14ac:dyDescent="0.45">
      <c r="A679" s="2" t="s">
        <v>69</v>
      </c>
      <c r="B679" s="2" t="s">
        <v>20</v>
      </c>
      <c r="C679" s="2" t="s">
        <v>28</v>
      </c>
      <c r="D679" s="2" t="s">
        <v>25</v>
      </c>
      <c r="E679" s="2" t="s">
        <v>22</v>
      </c>
      <c r="F679" s="2">
        <v>60114</v>
      </c>
      <c r="G679" s="2">
        <v>4917</v>
      </c>
      <c r="H679" s="2">
        <v>6637.95</v>
      </c>
      <c r="I679" s="2">
        <v>279</v>
      </c>
      <c r="J679" s="2">
        <v>15410.94</v>
      </c>
    </row>
    <row r="680" spans="1:10" x14ac:dyDescent="0.45">
      <c r="A680" s="2" t="s">
        <v>343</v>
      </c>
      <c r="B680" s="2" t="s">
        <v>35</v>
      </c>
      <c r="C680" s="2" t="s">
        <v>38</v>
      </c>
      <c r="D680" s="2" t="s">
        <v>25</v>
      </c>
      <c r="E680" s="2" t="s">
        <v>54</v>
      </c>
      <c r="F680" s="2">
        <v>124004</v>
      </c>
      <c r="G680" s="2">
        <v>2083</v>
      </c>
      <c r="H680" s="2">
        <v>3145.33</v>
      </c>
      <c r="I680" s="2">
        <v>49</v>
      </c>
      <c r="J680" s="2">
        <v>9959.3700000000008</v>
      </c>
    </row>
    <row r="681" spans="1:10" x14ac:dyDescent="0.45">
      <c r="A681" s="2" t="s">
        <v>250</v>
      </c>
      <c r="B681" s="2" t="s">
        <v>20</v>
      </c>
      <c r="C681" s="2" t="s">
        <v>16</v>
      </c>
      <c r="D681" s="2" t="s">
        <v>41</v>
      </c>
      <c r="E681" s="2" t="s">
        <v>22</v>
      </c>
      <c r="F681" s="2">
        <v>168322</v>
      </c>
      <c r="G681" s="2">
        <v>4965</v>
      </c>
      <c r="H681" s="2">
        <v>4518.1499999999996</v>
      </c>
      <c r="I681" s="2">
        <v>228</v>
      </c>
      <c r="J681" s="2">
        <v>49052.14</v>
      </c>
    </row>
    <row r="682" spans="1:10" x14ac:dyDescent="0.45">
      <c r="A682" s="2" t="s">
        <v>130</v>
      </c>
      <c r="B682" s="2" t="s">
        <v>35</v>
      </c>
      <c r="C682" s="2" t="s">
        <v>38</v>
      </c>
      <c r="D682" s="2" t="s">
        <v>25</v>
      </c>
      <c r="E682" s="2" t="s">
        <v>30</v>
      </c>
      <c r="F682" s="2">
        <v>113957</v>
      </c>
      <c r="G682" s="2">
        <v>3008</v>
      </c>
      <c r="H682" s="2">
        <v>7008.64</v>
      </c>
      <c r="I682" s="2">
        <v>127</v>
      </c>
      <c r="J682" s="2">
        <v>17960.45</v>
      </c>
    </row>
    <row r="683" spans="1:10" x14ac:dyDescent="0.45">
      <c r="A683" s="2" t="s">
        <v>343</v>
      </c>
      <c r="B683" s="2" t="s">
        <v>15</v>
      </c>
      <c r="C683" s="2" t="s">
        <v>16</v>
      </c>
      <c r="D683" s="2" t="s">
        <v>29</v>
      </c>
      <c r="E683" s="2" t="s">
        <v>26</v>
      </c>
      <c r="F683" s="2">
        <v>137290</v>
      </c>
      <c r="G683" s="2">
        <v>5011</v>
      </c>
      <c r="H683" s="2">
        <v>7817.16</v>
      </c>
      <c r="I683" s="2">
        <v>323</v>
      </c>
      <c r="J683" s="2">
        <v>28440.57</v>
      </c>
    </row>
    <row r="684" spans="1:10" x14ac:dyDescent="0.45">
      <c r="A684" s="2" t="s">
        <v>128</v>
      </c>
      <c r="B684" s="2" t="s">
        <v>35</v>
      </c>
      <c r="C684" s="2" t="s">
        <v>24</v>
      </c>
      <c r="D684" s="2" t="s">
        <v>17</v>
      </c>
      <c r="E684" s="2" t="s">
        <v>18</v>
      </c>
      <c r="F684" s="2">
        <v>12253</v>
      </c>
      <c r="G684" s="2">
        <v>468</v>
      </c>
      <c r="H684" s="2">
        <v>360.36</v>
      </c>
      <c r="I684" s="2">
        <v>9</v>
      </c>
      <c r="J684" s="2">
        <v>1433.96</v>
      </c>
    </row>
    <row r="685" spans="1:10" x14ac:dyDescent="0.45">
      <c r="A685" s="2" t="s">
        <v>205</v>
      </c>
      <c r="B685" s="2" t="s">
        <v>15</v>
      </c>
      <c r="C685" s="2" t="s">
        <v>24</v>
      </c>
      <c r="D685" s="2" t="s">
        <v>21</v>
      </c>
      <c r="E685" s="2" t="s">
        <v>54</v>
      </c>
      <c r="F685" s="2">
        <v>109216</v>
      </c>
      <c r="G685" s="2">
        <v>5777</v>
      </c>
      <c r="H685" s="2">
        <v>17677.62</v>
      </c>
      <c r="I685" s="2">
        <v>140</v>
      </c>
      <c r="J685" s="2">
        <v>11237.04</v>
      </c>
    </row>
    <row r="686" spans="1:10" x14ac:dyDescent="0.45">
      <c r="A686" s="2" t="s">
        <v>329</v>
      </c>
      <c r="B686" s="2" t="s">
        <v>15</v>
      </c>
      <c r="C686" s="2" t="s">
        <v>28</v>
      </c>
      <c r="D686" s="2" t="s">
        <v>17</v>
      </c>
      <c r="E686" s="2" t="s">
        <v>33</v>
      </c>
      <c r="F686" s="2">
        <v>166215</v>
      </c>
      <c r="G686" s="2">
        <v>9158</v>
      </c>
      <c r="H686" s="2">
        <v>6593.76</v>
      </c>
      <c r="I686" s="2">
        <v>112</v>
      </c>
      <c r="J686" s="2">
        <v>29121.09</v>
      </c>
    </row>
    <row r="687" spans="1:10" x14ac:dyDescent="0.45">
      <c r="A687" s="2" t="s">
        <v>78</v>
      </c>
      <c r="B687" s="2" t="s">
        <v>35</v>
      </c>
      <c r="C687" s="2" t="s">
        <v>28</v>
      </c>
      <c r="D687" s="2" t="s">
        <v>29</v>
      </c>
      <c r="E687" s="2" t="s">
        <v>51</v>
      </c>
      <c r="F687" s="2">
        <v>140678</v>
      </c>
      <c r="G687" s="2">
        <v>5655</v>
      </c>
      <c r="H687" s="2">
        <v>11705.85</v>
      </c>
      <c r="I687" s="2">
        <v>154</v>
      </c>
      <c r="J687" s="2">
        <v>7932.09</v>
      </c>
    </row>
    <row r="688" spans="1:10" x14ac:dyDescent="0.45">
      <c r="A688" s="2" t="s">
        <v>161</v>
      </c>
      <c r="B688" s="2" t="s">
        <v>15</v>
      </c>
      <c r="C688" s="2" t="s">
        <v>16</v>
      </c>
      <c r="D688" s="2" t="s">
        <v>41</v>
      </c>
      <c r="E688" s="2" t="s">
        <v>18</v>
      </c>
      <c r="F688" s="2">
        <v>176066</v>
      </c>
      <c r="G688" s="2">
        <v>5264</v>
      </c>
      <c r="H688" s="2">
        <v>8317.1200000000008</v>
      </c>
      <c r="I688" s="2">
        <v>119</v>
      </c>
      <c r="J688" s="2">
        <v>28182.41</v>
      </c>
    </row>
    <row r="689" spans="1:10" x14ac:dyDescent="0.45">
      <c r="A689" s="2" t="s">
        <v>90</v>
      </c>
      <c r="B689" s="2" t="s">
        <v>15</v>
      </c>
      <c r="C689" s="2" t="s">
        <v>16</v>
      </c>
      <c r="D689" s="2" t="s">
        <v>25</v>
      </c>
      <c r="E689" s="2" t="s">
        <v>33</v>
      </c>
      <c r="F689" s="2">
        <v>59418</v>
      </c>
      <c r="G689" s="2">
        <v>1996</v>
      </c>
      <c r="H689" s="2">
        <v>3293.4</v>
      </c>
      <c r="I689" s="2">
        <v>80</v>
      </c>
      <c r="J689" s="2">
        <v>3528.5</v>
      </c>
    </row>
    <row r="690" spans="1:10" x14ac:dyDescent="0.45">
      <c r="A690" s="2" t="s">
        <v>265</v>
      </c>
      <c r="B690" s="2" t="s">
        <v>15</v>
      </c>
      <c r="C690" s="2" t="s">
        <v>16</v>
      </c>
      <c r="D690" s="2" t="s">
        <v>21</v>
      </c>
      <c r="E690" s="2" t="s">
        <v>18</v>
      </c>
      <c r="F690" s="2">
        <v>143183</v>
      </c>
      <c r="G690" s="2">
        <v>5784</v>
      </c>
      <c r="H690" s="2">
        <v>4974.24</v>
      </c>
      <c r="I690" s="2">
        <v>432</v>
      </c>
      <c r="J690" s="2">
        <v>88233.11</v>
      </c>
    </row>
    <row r="691" spans="1:10" x14ac:dyDescent="0.45">
      <c r="A691" s="2" t="s">
        <v>161</v>
      </c>
      <c r="B691" s="2" t="s">
        <v>35</v>
      </c>
      <c r="C691" s="2" t="s">
        <v>28</v>
      </c>
      <c r="D691" s="2" t="s">
        <v>41</v>
      </c>
      <c r="E691" s="2" t="s">
        <v>51</v>
      </c>
      <c r="F691" s="2">
        <v>194059</v>
      </c>
      <c r="G691" s="2">
        <v>3434</v>
      </c>
      <c r="H691" s="2">
        <v>4670.24</v>
      </c>
      <c r="I691" s="2">
        <v>193</v>
      </c>
      <c r="J691" s="2">
        <v>7460.79</v>
      </c>
    </row>
    <row r="692" spans="1:10" x14ac:dyDescent="0.45">
      <c r="A692" s="2" t="s">
        <v>236</v>
      </c>
      <c r="B692" s="2" t="s">
        <v>15</v>
      </c>
      <c r="C692" s="2" t="s">
        <v>28</v>
      </c>
      <c r="D692" s="2" t="s">
        <v>29</v>
      </c>
      <c r="E692" s="2" t="s">
        <v>18</v>
      </c>
      <c r="F692" s="2">
        <v>98899</v>
      </c>
      <c r="G692" s="2">
        <v>2185</v>
      </c>
      <c r="H692" s="2">
        <v>6904.6</v>
      </c>
      <c r="I692" s="2">
        <v>171</v>
      </c>
      <c r="J692" s="2">
        <v>45859.64</v>
      </c>
    </row>
    <row r="693" spans="1:10" x14ac:dyDescent="0.45">
      <c r="A693" s="2" t="s">
        <v>242</v>
      </c>
      <c r="B693" s="2" t="s">
        <v>35</v>
      </c>
      <c r="C693" s="2" t="s">
        <v>16</v>
      </c>
      <c r="D693" s="2" t="s">
        <v>41</v>
      </c>
      <c r="E693" s="2" t="s">
        <v>22</v>
      </c>
      <c r="F693" s="2">
        <v>129494</v>
      </c>
      <c r="G693" s="2">
        <v>1631</v>
      </c>
      <c r="H693" s="2">
        <v>3490.34</v>
      </c>
      <c r="I693" s="2">
        <v>108</v>
      </c>
      <c r="J693" s="2">
        <v>28288.04</v>
      </c>
    </row>
    <row r="694" spans="1:10" x14ac:dyDescent="0.45">
      <c r="A694" s="2" t="s">
        <v>329</v>
      </c>
      <c r="B694" s="2" t="s">
        <v>20</v>
      </c>
      <c r="C694" s="2" t="s">
        <v>28</v>
      </c>
      <c r="D694" s="2" t="s">
        <v>29</v>
      </c>
      <c r="E694" s="2" t="s">
        <v>18</v>
      </c>
      <c r="F694" s="2">
        <v>191443</v>
      </c>
      <c r="G694" s="2">
        <v>6872</v>
      </c>
      <c r="H694" s="2">
        <v>11476.24</v>
      </c>
      <c r="I694" s="2">
        <v>422</v>
      </c>
      <c r="J694" s="2">
        <v>108198.8</v>
      </c>
    </row>
    <row r="695" spans="1:10" x14ac:dyDescent="0.45">
      <c r="A695" s="2" t="s">
        <v>50</v>
      </c>
      <c r="B695" s="2" t="s">
        <v>20</v>
      </c>
      <c r="C695" s="2" t="s">
        <v>16</v>
      </c>
      <c r="D695" s="2" t="s">
        <v>29</v>
      </c>
      <c r="E695" s="2" t="s">
        <v>54</v>
      </c>
      <c r="F695" s="2">
        <v>61950</v>
      </c>
      <c r="G695" s="2">
        <v>4076</v>
      </c>
      <c r="H695" s="2">
        <v>1222.8</v>
      </c>
      <c r="I695" s="2">
        <v>97</v>
      </c>
      <c r="J695" s="2">
        <v>26763.8</v>
      </c>
    </row>
    <row r="696" spans="1:10" x14ac:dyDescent="0.45">
      <c r="A696" s="2" t="s">
        <v>175</v>
      </c>
      <c r="B696" s="2" t="s">
        <v>15</v>
      </c>
      <c r="C696" s="2" t="s">
        <v>28</v>
      </c>
      <c r="D696" s="2" t="s">
        <v>29</v>
      </c>
      <c r="E696" s="2" t="s">
        <v>22</v>
      </c>
      <c r="F696" s="2">
        <v>34605</v>
      </c>
      <c r="G696" s="2">
        <v>809</v>
      </c>
      <c r="H696" s="2">
        <v>1423.84</v>
      </c>
      <c r="I696" s="2">
        <v>40</v>
      </c>
      <c r="J696" s="2">
        <v>5146.88</v>
      </c>
    </row>
    <row r="697" spans="1:10" x14ac:dyDescent="0.45">
      <c r="A697" s="2" t="s">
        <v>344</v>
      </c>
      <c r="B697" s="2" t="s">
        <v>20</v>
      </c>
      <c r="C697" s="2" t="s">
        <v>28</v>
      </c>
      <c r="D697" s="2" t="s">
        <v>17</v>
      </c>
      <c r="E697" s="2" t="s">
        <v>18</v>
      </c>
      <c r="F697" s="2">
        <v>127790</v>
      </c>
      <c r="G697" s="2">
        <v>7015</v>
      </c>
      <c r="H697" s="2">
        <v>8628.4500000000007</v>
      </c>
      <c r="I697" s="2">
        <v>422</v>
      </c>
      <c r="J697" s="2">
        <v>90118.48</v>
      </c>
    </row>
    <row r="698" spans="1:10" x14ac:dyDescent="0.45">
      <c r="A698" s="2" t="s">
        <v>345</v>
      </c>
      <c r="B698" s="2" t="s">
        <v>20</v>
      </c>
      <c r="C698" s="2" t="s">
        <v>16</v>
      </c>
      <c r="D698" s="2" t="s">
        <v>25</v>
      </c>
      <c r="E698" s="2" t="s">
        <v>30</v>
      </c>
      <c r="F698" s="2">
        <v>96310</v>
      </c>
      <c r="G698" s="2">
        <v>6905</v>
      </c>
      <c r="H698" s="2">
        <v>8838.4</v>
      </c>
      <c r="I698" s="2">
        <v>247</v>
      </c>
      <c r="J698" s="2">
        <v>8632.99</v>
      </c>
    </row>
    <row r="699" spans="1:10" x14ac:dyDescent="0.45">
      <c r="A699" s="2" t="s">
        <v>57</v>
      </c>
      <c r="B699" s="2" t="s">
        <v>15</v>
      </c>
      <c r="C699" s="2" t="s">
        <v>28</v>
      </c>
      <c r="D699" s="2" t="s">
        <v>17</v>
      </c>
      <c r="E699" s="2" t="s">
        <v>51</v>
      </c>
      <c r="F699" s="2">
        <v>197589</v>
      </c>
      <c r="G699" s="2">
        <v>4781</v>
      </c>
      <c r="H699" s="2">
        <v>7649.6</v>
      </c>
      <c r="I699" s="2">
        <v>225</v>
      </c>
      <c r="J699" s="2">
        <v>12329.91</v>
      </c>
    </row>
    <row r="700" spans="1:10" x14ac:dyDescent="0.45">
      <c r="A700" s="2" t="s">
        <v>136</v>
      </c>
      <c r="B700" s="2" t="s">
        <v>35</v>
      </c>
      <c r="C700" s="2" t="s">
        <v>24</v>
      </c>
      <c r="D700" s="2" t="s">
        <v>41</v>
      </c>
      <c r="E700" s="2" t="s">
        <v>26</v>
      </c>
      <c r="F700" s="2">
        <v>118566</v>
      </c>
      <c r="G700" s="2">
        <v>3711</v>
      </c>
      <c r="H700" s="2">
        <v>4193.43</v>
      </c>
      <c r="I700" s="2">
        <v>58</v>
      </c>
      <c r="J700" s="2">
        <v>14643.53</v>
      </c>
    </row>
    <row r="701" spans="1:10" x14ac:dyDescent="0.45">
      <c r="A701" s="2" t="s">
        <v>169</v>
      </c>
      <c r="B701" s="2" t="s">
        <v>35</v>
      </c>
      <c r="C701" s="2" t="s">
        <v>28</v>
      </c>
      <c r="D701" s="2" t="s">
        <v>25</v>
      </c>
      <c r="E701" s="2" t="s">
        <v>30</v>
      </c>
      <c r="F701" s="2">
        <v>199451</v>
      </c>
      <c r="G701" s="2">
        <v>3989</v>
      </c>
      <c r="H701" s="2">
        <v>5105.92</v>
      </c>
      <c r="I701" s="2">
        <v>110</v>
      </c>
      <c r="J701" s="2">
        <v>8236.16</v>
      </c>
    </row>
    <row r="702" spans="1:10" x14ac:dyDescent="0.45">
      <c r="A702" s="2" t="s">
        <v>147</v>
      </c>
      <c r="B702" s="2" t="s">
        <v>15</v>
      </c>
      <c r="C702" s="2" t="s">
        <v>38</v>
      </c>
      <c r="D702" s="2" t="s">
        <v>29</v>
      </c>
      <c r="E702" s="2" t="s">
        <v>18</v>
      </c>
      <c r="F702" s="2">
        <v>88251</v>
      </c>
      <c r="G702" s="2">
        <v>5965</v>
      </c>
      <c r="H702" s="2">
        <v>4891.3</v>
      </c>
      <c r="I702" s="2">
        <v>133</v>
      </c>
      <c r="J702" s="2">
        <v>14897.06</v>
      </c>
    </row>
    <row r="703" spans="1:10" x14ac:dyDescent="0.45">
      <c r="A703" s="2" t="s">
        <v>285</v>
      </c>
      <c r="B703" s="2" t="s">
        <v>15</v>
      </c>
      <c r="C703" s="2" t="s">
        <v>38</v>
      </c>
      <c r="D703" s="2" t="s">
        <v>17</v>
      </c>
      <c r="E703" s="2" t="s">
        <v>33</v>
      </c>
      <c r="F703" s="2">
        <v>55406</v>
      </c>
      <c r="G703" s="2">
        <v>2648</v>
      </c>
      <c r="H703" s="2">
        <v>5031.2</v>
      </c>
      <c r="I703" s="2">
        <v>149</v>
      </c>
      <c r="J703" s="2">
        <v>22127.3</v>
      </c>
    </row>
    <row r="704" spans="1:10" x14ac:dyDescent="0.45">
      <c r="A704" s="2" t="s">
        <v>346</v>
      </c>
      <c r="B704" s="2" t="s">
        <v>20</v>
      </c>
      <c r="C704" s="2" t="s">
        <v>38</v>
      </c>
      <c r="D704" s="2" t="s">
        <v>17</v>
      </c>
      <c r="E704" s="2" t="s">
        <v>54</v>
      </c>
      <c r="F704" s="2">
        <v>141447</v>
      </c>
      <c r="G704" s="2">
        <v>9873</v>
      </c>
      <c r="H704" s="2">
        <v>13723.47</v>
      </c>
      <c r="I704" s="2">
        <v>588</v>
      </c>
      <c r="J704" s="2">
        <v>86774.51</v>
      </c>
    </row>
    <row r="705" spans="1:10" x14ac:dyDescent="0.45">
      <c r="A705" s="2" t="s">
        <v>347</v>
      </c>
      <c r="B705" s="2" t="s">
        <v>15</v>
      </c>
      <c r="C705" s="2" t="s">
        <v>24</v>
      </c>
      <c r="D705" s="2" t="s">
        <v>21</v>
      </c>
      <c r="E705" s="2" t="s">
        <v>22</v>
      </c>
      <c r="F705" s="2">
        <v>73591</v>
      </c>
      <c r="G705" s="2">
        <v>2649</v>
      </c>
      <c r="H705" s="2">
        <v>7496.67</v>
      </c>
      <c r="I705" s="2">
        <v>161</v>
      </c>
      <c r="J705" s="2">
        <v>45161.9</v>
      </c>
    </row>
    <row r="706" spans="1:10" x14ac:dyDescent="0.45">
      <c r="A706" s="2" t="s">
        <v>242</v>
      </c>
      <c r="B706" s="2" t="s">
        <v>15</v>
      </c>
      <c r="C706" s="2" t="s">
        <v>24</v>
      </c>
      <c r="D706" s="2" t="s">
        <v>17</v>
      </c>
      <c r="E706" s="2" t="s">
        <v>51</v>
      </c>
      <c r="F706" s="2">
        <v>66477</v>
      </c>
      <c r="G706" s="2">
        <v>2718</v>
      </c>
      <c r="H706" s="2">
        <v>7773.48</v>
      </c>
      <c r="I706" s="2">
        <v>160</v>
      </c>
      <c r="J706" s="2">
        <v>16856.48</v>
      </c>
    </row>
    <row r="707" spans="1:10" x14ac:dyDescent="0.45">
      <c r="A707" s="2" t="s">
        <v>170</v>
      </c>
      <c r="B707" s="2" t="s">
        <v>35</v>
      </c>
      <c r="C707" s="2" t="s">
        <v>24</v>
      </c>
      <c r="D707" s="2" t="s">
        <v>41</v>
      </c>
      <c r="E707" s="2" t="s">
        <v>18</v>
      </c>
      <c r="F707" s="2">
        <v>196386</v>
      </c>
      <c r="G707" s="2">
        <v>6794</v>
      </c>
      <c r="H707" s="2">
        <v>5503.14</v>
      </c>
      <c r="I707" s="2">
        <v>506</v>
      </c>
      <c r="J707" s="2">
        <v>34412.06</v>
      </c>
    </row>
    <row r="708" spans="1:10" x14ac:dyDescent="0.45">
      <c r="A708" s="2" t="s">
        <v>146</v>
      </c>
      <c r="B708" s="2" t="s">
        <v>15</v>
      </c>
      <c r="C708" s="2" t="s">
        <v>38</v>
      </c>
      <c r="D708" s="2" t="s">
        <v>17</v>
      </c>
      <c r="E708" s="2" t="s">
        <v>33</v>
      </c>
      <c r="F708" s="2">
        <v>78927</v>
      </c>
      <c r="G708" s="2">
        <v>3172</v>
      </c>
      <c r="H708" s="2">
        <v>10150.4</v>
      </c>
      <c r="I708" s="2">
        <v>62</v>
      </c>
      <c r="J708" s="2">
        <v>7568.63</v>
      </c>
    </row>
    <row r="709" spans="1:10" x14ac:dyDescent="0.45">
      <c r="A709" s="2" t="s">
        <v>348</v>
      </c>
      <c r="B709" s="2" t="s">
        <v>15</v>
      </c>
      <c r="C709" s="2" t="s">
        <v>38</v>
      </c>
      <c r="D709" s="2" t="s">
        <v>29</v>
      </c>
      <c r="E709" s="2" t="s">
        <v>33</v>
      </c>
      <c r="F709" s="2">
        <v>184857</v>
      </c>
      <c r="G709" s="2">
        <v>3419</v>
      </c>
      <c r="H709" s="2">
        <v>8786.83</v>
      </c>
      <c r="I709" s="2">
        <v>248</v>
      </c>
      <c r="J709" s="2">
        <v>70137.509999999995</v>
      </c>
    </row>
    <row r="710" spans="1:10" x14ac:dyDescent="0.45">
      <c r="A710" s="2" t="s">
        <v>278</v>
      </c>
      <c r="B710" s="2" t="s">
        <v>20</v>
      </c>
      <c r="C710" s="2" t="s">
        <v>38</v>
      </c>
      <c r="D710" s="2" t="s">
        <v>21</v>
      </c>
      <c r="E710" s="2" t="s">
        <v>51</v>
      </c>
      <c r="F710" s="2">
        <v>122174</v>
      </c>
      <c r="G710" s="2">
        <v>6499</v>
      </c>
      <c r="H710" s="2">
        <v>5719.12</v>
      </c>
      <c r="I710" s="2">
        <v>413</v>
      </c>
      <c r="J710" s="2">
        <v>58791.38</v>
      </c>
    </row>
    <row r="711" spans="1:10" x14ac:dyDescent="0.45">
      <c r="A711" s="2" t="s">
        <v>212</v>
      </c>
      <c r="B711" s="2" t="s">
        <v>15</v>
      </c>
      <c r="C711" s="2" t="s">
        <v>16</v>
      </c>
      <c r="D711" s="2" t="s">
        <v>29</v>
      </c>
      <c r="E711" s="2" t="s">
        <v>30</v>
      </c>
      <c r="F711" s="2">
        <v>108719</v>
      </c>
      <c r="G711" s="2">
        <v>4207</v>
      </c>
      <c r="H711" s="2">
        <v>13462.4</v>
      </c>
      <c r="I711" s="2">
        <v>121</v>
      </c>
      <c r="J711" s="2">
        <v>21018.47</v>
      </c>
    </row>
    <row r="712" spans="1:10" x14ac:dyDescent="0.45">
      <c r="A712" s="2" t="s">
        <v>175</v>
      </c>
      <c r="B712" s="2" t="s">
        <v>35</v>
      </c>
      <c r="C712" s="2" t="s">
        <v>28</v>
      </c>
      <c r="D712" s="2" t="s">
        <v>25</v>
      </c>
      <c r="E712" s="2" t="s">
        <v>54</v>
      </c>
      <c r="F712" s="2">
        <v>186949</v>
      </c>
      <c r="G712" s="2">
        <v>3140</v>
      </c>
      <c r="H712" s="2">
        <v>1884</v>
      </c>
      <c r="I712" s="2">
        <v>186</v>
      </c>
      <c r="J712" s="2">
        <v>30294.1</v>
      </c>
    </row>
    <row r="713" spans="1:10" x14ac:dyDescent="0.45">
      <c r="A713" s="2" t="s">
        <v>327</v>
      </c>
      <c r="B713" s="2" t="s">
        <v>15</v>
      </c>
      <c r="C713" s="2" t="s">
        <v>24</v>
      </c>
      <c r="D713" s="2" t="s">
        <v>41</v>
      </c>
      <c r="E713" s="2" t="s">
        <v>22</v>
      </c>
      <c r="F713" s="2">
        <v>193869</v>
      </c>
      <c r="G713" s="2">
        <v>13124</v>
      </c>
      <c r="H713" s="2">
        <v>38453.32</v>
      </c>
      <c r="I713" s="2">
        <v>264</v>
      </c>
      <c r="J713" s="2">
        <v>67604.89</v>
      </c>
    </row>
    <row r="714" spans="1:10" x14ac:dyDescent="0.45">
      <c r="A714" s="2" t="s">
        <v>218</v>
      </c>
      <c r="B714" s="2" t="s">
        <v>15</v>
      </c>
      <c r="C714" s="2" t="s">
        <v>16</v>
      </c>
      <c r="D714" s="2" t="s">
        <v>21</v>
      </c>
      <c r="E714" s="2" t="s">
        <v>54</v>
      </c>
      <c r="F714" s="2">
        <v>158535</v>
      </c>
      <c r="G714" s="2">
        <v>3836</v>
      </c>
      <c r="H714" s="2">
        <v>8285.76</v>
      </c>
      <c r="I714" s="2">
        <v>120</v>
      </c>
      <c r="J714" s="2">
        <v>12930.51</v>
      </c>
    </row>
    <row r="715" spans="1:10" x14ac:dyDescent="0.45">
      <c r="A715" s="2" t="s">
        <v>52</v>
      </c>
      <c r="B715" s="2" t="s">
        <v>20</v>
      </c>
      <c r="C715" s="2" t="s">
        <v>16</v>
      </c>
      <c r="D715" s="2" t="s">
        <v>21</v>
      </c>
      <c r="E715" s="2" t="s">
        <v>18</v>
      </c>
      <c r="F715" s="2">
        <v>148949</v>
      </c>
      <c r="G715" s="2">
        <v>12332</v>
      </c>
      <c r="H715" s="2">
        <v>12455.32</v>
      </c>
      <c r="I715" s="2">
        <v>546</v>
      </c>
      <c r="J715" s="2">
        <v>95805.85</v>
      </c>
    </row>
    <row r="716" spans="1:10" x14ac:dyDescent="0.45">
      <c r="A716" s="2" t="s">
        <v>161</v>
      </c>
      <c r="B716" s="2" t="s">
        <v>15</v>
      </c>
      <c r="C716" s="2" t="s">
        <v>38</v>
      </c>
      <c r="D716" s="2" t="s">
        <v>17</v>
      </c>
      <c r="E716" s="2" t="s">
        <v>26</v>
      </c>
      <c r="F716" s="2">
        <v>184810</v>
      </c>
      <c r="G716" s="2">
        <v>7447</v>
      </c>
      <c r="H716" s="2">
        <v>23234.639999999999</v>
      </c>
      <c r="I716" s="2">
        <v>334</v>
      </c>
      <c r="J716" s="2">
        <v>51289.24</v>
      </c>
    </row>
    <row r="717" spans="1:10" x14ac:dyDescent="0.45">
      <c r="A717" s="2" t="s">
        <v>256</v>
      </c>
      <c r="B717" s="2" t="s">
        <v>35</v>
      </c>
      <c r="C717" s="2" t="s">
        <v>24</v>
      </c>
      <c r="D717" s="2" t="s">
        <v>41</v>
      </c>
      <c r="E717" s="2" t="s">
        <v>26</v>
      </c>
      <c r="F717" s="2">
        <v>85989</v>
      </c>
      <c r="G717" s="2">
        <v>997</v>
      </c>
      <c r="H717" s="2">
        <v>1684.93</v>
      </c>
      <c r="I717" s="2">
        <v>37</v>
      </c>
      <c r="J717" s="2">
        <v>4865.84</v>
      </c>
    </row>
    <row r="718" spans="1:10" x14ac:dyDescent="0.45">
      <c r="A718" s="2" t="s">
        <v>346</v>
      </c>
      <c r="B718" s="2" t="s">
        <v>35</v>
      </c>
      <c r="C718" s="2" t="s">
        <v>28</v>
      </c>
      <c r="D718" s="2" t="s">
        <v>17</v>
      </c>
      <c r="E718" s="2" t="s">
        <v>33</v>
      </c>
      <c r="F718" s="2">
        <v>35755</v>
      </c>
      <c r="G718" s="2">
        <v>654</v>
      </c>
      <c r="H718" s="2">
        <v>1046.4000000000001</v>
      </c>
      <c r="I718" s="2">
        <v>40</v>
      </c>
      <c r="J718" s="2">
        <v>11846.71</v>
      </c>
    </row>
    <row r="719" spans="1:10" x14ac:dyDescent="0.45">
      <c r="A719" s="2" t="s">
        <v>179</v>
      </c>
      <c r="B719" s="2" t="s">
        <v>35</v>
      </c>
      <c r="C719" s="2" t="s">
        <v>24</v>
      </c>
      <c r="D719" s="2" t="s">
        <v>17</v>
      </c>
      <c r="E719" s="2" t="s">
        <v>22</v>
      </c>
      <c r="F719" s="2">
        <v>184298</v>
      </c>
      <c r="G719" s="2">
        <v>7758</v>
      </c>
      <c r="H719" s="2">
        <v>12024.9</v>
      </c>
      <c r="I719" s="2">
        <v>351</v>
      </c>
      <c r="J719" s="2">
        <v>91198.92</v>
      </c>
    </row>
    <row r="720" spans="1:10" x14ac:dyDescent="0.45">
      <c r="A720" s="2" t="s">
        <v>213</v>
      </c>
      <c r="B720" s="2" t="s">
        <v>35</v>
      </c>
      <c r="C720" s="2" t="s">
        <v>24</v>
      </c>
      <c r="D720" s="2" t="s">
        <v>29</v>
      </c>
      <c r="E720" s="2" t="s">
        <v>51</v>
      </c>
      <c r="F720" s="2">
        <v>22878</v>
      </c>
      <c r="G720" s="2">
        <v>619</v>
      </c>
      <c r="H720" s="2">
        <v>625.19000000000005</v>
      </c>
      <c r="I720" s="2">
        <v>43</v>
      </c>
      <c r="J720" s="2">
        <v>8615.57</v>
      </c>
    </row>
    <row r="721" spans="1:10" x14ac:dyDescent="0.45">
      <c r="A721" s="2" t="s">
        <v>61</v>
      </c>
      <c r="B721" s="2" t="s">
        <v>35</v>
      </c>
      <c r="C721" s="2" t="s">
        <v>16</v>
      </c>
      <c r="D721" s="2" t="s">
        <v>17</v>
      </c>
      <c r="E721" s="2" t="s">
        <v>22</v>
      </c>
      <c r="F721" s="2">
        <v>151539</v>
      </c>
      <c r="G721" s="2">
        <v>3455</v>
      </c>
      <c r="H721" s="2">
        <v>7082.75</v>
      </c>
      <c r="I721" s="2">
        <v>135</v>
      </c>
      <c r="J721" s="2">
        <v>4666.78</v>
      </c>
    </row>
    <row r="722" spans="1:10" x14ac:dyDescent="0.45">
      <c r="A722" s="2" t="s">
        <v>122</v>
      </c>
      <c r="B722" s="2" t="s">
        <v>15</v>
      </c>
      <c r="C722" s="2" t="s">
        <v>38</v>
      </c>
      <c r="D722" s="2" t="s">
        <v>25</v>
      </c>
      <c r="E722" s="2" t="s">
        <v>54</v>
      </c>
      <c r="F722" s="2">
        <v>180365</v>
      </c>
      <c r="G722" s="2">
        <v>6114</v>
      </c>
      <c r="H722" s="2">
        <v>21154.44</v>
      </c>
      <c r="I722" s="2">
        <v>400</v>
      </c>
      <c r="J722" s="2">
        <v>111623.05</v>
      </c>
    </row>
    <row r="723" spans="1:10" x14ac:dyDescent="0.45">
      <c r="A723" s="2" t="s">
        <v>290</v>
      </c>
      <c r="B723" s="2" t="s">
        <v>35</v>
      </c>
      <c r="C723" s="2" t="s">
        <v>24</v>
      </c>
      <c r="D723" s="2" t="s">
        <v>17</v>
      </c>
      <c r="E723" s="2" t="s">
        <v>54</v>
      </c>
      <c r="F723" s="2">
        <v>30168</v>
      </c>
      <c r="G723" s="2">
        <v>1080</v>
      </c>
      <c r="H723" s="2">
        <v>496.8</v>
      </c>
      <c r="I723" s="2">
        <v>34</v>
      </c>
      <c r="J723" s="2">
        <v>5163.2700000000004</v>
      </c>
    </row>
    <row r="724" spans="1:10" x14ac:dyDescent="0.45">
      <c r="A724" s="2" t="s">
        <v>269</v>
      </c>
      <c r="B724" s="2" t="s">
        <v>15</v>
      </c>
      <c r="C724" s="2" t="s">
        <v>38</v>
      </c>
      <c r="D724" s="2" t="s">
        <v>17</v>
      </c>
      <c r="E724" s="2" t="s">
        <v>18</v>
      </c>
      <c r="F724" s="2">
        <v>26352</v>
      </c>
      <c r="G724" s="2">
        <v>1697</v>
      </c>
      <c r="H724" s="2">
        <v>2901.87</v>
      </c>
      <c r="I724" s="2">
        <v>126</v>
      </c>
      <c r="J724" s="2">
        <v>31980.19</v>
      </c>
    </row>
    <row r="725" spans="1:10" x14ac:dyDescent="0.45">
      <c r="A725" s="2" t="s">
        <v>172</v>
      </c>
      <c r="B725" s="2" t="s">
        <v>15</v>
      </c>
      <c r="C725" s="2" t="s">
        <v>16</v>
      </c>
      <c r="D725" s="2" t="s">
        <v>25</v>
      </c>
      <c r="E725" s="2" t="s">
        <v>51</v>
      </c>
      <c r="F725" s="2">
        <v>57979</v>
      </c>
      <c r="G725" s="2">
        <v>2081</v>
      </c>
      <c r="H725" s="2">
        <v>3933.09</v>
      </c>
      <c r="I725" s="2">
        <v>148</v>
      </c>
      <c r="J725" s="2">
        <v>18788.47</v>
      </c>
    </row>
    <row r="726" spans="1:10" x14ac:dyDescent="0.45">
      <c r="A726" s="2" t="s">
        <v>153</v>
      </c>
      <c r="B726" s="2" t="s">
        <v>15</v>
      </c>
      <c r="C726" s="2" t="s">
        <v>24</v>
      </c>
      <c r="D726" s="2" t="s">
        <v>17</v>
      </c>
      <c r="E726" s="2" t="s">
        <v>54</v>
      </c>
      <c r="F726" s="2">
        <v>173769</v>
      </c>
      <c r="G726" s="2">
        <v>6759</v>
      </c>
      <c r="H726" s="2">
        <v>19330.740000000002</v>
      </c>
      <c r="I726" s="2">
        <v>158</v>
      </c>
      <c r="J726" s="2">
        <v>21350.44</v>
      </c>
    </row>
    <row r="727" spans="1:10" x14ac:dyDescent="0.45">
      <c r="A727" s="2" t="s">
        <v>251</v>
      </c>
      <c r="B727" s="2" t="s">
        <v>20</v>
      </c>
      <c r="C727" s="2" t="s">
        <v>28</v>
      </c>
      <c r="D727" s="2" t="s">
        <v>29</v>
      </c>
      <c r="E727" s="2" t="s">
        <v>30</v>
      </c>
      <c r="F727" s="2">
        <v>131206</v>
      </c>
      <c r="G727" s="2">
        <v>8279</v>
      </c>
      <c r="H727" s="2">
        <v>12666.87</v>
      </c>
      <c r="I727" s="2">
        <v>553</v>
      </c>
      <c r="J727" s="2">
        <v>61485.88</v>
      </c>
    </row>
    <row r="728" spans="1:10" x14ac:dyDescent="0.45">
      <c r="A728" s="2" t="s">
        <v>125</v>
      </c>
      <c r="B728" s="2" t="s">
        <v>35</v>
      </c>
      <c r="C728" s="2" t="s">
        <v>38</v>
      </c>
      <c r="D728" s="2" t="s">
        <v>21</v>
      </c>
      <c r="E728" s="2" t="s">
        <v>22</v>
      </c>
      <c r="F728" s="2">
        <v>64799</v>
      </c>
      <c r="G728" s="2">
        <v>842</v>
      </c>
      <c r="H728" s="2">
        <v>1473.5</v>
      </c>
      <c r="I728" s="2">
        <v>52</v>
      </c>
      <c r="J728" s="2">
        <v>15157.93</v>
      </c>
    </row>
    <row r="729" spans="1:10" x14ac:dyDescent="0.45">
      <c r="A729" s="2" t="s">
        <v>247</v>
      </c>
      <c r="B729" s="2" t="s">
        <v>35</v>
      </c>
      <c r="C729" s="2" t="s">
        <v>28</v>
      </c>
      <c r="D729" s="2" t="s">
        <v>41</v>
      </c>
      <c r="E729" s="2" t="s">
        <v>22</v>
      </c>
      <c r="F729" s="2">
        <v>167893</v>
      </c>
      <c r="G729" s="2">
        <v>4432</v>
      </c>
      <c r="H729" s="2">
        <v>2570.56</v>
      </c>
      <c r="I729" s="2">
        <v>66</v>
      </c>
      <c r="J729" s="2">
        <v>15989.78</v>
      </c>
    </row>
    <row r="730" spans="1:10" x14ac:dyDescent="0.45">
      <c r="A730" s="2" t="s">
        <v>90</v>
      </c>
      <c r="B730" s="2" t="s">
        <v>15</v>
      </c>
      <c r="C730" s="2" t="s">
        <v>38</v>
      </c>
      <c r="D730" s="2" t="s">
        <v>21</v>
      </c>
      <c r="E730" s="2" t="s">
        <v>54</v>
      </c>
      <c r="F730" s="2">
        <v>72474</v>
      </c>
      <c r="G730" s="2">
        <v>4022</v>
      </c>
      <c r="H730" s="2">
        <v>12508.42</v>
      </c>
      <c r="I730" s="2">
        <v>142</v>
      </c>
      <c r="J730" s="2">
        <v>38937.53</v>
      </c>
    </row>
    <row r="731" spans="1:10" x14ac:dyDescent="0.45">
      <c r="A731" s="2" t="s">
        <v>179</v>
      </c>
      <c r="B731" s="2" t="s">
        <v>35</v>
      </c>
      <c r="C731" s="2" t="s">
        <v>24</v>
      </c>
      <c r="D731" s="2" t="s">
        <v>21</v>
      </c>
      <c r="E731" s="2" t="s">
        <v>33</v>
      </c>
      <c r="F731" s="2">
        <v>138678</v>
      </c>
      <c r="G731" s="2">
        <v>1802</v>
      </c>
      <c r="H731" s="2">
        <v>3423.8</v>
      </c>
      <c r="I731" s="2">
        <v>61</v>
      </c>
      <c r="J731" s="2">
        <v>2147.0300000000002</v>
      </c>
    </row>
    <row r="732" spans="1:10" x14ac:dyDescent="0.45">
      <c r="A732" s="2" t="s">
        <v>241</v>
      </c>
      <c r="B732" s="2" t="s">
        <v>20</v>
      </c>
      <c r="C732" s="2" t="s">
        <v>16</v>
      </c>
      <c r="D732" s="2" t="s">
        <v>25</v>
      </c>
      <c r="E732" s="2" t="s">
        <v>18</v>
      </c>
      <c r="F732" s="2">
        <v>70195</v>
      </c>
      <c r="G732" s="2">
        <v>4239</v>
      </c>
      <c r="H732" s="2">
        <v>6019.38</v>
      </c>
      <c r="I732" s="2">
        <v>234</v>
      </c>
      <c r="J732" s="2">
        <v>38776.78</v>
      </c>
    </row>
    <row r="733" spans="1:10" x14ac:dyDescent="0.45">
      <c r="A733" s="2" t="s">
        <v>170</v>
      </c>
      <c r="B733" s="2" t="s">
        <v>35</v>
      </c>
      <c r="C733" s="2" t="s">
        <v>16</v>
      </c>
      <c r="D733" s="2" t="s">
        <v>21</v>
      </c>
      <c r="E733" s="2" t="s">
        <v>26</v>
      </c>
      <c r="F733" s="2">
        <v>73513</v>
      </c>
      <c r="G733" s="2">
        <v>2073</v>
      </c>
      <c r="H733" s="2">
        <v>4602.0600000000004</v>
      </c>
      <c r="I733" s="2">
        <v>31</v>
      </c>
      <c r="J733" s="2">
        <v>3401.33</v>
      </c>
    </row>
    <row r="734" spans="1:10" x14ac:dyDescent="0.45">
      <c r="A734" s="2" t="s">
        <v>152</v>
      </c>
      <c r="B734" s="2" t="s">
        <v>15</v>
      </c>
      <c r="C734" s="2" t="s">
        <v>16</v>
      </c>
      <c r="D734" s="2" t="s">
        <v>29</v>
      </c>
      <c r="E734" s="2" t="s">
        <v>30</v>
      </c>
      <c r="F734" s="2">
        <v>162786</v>
      </c>
      <c r="G734" s="2">
        <v>7406</v>
      </c>
      <c r="H734" s="2">
        <v>10738.7</v>
      </c>
      <c r="I734" s="2">
        <v>513</v>
      </c>
      <c r="J734" s="2">
        <v>67523.570000000007</v>
      </c>
    </row>
    <row r="735" spans="1:10" x14ac:dyDescent="0.45">
      <c r="A735" s="2" t="s">
        <v>101</v>
      </c>
      <c r="B735" s="2" t="s">
        <v>15</v>
      </c>
      <c r="C735" s="2" t="s">
        <v>24</v>
      </c>
      <c r="D735" s="2" t="s">
        <v>25</v>
      </c>
      <c r="E735" s="2" t="s">
        <v>26</v>
      </c>
      <c r="F735" s="2">
        <v>133909</v>
      </c>
      <c r="G735" s="2">
        <v>5664</v>
      </c>
      <c r="H735" s="2">
        <v>16312.32</v>
      </c>
      <c r="I735" s="2">
        <v>117</v>
      </c>
      <c r="J735" s="2">
        <v>11886.29</v>
      </c>
    </row>
    <row r="736" spans="1:10" x14ac:dyDescent="0.45">
      <c r="A736" s="2" t="s">
        <v>131</v>
      </c>
      <c r="B736" s="2" t="s">
        <v>15</v>
      </c>
      <c r="C736" s="2" t="s">
        <v>16</v>
      </c>
      <c r="D736" s="2" t="s">
        <v>41</v>
      </c>
      <c r="E736" s="2" t="s">
        <v>54</v>
      </c>
      <c r="F736" s="2">
        <v>92185</v>
      </c>
      <c r="G736" s="2">
        <v>3779</v>
      </c>
      <c r="H736" s="2">
        <v>6121.98</v>
      </c>
      <c r="I736" s="2">
        <v>82</v>
      </c>
      <c r="J736" s="2">
        <v>11861.33</v>
      </c>
    </row>
    <row r="737" spans="1:10" x14ac:dyDescent="0.45">
      <c r="A737" s="2" t="s">
        <v>349</v>
      </c>
      <c r="B737" s="2" t="s">
        <v>35</v>
      </c>
      <c r="C737" s="2" t="s">
        <v>16</v>
      </c>
      <c r="D737" s="2" t="s">
        <v>41</v>
      </c>
      <c r="E737" s="2" t="s">
        <v>54</v>
      </c>
      <c r="F737" s="2">
        <v>136637</v>
      </c>
      <c r="G737" s="2">
        <v>4399</v>
      </c>
      <c r="H737" s="2">
        <v>5762.69</v>
      </c>
      <c r="I737" s="2">
        <v>254</v>
      </c>
      <c r="J737" s="2">
        <v>21909.38</v>
      </c>
    </row>
    <row r="738" spans="1:10" x14ac:dyDescent="0.45">
      <c r="A738" s="2" t="s">
        <v>133</v>
      </c>
      <c r="B738" s="2" t="s">
        <v>35</v>
      </c>
      <c r="C738" s="2" t="s">
        <v>38</v>
      </c>
      <c r="D738" s="2" t="s">
        <v>41</v>
      </c>
      <c r="E738" s="2" t="s">
        <v>51</v>
      </c>
      <c r="F738" s="2">
        <v>56986</v>
      </c>
      <c r="G738" s="2">
        <v>1270</v>
      </c>
      <c r="H738" s="2">
        <v>1181.0999999999999</v>
      </c>
      <c r="I738" s="2">
        <v>13</v>
      </c>
      <c r="J738" s="2">
        <v>3679.26</v>
      </c>
    </row>
    <row r="739" spans="1:10" x14ac:dyDescent="0.45">
      <c r="A739" s="2" t="s">
        <v>83</v>
      </c>
      <c r="B739" s="2" t="s">
        <v>35</v>
      </c>
      <c r="C739" s="2" t="s">
        <v>38</v>
      </c>
      <c r="D739" s="2" t="s">
        <v>29</v>
      </c>
      <c r="E739" s="2" t="s">
        <v>22</v>
      </c>
      <c r="F739" s="2">
        <v>148859</v>
      </c>
      <c r="G739" s="2">
        <v>3840</v>
      </c>
      <c r="H739" s="2">
        <v>6912</v>
      </c>
      <c r="I739" s="2">
        <v>250</v>
      </c>
      <c r="J739" s="2">
        <v>22027.39</v>
      </c>
    </row>
    <row r="740" spans="1:10" x14ac:dyDescent="0.45">
      <c r="A740" s="2" t="s">
        <v>253</v>
      </c>
      <c r="B740" s="2" t="s">
        <v>15</v>
      </c>
      <c r="C740" s="2" t="s">
        <v>16</v>
      </c>
      <c r="D740" s="2" t="s">
        <v>21</v>
      </c>
      <c r="E740" s="2" t="s">
        <v>26</v>
      </c>
      <c r="F740" s="2">
        <v>151900</v>
      </c>
      <c r="G740" s="2">
        <v>5270</v>
      </c>
      <c r="H740" s="2">
        <v>5849.7</v>
      </c>
      <c r="I740" s="2">
        <v>291</v>
      </c>
      <c r="J740" s="2">
        <v>47553.46</v>
      </c>
    </row>
    <row r="741" spans="1:10" x14ac:dyDescent="0.45">
      <c r="A741" s="2" t="s">
        <v>93</v>
      </c>
      <c r="B741" s="2" t="s">
        <v>35</v>
      </c>
      <c r="C741" s="2" t="s">
        <v>28</v>
      </c>
      <c r="D741" s="2" t="s">
        <v>21</v>
      </c>
      <c r="E741" s="2" t="s">
        <v>18</v>
      </c>
      <c r="F741" s="2">
        <v>155555</v>
      </c>
      <c r="G741" s="2">
        <v>4588</v>
      </c>
      <c r="H741" s="2">
        <v>7111.4</v>
      </c>
      <c r="I741" s="2">
        <v>332</v>
      </c>
      <c r="J741" s="2">
        <v>12719.4</v>
      </c>
    </row>
    <row r="742" spans="1:10" x14ac:dyDescent="0.45">
      <c r="A742" s="2" t="s">
        <v>312</v>
      </c>
      <c r="B742" s="2" t="s">
        <v>35</v>
      </c>
      <c r="C742" s="2" t="s">
        <v>38</v>
      </c>
      <c r="D742" s="2" t="s">
        <v>29</v>
      </c>
      <c r="E742" s="2" t="s">
        <v>30</v>
      </c>
      <c r="F742" s="2">
        <v>198979</v>
      </c>
      <c r="G742" s="2">
        <v>2089</v>
      </c>
      <c r="H742" s="2">
        <v>3551.3</v>
      </c>
      <c r="I742" s="2">
        <v>66</v>
      </c>
      <c r="J742" s="2">
        <v>7694.86</v>
      </c>
    </row>
    <row r="743" spans="1:10" x14ac:dyDescent="0.45">
      <c r="A743" s="2" t="s">
        <v>79</v>
      </c>
      <c r="B743" s="2" t="s">
        <v>35</v>
      </c>
      <c r="C743" s="2" t="s">
        <v>16</v>
      </c>
      <c r="D743" s="2" t="s">
        <v>41</v>
      </c>
      <c r="E743" s="2" t="s">
        <v>51</v>
      </c>
      <c r="F743" s="2">
        <v>186740</v>
      </c>
      <c r="G743" s="2">
        <v>4182</v>
      </c>
      <c r="H743" s="2">
        <v>2341.92</v>
      </c>
      <c r="I743" s="2">
        <v>47</v>
      </c>
      <c r="J743" s="2">
        <v>8643.08</v>
      </c>
    </row>
    <row r="744" spans="1:10" x14ac:dyDescent="0.45">
      <c r="A744" s="2" t="s">
        <v>49</v>
      </c>
      <c r="B744" s="2" t="s">
        <v>15</v>
      </c>
      <c r="C744" s="2" t="s">
        <v>28</v>
      </c>
      <c r="D744" s="2" t="s">
        <v>17</v>
      </c>
      <c r="E744" s="2" t="s">
        <v>54</v>
      </c>
      <c r="F744" s="2">
        <v>126246</v>
      </c>
      <c r="G744" s="2">
        <v>4203</v>
      </c>
      <c r="H744" s="2">
        <v>8616.15</v>
      </c>
      <c r="I744" s="2">
        <v>290</v>
      </c>
      <c r="J744" s="2">
        <v>31939.46</v>
      </c>
    </row>
    <row r="745" spans="1:10" x14ac:dyDescent="0.45">
      <c r="A745" s="2" t="s">
        <v>232</v>
      </c>
      <c r="B745" s="2" t="s">
        <v>15</v>
      </c>
      <c r="C745" s="2" t="s">
        <v>16</v>
      </c>
      <c r="D745" s="2" t="s">
        <v>17</v>
      </c>
      <c r="E745" s="2" t="s">
        <v>30</v>
      </c>
      <c r="F745" s="2">
        <v>30835</v>
      </c>
      <c r="G745" s="2">
        <v>925</v>
      </c>
      <c r="H745" s="2">
        <v>1813</v>
      </c>
      <c r="I745" s="2">
        <v>14</v>
      </c>
      <c r="J745" s="2">
        <v>3805.56</v>
      </c>
    </row>
    <row r="746" spans="1:10" x14ac:dyDescent="0.45">
      <c r="A746" s="2" t="s">
        <v>162</v>
      </c>
      <c r="B746" s="2" t="s">
        <v>20</v>
      </c>
      <c r="C746" s="2" t="s">
        <v>24</v>
      </c>
      <c r="D746" s="2" t="s">
        <v>21</v>
      </c>
      <c r="E746" s="2" t="s">
        <v>33</v>
      </c>
      <c r="F746" s="2">
        <v>112938</v>
      </c>
      <c r="G746" s="2">
        <v>3263</v>
      </c>
      <c r="H746" s="2">
        <v>1272.57</v>
      </c>
      <c r="I746" s="2">
        <v>80</v>
      </c>
      <c r="J746" s="2">
        <v>22895.07</v>
      </c>
    </row>
    <row r="747" spans="1:10" x14ac:dyDescent="0.45">
      <c r="A747" s="2" t="s">
        <v>204</v>
      </c>
      <c r="B747" s="2" t="s">
        <v>15</v>
      </c>
      <c r="C747" s="2" t="s">
        <v>38</v>
      </c>
      <c r="D747" s="2" t="s">
        <v>29</v>
      </c>
      <c r="E747" s="2" t="s">
        <v>33</v>
      </c>
      <c r="F747" s="2">
        <v>143573</v>
      </c>
      <c r="G747" s="2">
        <v>3474</v>
      </c>
      <c r="H747" s="2">
        <v>5662.62</v>
      </c>
      <c r="I747" s="2">
        <v>131</v>
      </c>
      <c r="J747" s="2">
        <v>11434.82</v>
      </c>
    </row>
    <row r="748" spans="1:10" x14ac:dyDescent="0.45">
      <c r="A748" s="2" t="s">
        <v>105</v>
      </c>
      <c r="B748" s="2" t="s">
        <v>20</v>
      </c>
      <c r="C748" s="2" t="s">
        <v>38</v>
      </c>
      <c r="D748" s="2" t="s">
        <v>41</v>
      </c>
      <c r="E748" s="2" t="s">
        <v>33</v>
      </c>
      <c r="F748" s="2">
        <v>113621</v>
      </c>
      <c r="G748" s="2">
        <v>10112</v>
      </c>
      <c r="H748" s="2">
        <v>10010.879999999999</v>
      </c>
      <c r="I748" s="2">
        <v>472</v>
      </c>
      <c r="J748" s="2">
        <v>84899.73</v>
      </c>
    </row>
    <row r="749" spans="1:10" x14ac:dyDescent="0.45">
      <c r="A749" s="2" t="s">
        <v>217</v>
      </c>
      <c r="B749" s="2" t="s">
        <v>35</v>
      </c>
      <c r="C749" s="2" t="s">
        <v>16</v>
      </c>
      <c r="D749" s="2" t="s">
        <v>25</v>
      </c>
      <c r="E749" s="2" t="s">
        <v>22</v>
      </c>
      <c r="F749" s="2">
        <v>125155</v>
      </c>
      <c r="G749" s="2">
        <v>5256</v>
      </c>
      <c r="H749" s="2">
        <v>5623.92</v>
      </c>
      <c r="I749" s="2">
        <v>247</v>
      </c>
      <c r="J749" s="2">
        <v>26802.91</v>
      </c>
    </row>
    <row r="750" spans="1:10" x14ac:dyDescent="0.45">
      <c r="A750" s="2" t="s">
        <v>282</v>
      </c>
      <c r="B750" s="2" t="s">
        <v>35</v>
      </c>
      <c r="C750" s="2" t="s">
        <v>28</v>
      </c>
      <c r="D750" s="2" t="s">
        <v>17</v>
      </c>
      <c r="E750" s="2" t="s">
        <v>26</v>
      </c>
      <c r="F750" s="2">
        <v>52940</v>
      </c>
      <c r="G750" s="2">
        <v>1281</v>
      </c>
      <c r="H750" s="2">
        <v>1921.5</v>
      </c>
      <c r="I750" s="2">
        <v>37</v>
      </c>
      <c r="J750" s="2">
        <v>8409.06</v>
      </c>
    </row>
    <row r="751" spans="1:10" x14ac:dyDescent="0.45">
      <c r="A751" s="2" t="s">
        <v>251</v>
      </c>
      <c r="B751" s="2" t="s">
        <v>20</v>
      </c>
      <c r="C751" s="2" t="s">
        <v>38</v>
      </c>
      <c r="D751" s="2" t="s">
        <v>29</v>
      </c>
      <c r="E751" s="2" t="s">
        <v>26</v>
      </c>
      <c r="F751" s="2">
        <v>106069</v>
      </c>
      <c r="G751" s="2">
        <v>3139</v>
      </c>
      <c r="H751" s="2">
        <v>1569.5</v>
      </c>
      <c r="I751" s="2">
        <v>78</v>
      </c>
      <c r="J751" s="2">
        <v>6648.74</v>
      </c>
    </row>
    <row r="752" spans="1:10" x14ac:dyDescent="0.45">
      <c r="A752" s="2" t="s">
        <v>262</v>
      </c>
      <c r="B752" s="2" t="s">
        <v>15</v>
      </c>
      <c r="C752" s="2" t="s">
        <v>24</v>
      </c>
      <c r="D752" s="2" t="s">
        <v>21</v>
      </c>
      <c r="E752" s="2" t="s">
        <v>33</v>
      </c>
      <c r="F752" s="2">
        <v>185523</v>
      </c>
      <c r="G752" s="2">
        <v>6029</v>
      </c>
      <c r="H752" s="2">
        <v>8320.02</v>
      </c>
      <c r="I752" s="2">
        <v>252</v>
      </c>
      <c r="J752" s="2">
        <v>12404.91</v>
      </c>
    </row>
    <row r="753" spans="1:10" x14ac:dyDescent="0.45">
      <c r="A753" s="2" t="s">
        <v>350</v>
      </c>
      <c r="B753" s="2" t="s">
        <v>20</v>
      </c>
      <c r="C753" s="2" t="s">
        <v>28</v>
      </c>
      <c r="D753" s="2" t="s">
        <v>21</v>
      </c>
      <c r="E753" s="2" t="s">
        <v>51</v>
      </c>
      <c r="F753" s="2">
        <v>184969</v>
      </c>
      <c r="G753" s="2">
        <v>15407</v>
      </c>
      <c r="H753" s="2">
        <v>20645.38</v>
      </c>
      <c r="I753" s="2">
        <v>352</v>
      </c>
      <c r="J753" s="2">
        <v>52669.94</v>
      </c>
    </row>
    <row r="754" spans="1:10" x14ac:dyDescent="0.45">
      <c r="A754" s="2" t="s">
        <v>145</v>
      </c>
      <c r="B754" s="2" t="s">
        <v>15</v>
      </c>
      <c r="C754" s="2" t="s">
        <v>24</v>
      </c>
      <c r="D754" s="2" t="s">
        <v>25</v>
      </c>
      <c r="E754" s="2" t="s">
        <v>33</v>
      </c>
      <c r="F754" s="2">
        <v>118005</v>
      </c>
      <c r="G754" s="2">
        <v>5003</v>
      </c>
      <c r="H754" s="2">
        <v>9005.4</v>
      </c>
      <c r="I754" s="2">
        <v>63</v>
      </c>
      <c r="J754" s="2">
        <v>6740.12</v>
      </c>
    </row>
    <row r="755" spans="1:10" x14ac:dyDescent="0.45">
      <c r="A755" s="2" t="s">
        <v>115</v>
      </c>
      <c r="B755" s="2" t="s">
        <v>15</v>
      </c>
      <c r="C755" s="2" t="s">
        <v>24</v>
      </c>
      <c r="D755" s="2" t="s">
        <v>29</v>
      </c>
      <c r="E755" s="2" t="s">
        <v>51</v>
      </c>
      <c r="F755" s="2">
        <v>47176</v>
      </c>
      <c r="G755" s="2">
        <v>1278</v>
      </c>
      <c r="H755" s="2">
        <v>1827.54</v>
      </c>
      <c r="I755" s="2">
        <v>62</v>
      </c>
      <c r="J755" s="2">
        <v>2278.75</v>
      </c>
    </row>
    <row r="756" spans="1:10" x14ac:dyDescent="0.45">
      <c r="A756" s="2" t="s">
        <v>348</v>
      </c>
      <c r="B756" s="2" t="s">
        <v>35</v>
      </c>
      <c r="C756" s="2" t="s">
        <v>24</v>
      </c>
      <c r="D756" s="2" t="s">
        <v>17</v>
      </c>
      <c r="E756" s="2" t="s">
        <v>22</v>
      </c>
      <c r="F756" s="2">
        <v>8512</v>
      </c>
      <c r="G756" s="2">
        <v>251</v>
      </c>
      <c r="H756" s="2">
        <v>160.63999999999999</v>
      </c>
      <c r="I756" s="2">
        <v>11</v>
      </c>
      <c r="J756" s="2">
        <v>1671.09</v>
      </c>
    </row>
    <row r="757" spans="1:10" x14ac:dyDescent="0.45">
      <c r="A757" s="2" t="s">
        <v>185</v>
      </c>
      <c r="B757" s="2" t="s">
        <v>35</v>
      </c>
      <c r="C757" s="2" t="s">
        <v>28</v>
      </c>
      <c r="D757" s="2" t="s">
        <v>21</v>
      </c>
      <c r="E757" s="2" t="s">
        <v>54</v>
      </c>
      <c r="F757" s="2">
        <v>83591</v>
      </c>
      <c r="G757" s="2">
        <v>2499</v>
      </c>
      <c r="H757" s="2">
        <v>4198.32</v>
      </c>
      <c r="I757" s="2">
        <v>84</v>
      </c>
      <c r="J757" s="2">
        <v>18620.43</v>
      </c>
    </row>
    <row r="758" spans="1:10" x14ac:dyDescent="0.45">
      <c r="A758" s="2" t="s">
        <v>199</v>
      </c>
      <c r="B758" s="2" t="s">
        <v>15</v>
      </c>
      <c r="C758" s="2" t="s">
        <v>16</v>
      </c>
      <c r="D758" s="2" t="s">
        <v>41</v>
      </c>
      <c r="E758" s="2" t="s">
        <v>18</v>
      </c>
      <c r="F758" s="2">
        <v>88323</v>
      </c>
      <c r="G758" s="2">
        <v>3965</v>
      </c>
      <c r="H758" s="2">
        <v>9357.4</v>
      </c>
      <c r="I758" s="2">
        <v>95</v>
      </c>
      <c r="J758" s="2">
        <v>8337.4</v>
      </c>
    </row>
    <row r="759" spans="1:10" x14ac:dyDescent="0.45">
      <c r="A759" s="2" t="s">
        <v>291</v>
      </c>
      <c r="B759" s="2" t="s">
        <v>15</v>
      </c>
      <c r="C759" s="2" t="s">
        <v>24</v>
      </c>
      <c r="D759" s="2" t="s">
        <v>25</v>
      </c>
      <c r="E759" s="2" t="s">
        <v>30</v>
      </c>
      <c r="F759" s="2">
        <v>24755</v>
      </c>
      <c r="G759" s="2">
        <v>811</v>
      </c>
      <c r="H759" s="2">
        <v>2011.28</v>
      </c>
      <c r="I759" s="2">
        <v>8</v>
      </c>
      <c r="J759" s="2">
        <v>1786.84</v>
      </c>
    </row>
    <row r="760" spans="1:10" x14ac:dyDescent="0.45">
      <c r="A760" s="2" t="s">
        <v>351</v>
      </c>
      <c r="B760" s="2" t="s">
        <v>15</v>
      </c>
      <c r="C760" s="2" t="s">
        <v>24</v>
      </c>
      <c r="D760" s="2" t="s">
        <v>41</v>
      </c>
      <c r="E760" s="2" t="s">
        <v>18</v>
      </c>
      <c r="F760" s="2">
        <v>99410</v>
      </c>
      <c r="G760" s="2">
        <v>4195</v>
      </c>
      <c r="H760" s="2">
        <v>3481.85</v>
      </c>
      <c r="I760" s="2">
        <v>196</v>
      </c>
      <c r="J760" s="2">
        <v>56004.19</v>
      </c>
    </row>
    <row r="761" spans="1:10" x14ac:dyDescent="0.45">
      <c r="A761" s="2" t="s">
        <v>64</v>
      </c>
      <c r="B761" s="2" t="s">
        <v>35</v>
      </c>
      <c r="C761" s="2" t="s">
        <v>24</v>
      </c>
      <c r="D761" s="2" t="s">
        <v>29</v>
      </c>
      <c r="E761" s="2" t="s">
        <v>54</v>
      </c>
      <c r="F761" s="2">
        <v>176250</v>
      </c>
      <c r="G761" s="2">
        <v>6204</v>
      </c>
      <c r="H761" s="2">
        <v>4032.6</v>
      </c>
      <c r="I761" s="2">
        <v>312</v>
      </c>
      <c r="J761" s="2">
        <v>84311.3</v>
      </c>
    </row>
    <row r="762" spans="1:10" x14ac:dyDescent="0.45">
      <c r="A762" s="2" t="s">
        <v>177</v>
      </c>
      <c r="B762" s="2" t="s">
        <v>35</v>
      </c>
      <c r="C762" s="2" t="s">
        <v>28</v>
      </c>
      <c r="D762" s="2" t="s">
        <v>21</v>
      </c>
      <c r="E762" s="2" t="s">
        <v>22</v>
      </c>
      <c r="F762" s="2">
        <v>184729</v>
      </c>
      <c r="G762" s="2">
        <v>2586</v>
      </c>
      <c r="H762" s="2">
        <v>2327.4</v>
      </c>
      <c r="I762" s="2">
        <v>201</v>
      </c>
      <c r="J762" s="2">
        <v>16864.93</v>
      </c>
    </row>
    <row r="763" spans="1:10" x14ac:dyDescent="0.45">
      <c r="A763" s="2" t="s">
        <v>247</v>
      </c>
      <c r="B763" s="2" t="s">
        <v>15</v>
      </c>
      <c r="C763" s="2" t="s">
        <v>16</v>
      </c>
      <c r="D763" s="2" t="s">
        <v>25</v>
      </c>
      <c r="E763" s="2" t="s">
        <v>22</v>
      </c>
      <c r="F763" s="2">
        <v>175381</v>
      </c>
      <c r="G763" s="2">
        <v>4226</v>
      </c>
      <c r="H763" s="2">
        <v>3845.66</v>
      </c>
      <c r="I763" s="2">
        <v>204</v>
      </c>
      <c r="J763" s="2">
        <v>11471.83</v>
      </c>
    </row>
    <row r="764" spans="1:10" x14ac:dyDescent="0.45">
      <c r="A764" s="2" t="s">
        <v>154</v>
      </c>
      <c r="B764" s="2" t="s">
        <v>15</v>
      </c>
      <c r="C764" s="2" t="s">
        <v>24</v>
      </c>
      <c r="D764" s="2" t="s">
        <v>29</v>
      </c>
      <c r="E764" s="2" t="s">
        <v>22</v>
      </c>
      <c r="F764" s="2">
        <v>174741</v>
      </c>
      <c r="G764" s="2">
        <v>7129</v>
      </c>
      <c r="H764" s="2">
        <v>15469.93</v>
      </c>
      <c r="I764" s="2">
        <v>326</v>
      </c>
      <c r="J764" s="2">
        <v>58786.78</v>
      </c>
    </row>
    <row r="765" spans="1:10" x14ac:dyDescent="0.45">
      <c r="A765" s="2" t="s">
        <v>181</v>
      </c>
      <c r="B765" s="2" t="s">
        <v>35</v>
      </c>
      <c r="C765" s="2" t="s">
        <v>28</v>
      </c>
      <c r="D765" s="2" t="s">
        <v>41</v>
      </c>
      <c r="E765" s="2" t="s">
        <v>30</v>
      </c>
      <c r="F765" s="2">
        <v>62033</v>
      </c>
      <c r="G765" s="2">
        <v>2667</v>
      </c>
      <c r="H765" s="2">
        <v>2933.7</v>
      </c>
      <c r="I765" s="2">
        <v>135</v>
      </c>
      <c r="J765" s="2">
        <v>14288.2</v>
      </c>
    </row>
    <row r="766" spans="1:10" x14ac:dyDescent="0.45">
      <c r="A766" s="2" t="s">
        <v>174</v>
      </c>
      <c r="B766" s="2" t="s">
        <v>20</v>
      </c>
      <c r="C766" s="2" t="s">
        <v>16</v>
      </c>
      <c r="D766" s="2" t="s">
        <v>17</v>
      </c>
      <c r="E766" s="2" t="s">
        <v>33</v>
      </c>
      <c r="F766" s="2">
        <v>6067</v>
      </c>
      <c r="G766" s="2">
        <v>201</v>
      </c>
      <c r="H766" s="2">
        <v>126.63</v>
      </c>
      <c r="I766" s="2">
        <v>12</v>
      </c>
      <c r="J766" s="2">
        <v>2449.2800000000002</v>
      </c>
    </row>
    <row r="767" spans="1:10" x14ac:dyDescent="0.45">
      <c r="A767" s="2" t="s">
        <v>352</v>
      </c>
      <c r="B767" s="2" t="s">
        <v>15</v>
      </c>
      <c r="C767" s="2" t="s">
        <v>16</v>
      </c>
      <c r="D767" s="2" t="s">
        <v>29</v>
      </c>
      <c r="E767" s="2" t="s">
        <v>18</v>
      </c>
      <c r="F767" s="2">
        <v>187941</v>
      </c>
      <c r="G767" s="2">
        <v>9303</v>
      </c>
      <c r="H767" s="2">
        <v>21675.99</v>
      </c>
      <c r="I767" s="2">
        <v>528</v>
      </c>
      <c r="J767" s="2">
        <v>92564.99</v>
      </c>
    </row>
    <row r="768" spans="1:10" x14ac:dyDescent="0.45">
      <c r="A768" s="2" t="s">
        <v>147</v>
      </c>
      <c r="B768" s="2" t="s">
        <v>20</v>
      </c>
      <c r="C768" s="2" t="s">
        <v>28</v>
      </c>
      <c r="D768" s="2" t="s">
        <v>21</v>
      </c>
      <c r="E768" s="2" t="s">
        <v>18</v>
      </c>
      <c r="F768" s="2">
        <v>16094</v>
      </c>
      <c r="G768" s="2">
        <v>535</v>
      </c>
      <c r="H768" s="2">
        <v>968.35</v>
      </c>
      <c r="I768" s="2">
        <v>8</v>
      </c>
      <c r="J768" s="2">
        <v>469.8</v>
      </c>
    </row>
    <row r="769" spans="1:10" x14ac:dyDescent="0.45">
      <c r="A769" s="2" t="s">
        <v>106</v>
      </c>
      <c r="B769" s="2" t="s">
        <v>35</v>
      </c>
      <c r="C769" s="2" t="s">
        <v>38</v>
      </c>
      <c r="D769" s="2" t="s">
        <v>21</v>
      </c>
      <c r="E769" s="2" t="s">
        <v>51</v>
      </c>
      <c r="F769" s="2">
        <v>8599</v>
      </c>
      <c r="G769" s="2">
        <v>258</v>
      </c>
      <c r="H769" s="2">
        <v>167.7</v>
      </c>
      <c r="I769" s="2">
        <v>6</v>
      </c>
      <c r="J769" s="2">
        <v>594.69000000000005</v>
      </c>
    </row>
    <row r="770" spans="1:10" x14ac:dyDescent="0.45">
      <c r="A770" s="2" t="s">
        <v>112</v>
      </c>
      <c r="B770" s="2" t="s">
        <v>15</v>
      </c>
      <c r="C770" s="2" t="s">
        <v>24</v>
      </c>
      <c r="D770" s="2" t="s">
        <v>17</v>
      </c>
      <c r="E770" s="2" t="s">
        <v>18</v>
      </c>
      <c r="F770" s="2">
        <v>32476</v>
      </c>
      <c r="G770" s="2">
        <v>1136</v>
      </c>
      <c r="H770" s="2">
        <v>1863.04</v>
      </c>
      <c r="I770" s="2">
        <v>86</v>
      </c>
      <c r="J770" s="2">
        <v>21754.11</v>
      </c>
    </row>
    <row r="771" spans="1:10" x14ac:dyDescent="0.45">
      <c r="A771" s="2" t="s">
        <v>344</v>
      </c>
      <c r="B771" s="2" t="s">
        <v>15</v>
      </c>
      <c r="C771" s="2" t="s">
        <v>38</v>
      </c>
      <c r="D771" s="2" t="s">
        <v>17</v>
      </c>
      <c r="E771" s="2" t="s">
        <v>33</v>
      </c>
      <c r="F771" s="2">
        <v>64739</v>
      </c>
      <c r="G771" s="2">
        <v>1599</v>
      </c>
      <c r="H771" s="2">
        <v>5212.74</v>
      </c>
      <c r="I771" s="2">
        <v>109</v>
      </c>
      <c r="J771" s="2">
        <v>22723.24</v>
      </c>
    </row>
    <row r="772" spans="1:10" x14ac:dyDescent="0.45">
      <c r="A772" s="2" t="s">
        <v>214</v>
      </c>
      <c r="B772" s="2" t="s">
        <v>15</v>
      </c>
      <c r="C772" s="2" t="s">
        <v>16</v>
      </c>
      <c r="D772" s="2" t="s">
        <v>21</v>
      </c>
      <c r="E772" s="2" t="s">
        <v>22</v>
      </c>
      <c r="F772" s="2">
        <v>51666</v>
      </c>
      <c r="G772" s="2">
        <v>2965</v>
      </c>
      <c r="H772" s="2">
        <v>8657.7999999999993</v>
      </c>
      <c r="I772" s="2">
        <v>80</v>
      </c>
      <c r="J772" s="2">
        <v>16836.59</v>
      </c>
    </row>
    <row r="773" spans="1:10" x14ac:dyDescent="0.45">
      <c r="A773" s="2" t="s">
        <v>249</v>
      </c>
      <c r="B773" s="2" t="s">
        <v>35</v>
      </c>
      <c r="C773" s="2" t="s">
        <v>28</v>
      </c>
      <c r="D773" s="2" t="s">
        <v>29</v>
      </c>
      <c r="E773" s="2" t="s">
        <v>51</v>
      </c>
      <c r="F773" s="2">
        <v>39723</v>
      </c>
      <c r="G773" s="2">
        <v>1116</v>
      </c>
      <c r="H773" s="2">
        <v>1060.2</v>
      </c>
      <c r="I773" s="2">
        <v>14</v>
      </c>
      <c r="J773" s="2">
        <v>582.59</v>
      </c>
    </row>
    <row r="774" spans="1:10" x14ac:dyDescent="0.45">
      <c r="A774" s="2" t="s">
        <v>308</v>
      </c>
      <c r="B774" s="2" t="s">
        <v>20</v>
      </c>
      <c r="C774" s="2" t="s">
        <v>16</v>
      </c>
      <c r="D774" s="2" t="s">
        <v>25</v>
      </c>
      <c r="E774" s="2" t="s">
        <v>33</v>
      </c>
      <c r="F774" s="2">
        <v>163984</v>
      </c>
      <c r="G774" s="2">
        <v>12971</v>
      </c>
      <c r="H774" s="2">
        <v>21791.279999999999</v>
      </c>
      <c r="I774" s="2">
        <v>962</v>
      </c>
      <c r="J774" s="2">
        <v>170813.74</v>
      </c>
    </row>
    <row r="775" spans="1:10" x14ac:dyDescent="0.45">
      <c r="A775" s="2" t="s">
        <v>141</v>
      </c>
      <c r="B775" s="2" t="s">
        <v>35</v>
      </c>
      <c r="C775" s="2" t="s">
        <v>24</v>
      </c>
      <c r="D775" s="2" t="s">
        <v>17</v>
      </c>
      <c r="E775" s="2" t="s">
        <v>54</v>
      </c>
      <c r="F775" s="2">
        <v>51698</v>
      </c>
      <c r="G775" s="2">
        <v>1307</v>
      </c>
      <c r="H775" s="2">
        <v>2561.7199999999998</v>
      </c>
      <c r="I775" s="2">
        <v>91</v>
      </c>
      <c r="J775" s="2">
        <v>15551.2</v>
      </c>
    </row>
    <row r="776" spans="1:10" x14ac:dyDescent="0.45">
      <c r="A776" s="2" t="s">
        <v>346</v>
      </c>
      <c r="B776" s="2" t="s">
        <v>15</v>
      </c>
      <c r="C776" s="2" t="s">
        <v>28</v>
      </c>
      <c r="D776" s="2" t="s">
        <v>29</v>
      </c>
      <c r="E776" s="2" t="s">
        <v>18</v>
      </c>
      <c r="F776" s="2">
        <v>50206</v>
      </c>
      <c r="G776" s="2">
        <v>2399</v>
      </c>
      <c r="H776" s="2">
        <v>4845.9799999999996</v>
      </c>
      <c r="I776" s="2">
        <v>163</v>
      </c>
      <c r="J776" s="2">
        <v>5571.38</v>
      </c>
    </row>
    <row r="777" spans="1:10" x14ac:dyDescent="0.45">
      <c r="A777" s="2" t="s">
        <v>93</v>
      </c>
      <c r="B777" s="2" t="s">
        <v>15</v>
      </c>
      <c r="C777" s="2" t="s">
        <v>24</v>
      </c>
      <c r="D777" s="2" t="s">
        <v>17</v>
      </c>
      <c r="E777" s="2" t="s">
        <v>18</v>
      </c>
      <c r="F777" s="2">
        <v>194099</v>
      </c>
      <c r="G777" s="2">
        <v>4774</v>
      </c>
      <c r="H777" s="2">
        <v>11887.26</v>
      </c>
      <c r="I777" s="2">
        <v>134</v>
      </c>
      <c r="J777" s="2">
        <v>8446.2099999999991</v>
      </c>
    </row>
    <row r="778" spans="1:10" x14ac:dyDescent="0.45">
      <c r="A778" s="2" t="s">
        <v>353</v>
      </c>
      <c r="B778" s="2" t="s">
        <v>20</v>
      </c>
      <c r="C778" s="2" t="s">
        <v>24</v>
      </c>
      <c r="D778" s="2" t="s">
        <v>41</v>
      </c>
      <c r="E778" s="2" t="s">
        <v>26</v>
      </c>
      <c r="F778" s="2">
        <v>11820</v>
      </c>
      <c r="G778" s="2">
        <v>366</v>
      </c>
      <c r="H778" s="2">
        <v>629.52</v>
      </c>
      <c r="I778" s="2">
        <v>12</v>
      </c>
      <c r="J778" s="2">
        <v>2301.9899999999998</v>
      </c>
    </row>
    <row r="779" spans="1:10" x14ac:dyDescent="0.45">
      <c r="A779" s="2" t="s">
        <v>204</v>
      </c>
      <c r="B779" s="2" t="s">
        <v>20</v>
      </c>
      <c r="C779" s="2" t="s">
        <v>16</v>
      </c>
      <c r="D779" s="2" t="s">
        <v>29</v>
      </c>
      <c r="E779" s="2" t="s">
        <v>26</v>
      </c>
      <c r="F779" s="2">
        <v>56782</v>
      </c>
      <c r="G779" s="2">
        <v>3264</v>
      </c>
      <c r="H779" s="2">
        <v>2611.1999999999998</v>
      </c>
      <c r="I779" s="2">
        <v>154</v>
      </c>
      <c r="J779" s="2">
        <v>15749.58</v>
      </c>
    </row>
    <row r="780" spans="1:10" x14ac:dyDescent="0.45">
      <c r="A780" s="2" t="s">
        <v>45</v>
      </c>
      <c r="B780" s="2" t="s">
        <v>20</v>
      </c>
      <c r="C780" s="2" t="s">
        <v>24</v>
      </c>
      <c r="D780" s="2" t="s">
        <v>29</v>
      </c>
      <c r="E780" s="2" t="s">
        <v>22</v>
      </c>
      <c r="F780" s="2">
        <v>191894</v>
      </c>
      <c r="G780" s="2">
        <v>7138</v>
      </c>
      <c r="H780" s="2">
        <v>5496.26</v>
      </c>
      <c r="I780" s="2">
        <v>380</v>
      </c>
      <c r="J780" s="2">
        <v>85112.1</v>
      </c>
    </row>
    <row r="781" spans="1:10" x14ac:dyDescent="0.45">
      <c r="A781" s="2" t="s">
        <v>126</v>
      </c>
      <c r="B781" s="2" t="s">
        <v>15</v>
      </c>
      <c r="C781" s="2" t="s">
        <v>28</v>
      </c>
      <c r="D781" s="2" t="s">
        <v>17</v>
      </c>
      <c r="E781" s="2" t="s">
        <v>22</v>
      </c>
      <c r="F781" s="2">
        <v>55075</v>
      </c>
      <c r="G781" s="2">
        <v>3056</v>
      </c>
      <c r="H781" s="2">
        <v>7212.16</v>
      </c>
      <c r="I781" s="2">
        <v>156</v>
      </c>
      <c r="J781" s="2">
        <v>5145.3100000000004</v>
      </c>
    </row>
    <row r="782" spans="1:10" x14ac:dyDescent="0.45">
      <c r="A782" s="2" t="s">
        <v>239</v>
      </c>
      <c r="B782" s="2" t="s">
        <v>15</v>
      </c>
      <c r="C782" s="2" t="s">
        <v>28</v>
      </c>
      <c r="D782" s="2" t="s">
        <v>21</v>
      </c>
      <c r="E782" s="2" t="s">
        <v>51</v>
      </c>
      <c r="F782" s="2">
        <v>81830</v>
      </c>
      <c r="G782" s="2">
        <v>4091</v>
      </c>
      <c r="H782" s="2">
        <v>5931.95</v>
      </c>
      <c r="I782" s="2">
        <v>49</v>
      </c>
      <c r="J782" s="2">
        <v>7206.83</v>
      </c>
    </row>
    <row r="783" spans="1:10" x14ac:dyDescent="0.45">
      <c r="A783" s="2" t="s">
        <v>354</v>
      </c>
      <c r="B783" s="2" t="s">
        <v>35</v>
      </c>
      <c r="C783" s="2" t="s">
        <v>16</v>
      </c>
      <c r="D783" s="2" t="s">
        <v>21</v>
      </c>
      <c r="E783" s="2" t="s">
        <v>26</v>
      </c>
      <c r="F783" s="2">
        <v>87911</v>
      </c>
      <c r="G783" s="2">
        <v>1116</v>
      </c>
      <c r="H783" s="2">
        <v>535.67999999999995</v>
      </c>
      <c r="I783" s="2">
        <v>61</v>
      </c>
      <c r="J783" s="2">
        <v>16688.84</v>
      </c>
    </row>
    <row r="784" spans="1:10" x14ac:dyDescent="0.45">
      <c r="A784" s="2" t="s">
        <v>151</v>
      </c>
      <c r="B784" s="2" t="s">
        <v>35</v>
      </c>
      <c r="C784" s="2" t="s">
        <v>16</v>
      </c>
      <c r="D784" s="2" t="s">
        <v>29</v>
      </c>
      <c r="E784" s="2" t="s">
        <v>33</v>
      </c>
      <c r="F784" s="2">
        <v>9521</v>
      </c>
      <c r="G784" s="2">
        <v>237</v>
      </c>
      <c r="H784" s="2">
        <v>419.49</v>
      </c>
      <c r="I784" s="2">
        <v>17</v>
      </c>
      <c r="J784" s="2">
        <v>1502.31</v>
      </c>
    </row>
    <row r="785" spans="1:10" x14ac:dyDescent="0.45">
      <c r="A785" s="2" t="s">
        <v>252</v>
      </c>
      <c r="B785" s="2" t="s">
        <v>20</v>
      </c>
      <c r="C785" s="2" t="s">
        <v>16</v>
      </c>
      <c r="D785" s="2" t="s">
        <v>41</v>
      </c>
      <c r="E785" s="2" t="s">
        <v>22</v>
      </c>
      <c r="F785" s="2">
        <v>88115</v>
      </c>
      <c r="G785" s="2">
        <v>5383</v>
      </c>
      <c r="H785" s="2">
        <v>3660.44</v>
      </c>
      <c r="I785" s="2">
        <v>121</v>
      </c>
      <c r="J785" s="2">
        <v>28357.39</v>
      </c>
    </row>
    <row r="786" spans="1:10" x14ac:dyDescent="0.45">
      <c r="A786" s="2" t="s">
        <v>102</v>
      </c>
      <c r="B786" s="2" t="s">
        <v>15</v>
      </c>
      <c r="C786" s="2" t="s">
        <v>28</v>
      </c>
      <c r="D786" s="2" t="s">
        <v>41</v>
      </c>
      <c r="E786" s="2" t="s">
        <v>30</v>
      </c>
      <c r="F786" s="2">
        <v>184030</v>
      </c>
      <c r="G786" s="2">
        <v>5649</v>
      </c>
      <c r="H786" s="2">
        <v>12597.27</v>
      </c>
      <c r="I786" s="2">
        <v>90</v>
      </c>
      <c r="J786" s="2">
        <v>23192.98</v>
      </c>
    </row>
    <row r="787" spans="1:10" x14ac:dyDescent="0.45">
      <c r="A787" s="2" t="s">
        <v>309</v>
      </c>
      <c r="B787" s="2" t="s">
        <v>35</v>
      </c>
      <c r="C787" s="2" t="s">
        <v>24</v>
      </c>
      <c r="D787" s="2" t="s">
        <v>21</v>
      </c>
      <c r="E787" s="2" t="s">
        <v>22</v>
      </c>
      <c r="F787" s="2">
        <v>151729</v>
      </c>
      <c r="G787" s="2">
        <v>4491</v>
      </c>
      <c r="H787" s="2">
        <v>8308.35</v>
      </c>
      <c r="I787" s="2">
        <v>228</v>
      </c>
      <c r="J787" s="2">
        <v>48165.440000000002</v>
      </c>
    </row>
    <row r="788" spans="1:10" x14ac:dyDescent="0.45">
      <c r="A788" s="2" t="s">
        <v>113</v>
      </c>
      <c r="B788" s="2" t="s">
        <v>20</v>
      </c>
      <c r="C788" s="2" t="s">
        <v>24</v>
      </c>
      <c r="D788" s="2" t="s">
        <v>29</v>
      </c>
      <c r="E788" s="2" t="s">
        <v>51</v>
      </c>
      <c r="F788" s="2">
        <v>68176</v>
      </c>
      <c r="G788" s="2">
        <v>2679</v>
      </c>
      <c r="H788" s="2">
        <v>3321.96</v>
      </c>
      <c r="I788" s="2">
        <v>173</v>
      </c>
      <c r="J788" s="2">
        <v>19288.91</v>
      </c>
    </row>
    <row r="789" spans="1:10" x14ac:dyDescent="0.45">
      <c r="A789" s="2" t="s">
        <v>153</v>
      </c>
      <c r="B789" s="2" t="s">
        <v>35</v>
      </c>
      <c r="C789" s="2" t="s">
        <v>28</v>
      </c>
      <c r="D789" s="2" t="s">
        <v>25</v>
      </c>
      <c r="E789" s="2" t="s">
        <v>18</v>
      </c>
      <c r="F789" s="2">
        <v>160136</v>
      </c>
      <c r="G789" s="2">
        <v>6581</v>
      </c>
      <c r="H789" s="2">
        <v>2632.4</v>
      </c>
      <c r="I789" s="2">
        <v>393</v>
      </c>
      <c r="J789" s="2">
        <v>81942.570000000007</v>
      </c>
    </row>
    <row r="790" spans="1:10" x14ac:dyDescent="0.45">
      <c r="A790" s="2" t="s">
        <v>40</v>
      </c>
      <c r="B790" s="2" t="s">
        <v>15</v>
      </c>
      <c r="C790" s="2" t="s">
        <v>24</v>
      </c>
      <c r="D790" s="2" t="s">
        <v>25</v>
      </c>
      <c r="E790" s="2" t="s">
        <v>33</v>
      </c>
      <c r="F790" s="2">
        <v>164504</v>
      </c>
      <c r="G790" s="2">
        <v>3322</v>
      </c>
      <c r="H790" s="2">
        <v>6876.54</v>
      </c>
      <c r="I790" s="2">
        <v>96</v>
      </c>
      <c r="J790" s="2">
        <v>10570.76</v>
      </c>
    </row>
    <row r="791" spans="1:10" x14ac:dyDescent="0.45">
      <c r="A791" s="2" t="s">
        <v>355</v>
      </c>
      <c r="B791" s="2" t="s">
        <v>20</v>
      </c>
      <c r="C791" s="2" t="s">
        <v>38</v>
      </c>
      <c r="D791" s="2" t="s">
        <v>25</v>
      </c>
      <c r="E791" s="2" t="s">
        <v>54</v>
      </c>
      <c r="F791" s="2">
        <v>111399</v>
      </c>
      <c r="G791" s="2">
        <v>4155</v>
      </c>
      <c r="H791" s="2">
        <v>5069.1000000000004</v>
      </c>
      <c r="I791" s="2">
        <v>176</v>
      </c>
      <c r="J791" s="2">
        <v>18559.099999999999</v>
      </c>
    </row>
    <row r="792" spans="1:10" x14ac:dyDescent="0.45">
      <c r="A792" s="2" t="s">
        <v>356</v>
      </c>
      <c r="B792" s="2" t="s">
        <v>15</v>
      </c>
      <c r="C792" s="2" t="s">
        <v>16</v>
      </c>
      <c r="D792" s="2" t="s">
        <v>41</v>
      </c>
      <c r="E792" s="2" t="s">
        <v>30</v>
      </c>
      <c r="F792" s="2">
        <v>135011</v>
      </c>
      <c r="G792" s="2">
        <v>3496</v>
      </c>
      <c r="H792" s="2">
        <v>6607.44</v>
      </c>
      <c r="I792" s="2">
        <v>254</v>
      </c>
      <c r="J792" s="2">
        <v>69461.440000000002</v>
      </c>
    </row>
    <row r="793" spans="1:10" x14ac:dyDescent="0.45">
      <c r="A793" s="2" t="s">
        <v>279</v>
      </c>
      <c r="B793" s="2" t="s">
        <v>15</v>
      </c>
      <c r="C793" s="2" t="s">
        <v>38</v>
      </c>
      <c r="D793" s="2" t="s">
        <v>25</v>
      </c>
      <c r="E793" s="2" t="s">
        <v>26</v>
      </c>
      <c r="F793" s="2">
        <v>24359</v>
      </c>
      <c r="G793" s="2">
        <v>1461</v>
      </c>
      <c r="H793" s="2">
        <v>3418.74</v>
      </c>
      <c r="I793" s="2">
        <v>35</v>
      </c>
      <c r="J793" s="2">
        <v>4110.3900000000003</v>
      </c>
    </row>
    <row r="794" spans="1:10" x14ac:dyDescent="0.45">
      <c r="A794" s="2" t="s">
        <v>59</v>
      </c>
      <c r="B794" s="2" t="s">
        <v>35</v>
      </c>
      <c r="C794" s="2" t="s">
        <v>28</v>
      </c>
      <c r="D794" s="2" t="s">
        <v>25</v>
      </c>
      <c r="E794" s="2" t="s">
        <v>22</v>
      </c>
      <c r="F794" s="2">
        <v>130611</v>
      </c>
      <c r="G794" s="2">
        <v>2207</v>
      </c>
      <c r="H794" s="2">
        <v>1611.11</v>
      </c>
      <c r="I794" s="2">
        <v>44</v>
      </c>
      <c r="J794" s="2">
        <v>9567.41</v>
      </c>
    </row>
    <row r="795" spans="1:10" x14ac:dyDescent="0.45">
      <c r="A795" s="2" t="s">
        <v>357</v>
      </c>
      <c r="B795" s="2" t="s">
        <v>20</v>
      </c>
      <c r="C795" s="2" t="s">
        <v>16</v>
      </c>
      <c r="D795" s="2" t="s">
        <v>29</v>
      </c>
      <c r="E795" s="2" t="s">
        <v>22</v>
      </c>
      <c r="F795" s="2">
        <v>156601</v>
      </c>
      <c r="G795" s="2">
        <v>8628</v>
      </c>
      <c r="H795" s="2">
        <v>2674.68</v>
      </c>
      <c r="I795" s="2">
        <v>362</v>
      </c>
      <c r="J795" s="2">
        <v>23745.71</v>
      </c>
    </row>
    <row r="796" spans="1:10" x14ac:dyDescent="0.45">
      <c r="A796" s="2" t="s">
        <v>78</v>
      </c>
      <c r="B796" s="2" t="s">
        <v>35</v>
      </c>
      <c r="C796" s="2" t="s">
        <v>16</v>
      </c>
      <c r="D796" s="2" t="s">
        <v>29</v>
      </c>
      <c r="E796" s="2" t="s">
        <v>30</v>
      </c>
      <c r="F796" s="2">
        <v>172967</v>
      </c>
      <c r="G796" s="2">
        <v>5016</v>
      </c>
      <c r="H796" s="2">
        <v>10433.280000000001</v>
      </c>
      <c r="I796" s="2">
        <v>331</v>
      </c>
      <c r="J796" s="2">
        <v>75767.62</v>
      </c>
    </row>
    <row r="797" spans="1:10" x14ac:dyDescent="0.45">
      <c r="A797" s="2" t="s">
        <v>166</v>
      </c>
      <c r="B797" s="2" t="s">
        <v>15</v>
      </c>
      <c r="C797" s="2" t="s">
        <v>28</v>
      </c>
      <c r="D797" s="2" t="s">
        <v>29</v>
      </c>
      <c r="E797" s="2" t="s">
        <v>33</v>
      </c>
      <c r="F797" s="2">
        <v>165104</v>
      </c>
      <c r="G797" s="2">
        <v>7958</v>
      </c>
      <c r="H797" s="2">
        <v>24590.22</v>
      </c>
      <c r="I797" s="2">
        <v>105</v>
      </c>
      <c r="J797" s="2">
        <v>29946.1</v>
      </c>
    </row>
    <row r="798" spans="1:10" x14ac:dyDescent="0.45">
      <c r="A798" s="2" t="s">
        <v>181</v>
      </c>
      <c r="B798" s="2" t="s">
        <v>15</v>
      </c>
      <c r="C798" s="2" t="s">
        <v>24</v>
      </c>
      <c r="D798" s="2" t="s">
        <v>17</v>
      </c>
      <c r="E798" s="2" t="s">
        <v>33</v>
      </c>
      <c r="F798" s="2">
        <v>49109</v>
      </c>
      <c r="G798" s="2">
        <v>1203</v>
      </c>
      <c r="H798" s="2">
        <v>3921.78</v>
      </c>
      <c r="I798" s="2">
        <v>25</v>
      </c>
      <c r="J798" s="2">
        <v>4734.6099999999997</v>
      </c>
    </row>
    <row r="799" spans="1:10" x14ac:dyDescent="0.45">
      <c r="A799" s="2" t="s">
        <v>47</v>
      </c>
      <c r="B799" s="2" t="s">
        <v>35</v>
      </c>
      <c r="C799" s="2" t="s">
        <v>28</v>
      </c>
      <c r="D799" s="2" t="s">
        <v>29</v>
      </c>
      <c r="E799" s="2" t="s">
        <v>22</v>
      </c>
      <c r="F799" s="2">
        <v>46291</v>
      </c>
      <c r="G799" s="2">
        <v>1976</v>
      </c>
      <c r="H799" s="2">
        <v>1442.48</v>
      </c>
      <c r="I799" s="2">
        <v>74</v>
      </c>
      <c r="J799" s="2">
        <v>2307.39</v>
      </c>
    </row>
    <row r="800" spans="1:10" x14ac:dyDescent="0.45">
      <c r="A800" s="2" t="s">
        <v>236</v>
      </c>
      <c r="B800" s="2" t="s">
        <v>15</v>
      </c>
      <c r="C800" s="2" t="s">
        <v>24</v>
      </c>
      <c r="D800" s="2" t="s">
        <v>17</v>
      </c>
      <c r="E800" s="2" t="s">
        <v>30</v>
      </c>
      <c r="F800" s="2">
        <v>33750</v>
      </c>
      <c r="G800" s="2">
        <v>1410</v>
      </c>
      <c r="H800" s="2">
        <v>2693.1</v>
      </c>
      <c r="I800" s="2">
        <v>106</v>
      </c>
      <c r="J800" s="2">
        <v>5682.79</v>
      </c>
    </row>
    <row r="801" spans="1:10" x14ac:dyDescent="0.45">
      <c r="A801" s="2" t="s">
        <v>150</v>
      </c>
      <c r="B801" s="2" t="s">
        <v>35</v>
      </c>
      <c r="C801" s="2" t="s">
        <v>16</v>
      </c>
      <c r="D801" s="2" t="s">
        <v>25</v>
      </c>
      <c r="E801" s="2" t="s">
        <v>26</v>
      </c>
      <c r="F801" s="2">
        <v>177593</v>
      </c>
      <c r="G801" s="2">
        <v>1811</v>
      </c>
      <c r="H801" s="2">
        <v>1430.69</v>
      </c>
      <c r="I801" s="2">
        <v>128</v>
      </c>
      <c r="J801" s="2">
        <v>17092.48</v>
      </c>
    </row>
    <row r="802" spans="1:10" x14ac:dyDescent="0.45">
      <c r="A802" s="2" t="s">
        <v>281</v>
      </c>
      <c r="B802" s="2" t="s">
        <v>15</v>
      </c>
      <c r="C802" s="2" t="s">
        <v>38</v>
      </c>
      <c r="D802" s="2" t="s">
        <v>29</v>
      </c>
      <c r="E802" s="2" t="s">
        <v>51</v>
      </c>
      <c r="F802" s="2">
        <v>150465</v>
      </c>
      <c r="G802" s="2">
        <v>5311</v>
      </c>
      <c r="H802" s="2">
        <v>16623.43</v>
      </c>
      <c r="I802" s="2">
        <v>295</v>
      </c>
      <c r="J802" s="2">
        <v>57602.12</v>
      </c>
    </row>
    <row r="803" spans="1:10" x14ac:dyDescent="0.45">
      <c r="A803" s="2" t="s">
        <v>295</v>
      </c>
      <c r="B803" s="2" t="s">
        <v>20</v>
      </c>
      <c r="C803" s="2" t="s">
        <v>28</v>
      </c>
      <c r="D803" s="2" t="s">
        <v>29</v>
      </c>
      <c r="E803" s="2" t="s">
        <v>33</v>
      </c>
      <c r="F803" s="2">
        <v>25860</v>
      </c>
      <c r="G803" s="2">
        <v>1569</v>
      </c>
      <c r="H803" s="2">
        <v>1694.52</v>
      </c>
      <c r="I803" s="2">
        <v>79</v>
      </c>
      <c r="J803" s="2">
        <v>13162.62</v>
      </c>
    </row>
    <row r="804" spans="1:10" x14ac:dyDescent="0.45">
      <c r="A804" s="2" t="s">
        <v>223</v>
      </c>
      <c r="B804" s="2" t="s">
        <v>15</v>
      </c>
      <c r="C804" s="2" t="s">
        <v>38</v>
      </c>
      <c r="D804" s="2" t="s">
        <v>29</v>
      </c>
      <c r="E804" s="2" t="s">
        <v>30</v>
      </c>
      <c r="F804" s="2">
        <v>41375</v>
      </c>
      <c r="G804" s="2">
        <v>2350</v>
      </c>
      <c r="H804" s="2">
        <v>5170</v>
      </c>
      <c r="I804" s="2">
        <v>148</v>
      </c>
      <c r="J804" s="2">
        <v>14702.27</v>
      </c>
    </row>
    <row r="805" spans="1:10" x14ac:dyDescent="0.45">
      <c r="A805" s="2" t="s">
        <v>239</v>
      </c>
      <c r="B805" s="2" t="s">
        <v>35</v>
      </c>
      <c r="C805" s="2" t="s">
        <v>38</v>
      </c>
      <c r="D805" s="2" t="s">
        <v>29</v>
      </c>
      <c r="E805" s="2" t="s">
        <v>18</v>
      </c>
      <c r="F805" s="2">
        <v>26159</v>
      </c>
      <c r="G805" s="2">
        <v>782</v>
      </c>
      <c r="H805" s="2">
        <v>1180.82</v>
      </c>
      <c r="I805" s="2">
        <v>52</v>
      </c>
      <c r="J805" s="2">
        <v>8689.2900000000009</v>
      </c>
    </row>
    <row r="806" spans="1:10" x14ac:dyDescent="0.45">
      <c r="A806" s="2" t="s">
        <v>347</v>
      </c>
      <c r="B806" s="2" t="s">
        <v>35</v>
      </c>
      <c r="C806" s="2" t="s">
        <v>38</v>
      </c>
      <c r="D806" s="2" t="s">
        <v>21</v>
      </c>
      <c r="E806" s="2" t="s">
        <v>51</v>
      </c>
      <c r="F806" s="2">
        <v>184541</v>
      </c>
      <c r="G806" s="2">
        <v>3063</v>
      </c>
      <c r="H806" s="2">
        <v>5268.36</v>
      </c>
      <c r="I806" s="2">
        <v>215</v>
      </c>
      <c r="J806" s="2">
        <v>16566.88</v>
      </c>
    </row>
    <row r="807" spans="1:10" x14ac:dyDescent="0.45">
      <c r="A807" s="2" t="s">
        <v>217</v>
      </c>
      <c r="B807" s="2" t="s">
        <v>35</v>
      </c>
      <c r="C807" s="2" t="s">
        <v>24</v>
      </c>
      <c r="D807" s="2" t="s">
        <v>41</v>
      </c>
      <c r="E807" s="2" t="s">
        <v>18</v>
      </c>
      <c r="F807" s="2">
        <v>196373</v>
      </c>
      <c r="G807" s="2">
        <v>5184</v>
      </c>
      <c r="H807" s="2">
        <v>4458.24</v>
      </c>
      <c r="I807" s="2">
        <v>173</v>
      </c>
      <c r="J807" s="2">
        <v>36583.06</v>
      </c>
    </row>
    <row r="808" spans="1:10" x14ac:dyDescent="0.45">
      <c r="A808" s="2" t="s">
        <v>141</v>
      </c>
      <c r="B808" s="2" t="s">
        <v>15</v>
      </c>
      <c r="C808" s="2" t="s">
        <v>24</v>
      </c>
      <c r="D808" s="2" t="s">
        <v>25</v>
      </c>
      <c r="E808" s="2" t="s">
        <v>54</v>
      </c>
      <c r="F808" s="2">
        <v>131031</v>
      </c>
      <c r="G808" s="2">
        <v>6092</v>
      </c>
      <c r="H808" s="2">
        <v>17910.48</v>
      </c>
      <c r="I808" s="2">
        <v>482</v>
      </c>
      <c r="J808" s="2">
        <v>116431.98</v>
      </c>
    </row>
    <row r="809" spans="1:10" x14ac:dyDescent="0.45">
      <c r="A809" s="2" t="s">
        <v>285</v>
      </c>
      <c r="B809" s="2" t="s">
        <v>35</v>
      </c>
      <c r="C809" s="2" t="s">
        <v>16</v>
      </c>
      <c r="D809" s="2" t="s">
        <v>21</v>
      </c>
      <c r="E809" s="2" t="s">
        <v>30</v>
      </c>
      <c r="F809" s="2">
        <v>113269</v>
      </c>
      <c r="G809" s="2">
        <v>3182</v>
      </c>
      <c r="H809" s="2">
        <v>4868.46</v>
      </c>
      <c r="I809" s="2">
        <v>185</v>
      </c>
      <c r="J809" s="2">
        <v>53909.5</v>
      </c>
    </row>
    <row r="810" spans="1:10" x14ac:dyDescent="0.45">
      <c r="A810" s="2" t="s">
        <v>237</v>
      </c>
      <c r="B810" s="2" t="s">
        <v>20</v>
      </c>
      <c r="C810" s="2" t="s">
        <v>24</v>
      </c>
      <c r="D810" s="2" t="s">
        <v>29</v>
      </c>
      <c r="E810" s="2" t="s">
        <v>26</v>
      </c>
      <c r="F810" s="2">
        <v>92346</v>
      </c>
      <c r="G810" s="2">
        <v>6815</v>
      </c>
      <c r="H810" s="2">
        <v>5588.3</v>
      </c>
      <c r="I810" s="2">
        <v>469</v>
      </c>
      <c r="J810" s="2">
        <v>125930.93</v>
      </c>
    </row>
    <row r="811" spans="1:10" x14ac:dyDescent="0.45">
      <c r="A811" s="2" t="s">
        <v>358</v>
      </c>
      <c r="B811" s="2" t="s">
        <v>15</v>
      </c>
      <c r="C811" s="2" t="s">
        <v>16</v>
      </c>
      <c r="D811" s="2" t="s">
        <v>17</v>
      </c>
      <c r="E811" s="2" t="s">
        <v>54</v>
      </c>
      <c r="F811" s="2">
        <v>143241</v>
      </c>
      <c r="G811" s="2">
        <v>7133</v>
      </c>
      <c r="H811" s="2">
        <v>14693.98</v>
      </c>
      <c r="I811" s="2">
        <v>272</v>
      </c>
      <c r="J811" s="2">
        <v>60208.51</v>
      </c>
    </row>
    <row r="812" spans="1:10" x14ac:dyDescent="0.45">
      <c r="A812" s="2" t="s">
        <v>340</v>
      </c>
      <c r="B812" s="2" t="s">
        <v>35</v>
      </c>
      <c r="C812" s="2" t="s">
        <v>24</v>
      </c>
      <c r="D812" s="2" t="s">
        <v>29</v>
      </c>
      <c r="E812" s="2" t="s">
        <v>22</v>
      </c>
      <c r="F812" s="2">
        <v>194137</v>
      </c>
      <c r="G812" s="2">
        <v>2640</v>
      </c>
      <c r="H812" s="2">
        <v>6362.4</v>
      </c>
      <c r="I812" s="2">
        <v>49</v>
      </c>
      <c r="J812" s="2">
        <v>6668.85</v>
      </c>
    </row>
    <row r="813" spans="1:10" x14ac:dyDescent="0.45">
      <c r="A813" s="2" t="s">
        <v>334</v>
      </c>
      <c r="B813" s="2" t="s">
        <v>20</v>
      </c>
      <c r="C813" s="2" t="s">
        <v>28</v>
      </c>
      <c r="D813" s="2" t="s">
        <v>21</v>
      </c>
      <c r="E813" s="2" t="s">
        <v>22</v>
      </c>
      <c r="F813" s="2">
        <v>79967</v>
      </c>
      <c r="G813" s="2">
        <v>2327</v>
      </c>
      <c r="H813" s="2">
        <v>2443.35</v>
      </c>
      <c r="I813" s="2">
        <v>43</v>
      </c>
      <c r="J813" s="2">
        <v>11334.87</v>
      </c>
    </row>
    <row r="814" spans="1:10" x14ac:dyDescent="0.45">
      <c r="A814" s="2" t="s">
        <v>217</v>
      </c>
      <c r="B814" s="2" t="s">
        <v>35</v>
      </c>
      <c r="C814" s="2" t="s">
        <v>24</v>
      </c>
      <c r="D814" s="2" t="s">
        <v>41</v>
      </c>
      <c r="E814" s="2" t="s">
        <v>18</v>
      </c>
      <c r="F814" s="2">
        <v>60919</v>
      </c>
      <c r="G814" s="2">
        <v>1851</v>
      </c>
      <c r="H814" s="2">
        <v>3313.29</v>
      </c>
      <c r="I814" s="2">
        <v>131</v>
      </c>
      <c r="J814" s="2">
        <v>19210.72</v>
      </c>
    </row>
    <row r="815" spans="1:10" x14ac:dyDescent="0.45">
      <c r="A815" s="2" t="s">
        <v>106</v>
      </c>
      <c r="B815" s="2" t="s">
        <v>20</v>
      </c>
      <c r="C815" s="2" t="s">
        <v>16</v>
      </c>
      <c r="D815" s="2" t="s">
        <v>29</v>
      </c>
      <c r="E815" s="2" t="s">
        <v>33</v>
      </c>
      <c r="F815" s="2">
        <v>40886</v>
      </c>
      <c r="G815" s="2">
        <v>1782</v>
      </c>
      <c r="H815" s="2">
        <v>980.1</v>
      </c>
      <c r="I815" s="2">
        <v>132</v>
      </c>
      <c r="J815" s="2">
        <v>28189.38</v>
      </c>
    </row>
    <row r="816" spans="1:10" x14ac:dyDescent="0.45">
      <c r="A816" s="2" t="s">
        <v>263</v>
      </c>
      <c r="B816" s="2" t="s">
        <v>20</v>
      </c>
      <c r="C816" s="2" t="s">
        <v>28</v>
      </c>
      <c r="D816" s="2" t="s">
        <v>29</v>
      </c>
      <c r="E816" s="2" t="s">
        <v>51</v>
      </c>
      <c r="F816" s="2">
        <v>37646</v>
      </c>
      <c r="G816" s="2">
        <v>1874</v>
      </c>
      <c r="H816" s="2">
        <v>2061.4</v>
      </c>
      <c r="I816" s="2">
        <v>144</v>
      </c>
      <c r="J816" s="2">
        <v>16795.87</v>
      </c>
    </row>
    <row r="817" spans="1:10" x14ac:dyDescent="0.45">
      <c r="A817" s="2" t="s">
        <v>341</v>
      </c>
      <c r="B817" s="2" t="s">
        <v>35</v>
      </c>
      <c r="C817" s="2" t="s">
        <v>16</v>
      </c>
      <c r="D817" s="2" t="s">
        <v>21</v>
      </c>
      <c r="E817" s="2" t="s">
        <v>30</v>
      </c>
      <c r="F817" s="2">
        <v>117529</v>
      </c>
      <c r="G817" s="2">
        <v>4266</v>
      </c>
      <c r="H817" s="2">
        <v>4393.9799999999996</v>
      </c>
      <c r="I817" s="2">
        <v>308</v>
      </c>
      <c r="J817" s="2">
        <v>62119.33</v>
      </c>
    </row>
    <row r="818" spans="1:10" x14ac:dyDescent="0.45">
      <c r="A818" s="2" t="s">
        <v>94</v>
      </c>
      <c r="B818" s="2" t="s">
        <v>20</v>
      </c>
      <c r="C818" s="2" t="s">
        <v>24</v>
      </c>
      <c r="D818" s="2" t="s">
        <v>17</v>
      </c>
      <c r="E818" s="2" t="s">
        <v>51</v>
      </c>
      <c r="F818" s="2">
        <v>150250</v>
      </c>
      <c r="G818" s="2">
        <v>7196</v>
      </c>
      <c r="H818" s="2">
        <v>4821.32</v>
      </c>
      <c r="I818" s="2">
        <v>534</v>
      </c>
      <c r="J818" s="2">
        <v>36153.629999999997</v>
      </c>
    </row>
    <row r="819" spans="1:10" x14ac:dyDescent="0.45">
      <c r="A819" s="2" t="s">
        <v>246</v>
      </c>
      <c r="B819" s="2" t="s">
        <v>35</v>
      </c>
      <c r="C819" s="2" t="s">
        <v>24</v>
      </c>
      <c r="D819" s="2" t="s">
        <v>41</v>
      </c>
      <c r="E819" s="2" t="s">
        <v>30</v>
      </c>
      <c r="F819" s="2">
        <v>196929</v>
      </c>
      <c r="G819" s="2">
        <v>2382</v>
      </c>
      <c r="H819" s="2">
        <v>3096.6</v>
      </c>
      <c r="I819" s="2">
        <v>143</v>
      </c>
      <c r="J819" s="2">
        <v>38447.589999999997</v>
      </c>
    </row>
    <row r="820" spans="1:10" x14ac:dyDescent="0.45">
      <c r="A820" s="2" t="s">
        <v>219</v>
      </c>
      <c r="B820" s="2" t="s">
        <v>15</v>
      </c>
      <c r="C820" s="2" t="s">
        <v>16</v>
      </c>
      <c r="D820" s="2" t="s">
        <v>25</v>
      </c>
      <c r="E820" s="2" t="s">
        <v>30</v>
      </c>
      <c r="F820" s="2">
        <v>91491</v>
      </c>
      <c r="G820" s="2">
        <v>4053</v>
      </c>
      <c r="H820" s="2">
        <v>7052.22</v>
      </c>
      <c r="I820" s="2">
        <v>140</v>
      </c>
      <c r="J820" s="2">
        <v>19432.37</v>
      </c>
    </row>
    <row r="821" spans="1:10" x14ac:dyDescent="0.45">
      <c r="A821" s="2" t="s">
        <v>79</v>
      </c>
      <c r="B821" s="2" t="s">
        <v>15</v>
      </c>
      <c r="C821" s="2" t="s">
        <v>24</v>
      </c>
      <c r="D821" s="2" t="s">
        <v>41</v>
      </c>
      <c r="E821" s="2" t="s">
        <v>22</v>
      </c>
      <c r="F821" s="2">
        <v>154741</v>
      </c>
      <c r="G821" s="2">
        <v>6019</v>
      </c>
      <c r="H821" s="2">
        <v>6259.76</v>
      </c>
      <c r="I821" s="2">
        <v>220</v>
      </c>
      <c r="J821" s="2">
        <v>38586.699999999997</v>
      </c>
    </row>
    <row r="822" spans="1:10" x14ac:dyDescent="0.45">
      <c r="A822" s="2" t="s">
        <v>178</v>
      </c>
      <c r="B822" s="2" t="s">
        <v>20</v>
      </c>
      <c r="C822" s="2" t="s">
        <v>38</v>
      </c>
      <c r="D822" s="2" t="s">
        <v>41</v>
      </c>
      <c r="E822" s="2" t="s">
        <v>51</v>
      </c>
      <c r="F822" s="2">
        <v>72963</v>
      </c>
      <c r="G822" s="2">
        <v>5618</v>
      </c>
      <c r="H822" s="2">
        <v>2696.64</v>
      </c>
      <c r="I822" s="2">
        <v>412</v>
      </c>
      <c r="J822" s="2">
        <v>16464.009999999998</v>
      </c>
    </row>
    <row r="823" spans="1:10" x14ac:dyDescent="0.45">
      <c r="A823" s="2" t="s">
        <v>151</v>
      </c>
      <c r="B823" s="2" t="s">
        <v>15</v>
      </c>
      <c r="C823" s="2" t="s">
        <v>24</v>
      </c>
      <c r="D823" s="2" t="s">
        <v>17</v>
      </c>
      <c r="E823" s="2" t="s">
        <v>26</v>
      </c>
      <c r="F823" s="2">
        <v>194281</v>
      </c>
      <c r="G823" s="2">
        <v>5906</v>
      </c>
      <c r="H823" s="2">
        <v>14765</v>
      </c>
      <c r="I823" s="2">
        <v>371</v>
      </c>
      <c r="J823" s="2">
        <v>20958.57</v>
      </c>
    </row>
    <row r="824" spans="1:10" x14ac:dyDescent="0.45">
      <c r="A824" s="2" t="s">
        <v>97</v>
      </c>
      <c r="B824" s="2" t="s">
        <v>35</v>
      </c>
      <c r="C824" s="2" t="s">
        <v>38</v>
      </c>
      <c r="D824" s="2" t="s">
        <v>41</v>
      </c>
      <c r="E824" s="2" t="s">
        <v>18</v>
      </c>
      <c r="F824" s="2">
        <v>92844</v>
      </c>
      <c r="G824" s="2">
        <v>3277</v>
      </c>
      <c r="H824" s="2">
        <v>5931.37</v>
      </c>
      <c r="I824" s="2">
        <v>63</v>
      </c>
      <c r="J824" s="2">
        <v>10318.61</v>
      </c>
    </row>
    <row r="825" spans="1:10" x14ac:dyDescent="0.45">
      <c r="A825" s="2" t="s">
        <v>183</v>
      </c>
      <c r="B825" s="2" t="s">
        <v>15</v>
      </c>
      <c r="C825" s="2" t="s">
        <v>24</v>
      </c>
      <c r="D825" s="2" t="s">
        <v>29</v>
      </c>
      <c r="E825" s="2" t="s">
        <v>18</v>
      </c>
      <c r="F825" s="2">
        <v>132441</v>
      </c>
      <c r="G825" s="2">
        <v>2436</v>
      </c>
      <c r="H825" s="2">
        <v>5091.24</v>
      </c>
      <c r="I825" s="2">
        <v>135</v>
      </c>
      <c r="J825" s="2">
        <v>8958.33</v>
      </c>
    </row>
    <row r="826" spans="1:10" x14ac:dyDescent="0.45">
      <c r="A826" s="2" t="s">
        <v>93</v>
      </c>
      <c r="B826" s="2" t="s">
        <v>35</v>
      </c>
      <c r="C826" s="2" t="s">
        <v>16</v>
      </c>
      <c r="D826" s="2" t="s">
        <v>21</v>
      </c>
      <c r="E826" s="2" t="s">
        <v>30</v>
      </c>
      <c r="F826" s="2">
        <v>110977</v>
      </c>
      <c r="G826" s="2">
        <v>2829</v>
      </c>
      <c r="H826" s="2">
        <v>1867.14</v>
      </c>
      <c r="I826" s="2">
        <v>48</v>
      </c>
      <c r="J826" s="2">
        <v>10643.48</v>
      </c>
    </row>
    <row r="827" spans="1:10" x14ac:dyDescent="0.45">
      <c r="A827" s="2" t="s">
        <v>72</v>
      </c>
      <c r="B827" s="2" t="s">
        <v>15</v>
      </c>
      <c r="C827" s="2" t="s">
        <v>16</v>
      </c>
      <c r="D827" s="2" t="s">
        <v>25</v>
      </c>
      <c r="E827" s="2" t="s">
        <v>18</v>
      </c>
      <c r="F827" s="2">
        <v>50076</v>
      </c>
      <c r="G827" s="2">
        <v>2964</v>
      </c>
      <c r="H827" s="2">
        <v>10077.6</v>
      </c>
      <c r="I827" s="2">
        <v>94</v>
      </c>
      <c r="J827" s="2">
        <v>28058.66</v>
      </c>
    </row>
    <row r="828" spans="1:10" x14ac:dyDescent="0.45">
      <c r="A828" s="2" t="s">
        <v>359</v>
      </c>
      <c r="B828" s="2" t="s">
        <v>15</v>
      </c>
      <c r="C828" s="2" t="s">
        <v>16</v>
      </c>
      <c r="D828" s="2" t="s">
        <v>29</v>
      </c>
      <c r="E828" s="2" t="s">
        <v>54</v>
      </c>
      <c r="F828" s="2">
        <v>180590</v>
      </c>
      <c r="G828" s="2">
        <v>4857</v>
      </c>
      <c r="H828" s="2">
        <v>7334.07</v>
      </c>
      <c r="I828" s="2">
        <v>333</v>
      </c>
      <c r="J828" s="2">
        <v>91782.77</v>
      </c>
    </row>
    <row r="829" spans="1:10" x14ac:dyDescent="0.45">
      <c r="A829" s="2" t="s">
        <v>270</v>
      </c>
      <c r="B829" s="2" t="s">
        <v>35</v>
      </c>
      <c r="C829" s="2" t="s">
        <v>16</v>
      </c>
      <c r="D829" s="2" t="s">
        <v>17</v>
      </c>
      <c r="E829" s="2" t="s">
        <v>18</v>
      </c>
      <c r="F829" s="2">
        <v>153530</v>
      </c>
      <c r="G829" s="2">
        <v>3899</v>
      </c>
      <c r="H829" s="2">
        <v>9006.69</v>
      </c>
      <c r="I829" s="2">
        <v>302</v>
      </c>
      <c r="J829" s="2">
        <v>21392.38</v>
      </c>
    </row>
    <row r="830" spans="1:10" x14ac:dyDescent="0.45">
      <c r="A830" s="2" t="s">
        <v>66</v>
      </c>
      <c r="B830" s="2" t="s">
        <v>15</v>
      </c>
      <c r="C830" s="2" t="s">
        <v>24</v>
      </c>
      <c r="D830" s="2" t="s">
        <v>29</v>
      </c>
      <c r="E830" s="2" t="s">
        <v>51</v>
      </c>
      <c r="F830" s="2">
        <v>135223</v>
      </c>
      <c r="G830" s="2">
        <v>3285</v>
      </c>
      <c r="H830" s="2">
        <v>9920.7000000000007</v>
      </c>
      <c r="I830" s="2">
        <v>201</v>
      </c>
      <c r="J830" s="2">
        <v>46154.22</v>
      </c>
    </row>
    <row r="831" spans="1:10" x14ac:dyDescent="0.45">
      <c r="A831" s="2" t="s">
        <v>50</v>
      </c>
      <c r="B831" s="2" t="s">
        <v>35</v>
      </c>
      <c r="C831" s="2" t="s">
        <v>38</v>
      </c>
      <c r="D831" s="2" t="s">
        <v>21</v>
      </c>
      <c r="E831" s="2" t="s">
        <v>26</v>
      </c>
      <c r="F831" s="2">
        <v>108152</v>
      </c>
      <c r="G831" s="2">
        <v>4250</v>
      </c>
      <c r="H831" s="2">
        <v>3060</v>
      </c>
      <c r="I831" s="2">
        <v>160</v>
      </c>
      <c r="J831" s="2">
        <v>12452.25</v>
      </c>
    </row>
    <row r="832" spans="1:10" x14ac:dyDescent="0.45">
      <c r="A832" s="2" t="s">
        <v>329</v>
      </c>
      <c r="B832" s="2" t="s">
        <v>15</v>
      </c>
      <c r="C832" s="2" t="s">
        <v>24</v>
      </c>
      <c r="D832" s="2" t="s">
        <v>25</v>
      </c>
      <c r="E832" s="2" t="s">
        <v>30</v>
      </c>
      <c r="F832" s="2">
        <v>76442</v>
      </c>
      <c r="G832" s="2">
        <v>2392</v>
      </c>
      <c r="H832" s="2">
        <v>3922.88</v>
      </c>
      <c r="I832" s="2">
        <v>160</v>
      </c>
      <c r="J832" s="2">
        <v>14390.19</v>
      </c>
    </row>
    <row r="833" spans="1:10" x14ac:dyDescent="0.45">
      <c r="A833" s="2" t="s">
        <v>63</v>
      </c>
      <c r="B833" s="2" t="s">
        <v>15</v>
      </c>
      <c r="C833" s="2" t="s">
        <v>24</v>
      </c>
      <c r="D833" s="2" t="s">
        <v>21</v>
      </c>
      <c r="E833" s="2" t="s">
        <v>30</v>
      </c>
      <c r="F833" s="2">
        <v>57335</v>
      </c>
      <c r="G833" s="2">
        <v>1869</v>
      </c>
      <c r="H833" s="2">
        <v>5139.75</v>
      </c>
      <c r="I833" s="2">
        <v>133</v>
      </c>
      <c r="J833" s="2">
        <v>11136.73</v>
      </c>
    </row>
    <row r="834" spans="1:10" x14ac:dyDescent="0.45">
      <c r="A834" s="2" t="s">
        <v>149</v>
      </c>
      <c r="B834" s="2" t="s">
        <v>20</v>
      </c>
      <c r="C834" s="2" t="s">
        <v>38</v>
      </c>
      <c r="D834" s="2" t="s">
        <v>29</v>
      </c>
      <c r="E834" s="2" t="s">
        <v>22</v>
      </c>
      <c r="F834" s="2">
        <v>82661</v>
      </c>
      <c r="G834" s="2">
        <v>4769</v>
      </c>
      <c r="H834" s="2">
        <v>6342.77</v>
      </c>
      <c r="I834" s="2">
        <v>271</v>
      </c>
      <c r="J834" s="2">
        <v>79985.87</v>
      </c>
    </row>
    <row r="835" spans="1:10" x14ac:dyDescent="0.45">
      <c r="A835" s="2" t="s">
        <v>335</v>
      </c>
      <c r="B835" s="2" t="s">
        <v>15</v>
      </c>
      <c r="C835" s="2" t="s">
        <v>28</v>
      </c>
      <c r="D835" s="2" t="s">
        <v>17</v>
      </c>
      <c r="E835" s="2" t="s">
        <v>51</v>
      </c>
      <c r="F835" s="2">
        <v>72902</v>
      </c>
      <c r="G835" s="2">
        <v>4942</v>
      </c>
      <c r="H835" s="2">
        <v>16308.6</v>
      </c>
      <c r="I835" s="2">
        <v>323</v>
      </c>
      <c r="J835" s="2">
        <v>33499.379999999997</v>
      </c>
    </row>
    <row r="836" spans="1:10" x14ac:dyDescent="0.45">
      <c r="A836" s="2" t="s">
        <v>258</v>
      </c>
      <c r="B836" s="2" t="s">
        <v>35</v>
      </c>
      <c r="C836" s="2" t="s">
        <v>16</v>
      </c>
      <c r="D836" s="2" t="s">
        <v>41</v>
      </c>
      <c r="E836" s="2" t="s">
        <v>22</v>
      </c>
      <c r="F836" s="2">
        <v>63528</v>
      </c>
      <c r="G836" s="2">
        <v>711</v>
      </c>
      <c r="H836" s="2">
        <v>1059.3900000000001</v>
      </c>
      <c r="I836" s="2">
        <v>23</v>
      </c>
      <c r="J836" s="2">
        <v>4567.68</v>
      </c>
    </row>
    <row r="837" spans="1:10" x14ac:dyDescent="0.45">
      <c r="A837" s="2" t="s">
        <v>360</v>
      </c>
      <c r="B837" s="2" t="s">
        <v>20</v>
      </c>
      <c r="C837" s="2" t="s">
        <v>28</v>
      </c>
      <c r="D837" s="2" t="s">
        <v>17</v>
      </c>
      <c r="E837" s="2" t="s">
        <v>26</v>
      </c>
      <c r="F837" s="2">
        <v>169238</v>
      </c>
      <c r="G837" s="2">
        <v>6583</v>
      </c>
      <c r="H837" s="2">
        <v>3488.99</v>
      </c>
      <c r="I837" s="2">
        <v>507</v>
      </c>
      <c r="J837" s="2">
        <v>146453.92000000001</v>
      </c>
    </row>
    <row r="838" spans="1:10" x14ac:dyDescent="0.45">
      <c r="A838" s="2" t="s">
        <v>165</v>
      </c>
      <c r="B838" s="2" t="s">
        <v>35</v>
      </c>
      <c r="C838" s="2" t="s">
        <v>38</v>
      </c>
      <c r="D838" s="2" t="s">
        <v>29</v>
      </c>
      <c r="E838" s="2" t="s">
        <v>33</v>
      </c>
      <c r="F838" s="2">
        <v>14815</v>
      </c>
      <c r="G838" s="2">
        <v>189</v>
      </c>
      <c r="H838" s="2">
        <v>103.95</v>
      </c>
      <c r="I838" s="2">
        <v>3</v>
      </c>
      <c r="J838" s="2">
        <v>142.69</v>
      </c>
    </row>
    <row r="839" spans="1:10" x14ac:dyDescent="0.45">
      <c r="A839" s="2" t="s">
        <v>309</v>
      </c>
      <c r="B839" s="2" t="s">
        <v>20</v>
      </c>
      <c r="C839" s="2" t="s">
        <v>16</v>
      </c>
      <c r="D839" s="2" t="s">
        <v>25</v>
      </c>
      <c r="E839" s="2" t="s">
        <v>30</v>
      </c>
      <c r="F839" s="2">
        <v>47278</v>
      </c>
      <c r="G839" s="2">
        <v>2803</v>
      </c>
      <c r="H839" s="2">
        <v>4737.07</v>
      </c>
      <c r="I839" s="2">
        <v>201</v>
      </c>
      <c r="J839" s="2">
        <v>39448.18</v>
      </c>
    </row>
    <row r="840" spans="1:10" x14ac:dyDescent="0.45">
      <c r="A840" s="2" t="s">
        <v>136</v>
      </c>
      <c r="B840" s="2" t="s">
        <v>15</v>
      </c>
      <c r="C840" s="2" t="s">
        <v>24</v>
      </c>
      <c r="D840" s="2" t="s">
        <v>17</v>
      </c>
      <c r="E840" s="2" t="s">
        <v>18</v>
      </c>
      <c r="F840" s="2">
        <v>15046</v>
      </c>
      <c r="G840" s="2">
        <v>400</v>
      </c>
      <c r="H840" s="2">
        <v>472</v>
      </c>
      <c r="I840" s="2">
        <v>4</v>
      </c>
      <c r="J840" s="2">
        <v>142.71</v>
      </c>
    </row>
    <row r="841" spans="1:10" x14ac:dyDescent="0.45">
      <c r="A841" s="2" t="s">
        <v>279</v>
      </c>
      <c r="B841" s="2" t="s">
        <v>35</v>
      </c>
      <c r="C841" s="2" t="s">
        <v>28</v>
      </c>
      <c r="D841" s="2" t="s">
        <v>29</v>
      </c>
      <c r="E841" s="2" t="s">
        <v>33</v>
      </c>
      <c r="F841" s="2">
        <v>58968</v>
      </c>
      <c r="G841" s="2">
        <v>1715</v>
      </c>
      <c r="H841" s="2">
        <v>2555.35</v>
      </c>
      <c r="I841" s="2">
        <v>127</v>
      </c>
      <c r="J841" s="2">
        <v>13332.87</v>
      </c>
    </row>
    <row r="842" spans="1:10" x14ac:dyDescent="0.45">
      <c r="A842" s="2" t="s">
        <v>361</v>
      </c>
      <c r="B842" s="2" t="s">
        <v>15</v>
      </c>
      <c r="C842" s="2" t="s">
        <v>16</v>
      </c>
      <c r="D842" s="2" t="s">
        <v>25</v>
      </c>
      <c r="E842" s="2" t="s">
        <v>51</v>
      </c>
      <c r="F842" s="2">
        <v>13083</v>
      </c>
      <c r="G842" s="2">
        <v>707</v>
      </c>
      <c r="H842" s="2">
        <v>1682.66</v>
      </c>
      <c r="I842" s="2">
        <v>41</v>
      </c>
      <c r="J842" s="2">
        <v>10442.74</v>
      </c>
    </row>
    <row r="843" spans="1:10" x14ac:dyDescent="0.45">
      <c r="A843" s="2" t="s">
        <v>354</v>
      </c>
      <c r="B843" s="2" t="s">
        <v>20</v>
      </c>
      <c r="C843" s="2" t="s">
        <v>16</v>
      </c>
      <c r="D843" s="2" t="s">
        <v>29</v>
      </c>
      <c r="E843" s="2" t="s">
        <v>30</v>
      </c>
      <c r="F843" s="2">
        <v>109222</v>
      </c>
      <c r="G843" s="2">
        <v>7306</v>
      </c>
      <c r="H843" s="2">
        <v>7963.54</v>
      </c>
      <c r="I843" s="2">
        <v>124</v>
      </c>
      <c r="J843" s="2">
        <v>12349.14</v>
      </c>
    </row>
    <row r="844" spans="1:10" x14ac:dyDescent="0.45">
      <c r="A844" s="2" t="s">
        <v>109</v>
      </c>
      <c r="B844" s="2" t="s">
        <v>20</v>
      </c>
      <c r="C844" s="2" t="s">
        <v>16</v>
      </c>
      <c r="D844" s="2" t="s">
        <v>29</v>
      </c>
      <c r="E844" s="2" t="s">
        <v>22</v>
      </c>
      <c r="F844" s="2">
        <v>45382</v>
      </c>
      <c r="G844" s="2">
        <v>2246</v>
      </c>
      <c r="H844" s="2">
        <v>3571.14</v>
      </c>
      <c r="I844" s="2">
        <v>46</v>
      </c>
      <c r="J844" s="2">
        <v>2662.9</v>
      </c>
    </row>
    <row r="845" spans="1:10" x14ac:dyDescent="0.45">
      <c r="A845" s="2" t="s">
        <v>151</v>
      </c>
      <c r="B845" s="2" t="s">
        <v>35</v>
      </c>
      <c r="C845" s="2" t="s">
        <v>38</v>
      </c>
      <c r="D845" s="2" t="s">
        <v>25</v>
      </c>
      <c r="E845" s="2" t="s">
        <v>18</v>
      </c>
      <c r="F845" s="2">
        <v>196432</v>
      </c>
      <c r="G845" s="2">
        <v>6501</v>
      </c>
      <c r="H845" s="2">
        <v>2600.4</v>
      </c>
      <c r="I845" s="2">
        <v>462</v>
      </c>
      <c r="J845" s="2">
        <v>52195.74</v>
      </c>
    </row>
    <row r="846" spans="1:10" x14ac:dyDescent="0.45">
      <c r="A846" s="2" t="s">
        <v>302</v>
      </c>
      <c r="B846" s="2" t="s">
        <v>20</v>
      </c>
      <c r="C846" s="2" t="s">
        <v>16</v>
      </c>
      <c r="D846" s="2" t="s">
        <v>21</v>
      </c>
      <c r="E846" s="2" t="s">
        <v>51</v>
      </c>
      <c r="F846" s="2">
        <v>71470</v>
      </c>
      <c r="G846" s="2">
        <v>2065</v>
      </c>
      <c r="H846" s="2">
        <v>2436.6999999999998</v>
      </c>
      <c r="I846" s="2">
        <v>37</v>
      </c>
      <c r="J846" s="2">
        <v>10377.15</v>
      </c>
    </row>
    <row r="847" spans="1:10" x14ac:dyDescent="0.45">
      <c r="A847" s="2" t="s">
        <v>326</v>
      </c>
      <c r="B847" s="2" t="s">
        <v>20</v>
      </c>
      <c r="C847" s="2" t="s">
        <v>38</v>
      </c>
      <c r="D847" s="2" t="s">
        <v>29</v>
      </c>
      <c r="E847" s="2" t="s">
        <v>26</v>
      </c>
      <c r="F847" s="2">
        <v>103026</v>
      </c>
      <c r="G847" s="2">
        <v>9066</v>
      </c>
      <c r="H847" s="2">
        <v>12964.38</v>
      </c>
      <c r="I847" s="2">
        <v>278</v>
      </c>
      <c r="J847" s="2">
        <v>46631</v>
      </c>
    </row>
    <row r="848" spans="1:10" x14ac:dyDescent="0.45">
      <c r="A848" s="2" t="s">
        <v>362</v>
      </c>
      <c r="B848" s="2" t="s">
        <v>35</v>
      </c>
      <c r="C848" s="2" t="s">
        <v>38</v>
      </c>
      <c r="D848" s="2" t="s">
        <v>17</v>
      </c>
      <c r="E848" s="2" t="s">
        <v>51</v>
      </c>
      <c r="F848" s="2">
        <v>140793</v>
      </c>
      <c r="G848" s="2">
        <v>2886</v>
      </c>
      <c r="H848" s="2">
        <v>4386.72</v>
      </c>
      <c r="I848" s="2">
        <v>141</v>
      </c>
      <c r="J848" s="2">
        <v>12104.44</v>
      </c>
    </row>
    <row r="849" spans="1:10" x14ac:dyDescent="0.45">
      <c r="A849" s="2" t="s">
        <v>188</v>
      </c>
      <c r="B849" s="2" t="s">
        <v>35</v>
      </c>
      <c r="C849" s="2" t="s">
        <v>16</v>
      </c>
      <c r="D849" s="2" t="s">
        <v>17</v>
      </c>
      <c r="E849" s="2" t="s">
        <v>33</v>
      </c>
      <c r="F849" s="2">
        <v>8970</v>
      </c>
      <c r="G849" s="2">
        <v>306</v>
      </c>
      <c r="H849" s="2">
        <v>183.6</v>
      </c>
      <c r="I849" s="2">
        <v>22</v>
      </c>
      <c r="J849" s="2">
        <v>4976.05</v>
      </c>
    </row>
    <row r="850" spans="1:10" x14ac:dyDescent="0.45">
      <c r="A850" s="2" t="s">
        <v>360</v>
      </c>
      <c r="B850" s="2" t="s">
        <v>35</v>
      </c>
      <c r="C850" s="2" t="s">
        <v>38</v>
      </c>
      <c r="D850" s="2" t="s">
        <v>17</v>
      </c>
      <c r="E850" s="2" t="s">
        <v>30</v>
      </c>
      <c r="F850" s="2">
        <v>177825</v>
      </c>
      <c r="G850" s="2">
        <v>4285</v>
      </c>
      <c r="H850" s="2">
        <v>3342.3</v>
      </c>
      <c r="I850" s="2">
        <v>163</v>
      </c>
      <c r="J850" s="2">
        <v>29602.7</v>
      </c>
    </row>
    <row r="851" spans="1:10" x14ac:dyDescent="0.45">
      <c r="A851" s="2" t="s">
        <v>129</v>
      </c>
      <c r="B851" s="2" t="s">
        <v>35</v>
      </c>
      <c r="C851" s="2" t="s">
        <v>38</v>
      </c>
      <c r="D851" s="2" t="s">
        <v>29</v>
      </c>
      <c r="E851" s="2" t="s">
        <v>18</v>
      </c>
      <c r="F851" s="2">
        <v>122512</v>
      </c>
      <c r="G851" s="2">
        <v>4532</v>
      </c>
      <c r="H851" s="2">
        <v>8338.8799999999992</v>
      </c>
      <c r="I851" s="2">
        <v>61</v>
      </c>
      <c r="J851" s="2">
        <v>5305.8</v>
      </c>
    </row>
    <row r="852" spans="1:10" x14ac:dyDescent="0.45">
      <c r="A852" s="2" t="s">
        <v>110</v>
      </c>
      <c r="B852" s="2" t="s">
        <v>15</v>
      </c>
      <c r="C852" s="2" t="s">
        <v>16</v>
      </c>
      <c r="D852" s="2" t="s">
        <v>21</v>
      </c>
      <c r="E852" s="2" t="s">
        <v>33</v>
      </c>
      <c r="F852" s="2">
        <v>107548</v>
      </c>
      <c r="G852" s="2">
        <v>4258</v>
      </c>
      <c r="H852" s="2">
        <v>13625.6</v>
      </c>
      <c r="I852" s="2">
        <v>145</v>
      </c>
      <c r="J852" s="2">
        <v>17656.919999999998</v>
      </c>
    </row>
    <row r="853" spans="1:10" x14ac:dyDescent="0.45">
      <c r="A853" s="2" t="s">
        <v>241</v>
      </c>
      <c r="B853" s="2" t="s">
        <v>20</v>
      </c>
      <c r="C853" s="2" t="s">
        <v>38</v>
      </c>
      <c r="D853" s="2" t="s">
        <v>25</v>
      </c>
      <c r="E853" s="2" t="s">
        <v>22</v>
      </c>
      <c r="F853" s="2">
        <v>89224</v>
      </c>
      <c r="G853" s="2">
        <v>5255</v>
      </c>
      <c r="H853" s="2">
        <v>10457.450000000001</v>
      </c>
      <c r="I853" s="2">
        <v>336</v>
      </c>
      <c r="J853" s="2">
        <v>94667.83</v>
      </c>
    </row>
    <row r="854" spans="1:10" x14ac:dyDescent="0.45">
      <c r="A854" s="2" t="s">
        <v>178</v>
      </c>
      <c r="B854" s="2" t="s">
        <v>35</v>
      </c>
      <c r="C854" s="2" t="s">
        <v>38</v>
      </c>
      <c r="D854" s="2" t="s">
        <v>41</v>
      </c>
      <c r="E854" s="2" t="s">
        <v>22</v>
      </c>
      <c r="F854" s="2">
        <v>100561</v>
      </c>
      <c r="G854" s="2">
        <v>3781</v>
      </c>
      <c r="H854" s="2">
        <v>5255.59</v>
      </c>
      <c r="I854" s="2">
        <v>124</v>
      </c>
      <c r="J854" s="2">
        <v>34626.86</v>
      </c>
    </row>
    <row r="855" spans="1:10" x14ac:dyDescent="0.45">
      <c r="A855" s="2" t="s">
        <v>246</v>
      </c>
      <c r="B855" s="2" t="s">
        <v>15</v>
      </c>
      <c r="C855" s="2" t="s">
        <v>16</v>
      </c>
      <c r="D855" s="2" t="s">
        <v>17</v>
      </c>
      <c r="E855" s="2" t="s">
        <v>18</v>
      </c>
      <c r="F855" s="2">
        <v>50111</v>
      </c>
      <c r="G855" s="2">
        <v>2320</v>
      </c>
      <c r="H855" s="2">
        <v>6333.6</v>
      </c>
      <c r="I855" s="2">
        <v>153</v>
      </c>
      <c r="J855" s="2">
        <v>30016.66</v>
      </c>
    </row>
    <row r="856" spans="1:10" x14ac:dyDescent="0.45">
      <c r="A856" s="2" t="s">
        <v>160</v>
      </c>
      <c r="B856" s="2" t="s">
        <v>15</v>
      </c>
      <c r="C856" s="2" t="s">
        <v>38</v>
      </c>
      <c r="D856" s="2" t="s">
        <v>29</v>
      </c>
      <c r="E856" s="2" t="s">
        <v>30</v>
      </c>
      <c r="F856" s="2">
        <v>65985</v>
      </c>
      <c r="G856" s="2">
        <v>1445</v>
      </c>
      <c r="H856" s="2">
        <v>1184.9000000000001</v>
      </c>
      <c r="I856" s="2">
        <v>63</v>
      </c>
      <c r="J856" s="2">
        <v>4237.8500000000004</v>
      </c>
    </row>
    <row r="857" spans="1:10" x14ac:dyDescent="0.45">
      <c r="A857" s="2" t="s">
        <v>118</v>
      </c>
      <c r="B857" s="2" t="s">
        <v>35</v>
      </c>
      <c r="C857" s="2" t="s">
        <v>24</v>
      </c>
      <c r="D857" s="2" t="s">
        <v>41</v>
      </c>
      <c r="E857" s="2" t="s">
        <v>30</v>
      </c>
      <c r="F857" s="2">
        <v>93257</v>
      </c>
      <c r="G857" s="2">
        <v>1930</v>
      </c>
      <c r="H857" s="2">
        <v>2547.6</v>
      </c>
      <c r="I857" s="2">
        <v>102</v>
      </c>
      <c r="J857" s="2">
        <v>26767.95</v>
      </c>
    </row>
    <row r="858" spans="1:10" x14ac:dyDescent="0.45">
      <c r="A858" s="2" t="s">
        <v>145</v>
      </c>
      <c r="B858" s="2" t="s">
        <v>20</v>
      </c>
      <c r="C858" s="2" t="s">
        <v>16</v>
      </c>
      <c r="D858" s="2" t="s">
        <v>29</v>
      </c>
      <c r="E858" s="2" t="s">
        <v>51</v>
      </c>
      <c r="F858" s="2">
        <v>102847</v>
      </c>
      <c r="G858" s="2">
        <v>6458</v>
      </c>
      <c r="H858" s="2">
        <v>7555.86</v>
      </c>
      <c r="I858" s="2">
        <v>314</v>
      </c>
      <c r="J858" s="2">
        <v>81199.399999999994</v>
      </c>
    </row>
    <row r="859" spans="1:10" x14ac:dyDescent="0.45">
      <c r="A859" s="2" t="s">
        <v>139</v>
      </c>
      <c r="B859" s="2" t="s">
        <v>35</v>
      </c>
      <c r="C859" s="2" t="s">
        <v>16</v>
      </c>
      <c r="D859" s="2" t="s">
        <v>29</v>
      </c>
      <c r="E859" s="2" t="s">
        <v>18</v>
      </c>
      <c r="F859" s="2">
        <v>161738</v>
      </c>
      <c r="G859" s="2">
        <v>5046</v>
      </c>
      <c r="H859" s="2">
        <v>8376.36</v>
      </c>
      <c r="I859" s="2">
        <v>258</v>
      </c>
      <c r="J859" s="2">
        <v>29417.67</v>
      </c>
    </row>
    <row r="860" spans="1:10" x14ac:dyDescent="0.45">
      <c r="A860" s="2" t="s">
        <v>272</v>
      </c>
      <c r="B860" s="2" t="s">
        <v>35</v>
      </c>
      <c r="C860" s="2" t="s">
        <v>28</v>
      </c>
      <c r="D860" s="2" t="s">
        <v>25</v>
      </c>
      <c r="E860" s="2" t="s">
        <v>54</v>
      </c>
      <c r="F860" s="2">
        <v>46516</v>
      </c>
      <c r="G860" s="2">
        <v>772</v>
      </c>
      <c r="H860" s="2">
        <v>455.48</v>
      </c>
      <c r="I860" s="2">
        <v>39</v>
      </c>
      <c r="J860" s="2">
        <v>4874.74</v>
      </c>
    </row>
    <row r="861" spans="1:10" x14ac:dyDescent="0.45">
      <c r="A861" s="2" t="s">
        <v>176</v>
      </c>
      <c r="B861" s="2" t="s">
        <v>15</v>
      </c>
      <c r="C861" s="2" t="s">
        <v>24</v>
      </c>
      <c r="D861" s="2" t="s">
        <v>29</v>
      </c>
      <c r="E861" s="2" t="s">
        <v>33</v>
      </c>
      <c r="F861" s="2">
        <v>7802</v>
      </c>
      <c r="G861" s="2">
        <v>340</v>
      </c>
      <c r="H861" s="2">
        <v>805.8</v>
      </c>
      <c r="I861" s="2">
        <v>14</v>
      </c>
      <c r="J861" s="2">
        <v>799.08</v>
      </c>
    </row>
    <row r="862" spans="1:10" x14ac:dyDescent="0.45">
      <c r="A862" s="2" t="s">
        <v>342</v>
      </c>
      <c r="B862" s="2" t="s">
        <v>15</v>
      </c>
      <c r="C862" s="2" t="s">
        <v>16</v>
      </c>
      <c r="D862" s="2" t="s">
        <v>21</v>
      </c>
      <c r="E862" s="2" t="s">
        <v>26</v>
      </c>
      <c r="F862" s="2">
        <v>15960</v>
      </c>
      <c r="G862" s="2">
        <v>750</v>
      </c>
      <c r="H862" s="2">
        <v>1290</v>
      </c>
      <c r="I862" s="2">
        <v>40</v>
      </c>
      <c r="J862" s="2">
        <v>6919.55</v>
      </c>
    </row>
    <row r="863" spans="1:10" x14ac:dyDescent="0.45">
      <c r="A863" s="2" t="s">
        <v>247</v>
      </c>
      <c r="B863" s="2" t="s">
        <v>20</v>
      </c>
      <c r="C863" s="2" t="s">
        <v>28</v>
      </c>
      <c r="D863" s="2" t="s">
        <v>29</v>
      </c>
      <c r="E863" s="2" t="s">
        <v>54</v>
      </c>
      <c r="F863" s="2">
        <v>55701</v>
      </c>
      <c r="G863" s="2">
        <v>4138</v>
      </c>
      <c r="H863" s="2">
        <v>1406.92</v>
      </c>
      <c r="I863" s="2">
        <v>229</v>
      </c>
      <c r="J863" s="2">
        <v>20016.59</v>
      </c>
    </row>
    <row r="864" spans="1:10" x14ac:dyDescent="0.45">
      <c r="A864" s="2" t="s">
        <v>85</v>
      </c>
      <c r="B864" s="2" t="s">
        <v>15</v>
      </c>
      <c r="C864" s="2" t="s">
        <v>38</v>
      </c>
      <c r="D864" s="2" t="s">
        <v>41</v>
      </c>
      <c r="E864" s="2" t="s">
        <v>51</v>
      </c>
      <c r="F864" s="2">
        <v>64757</v>
      </c>
      <c r="G864" s="2">
        <v>3976</v>
      </c>
      <c r="H864" s="2">
        <v>5685.68</v>
      </c>
      <c r="I864" s="2">
        <v>58</v>
      </c>
      <c r="J864" s="2">
        <v>4380.33</v>
      </c>
    </row>
    <row r="865" spans="1:10" x14ac:dyDescent="0.45">
      <c r="A865" s="2" t="s">
        <v>109</v>
      </c>
      <c r="B865" s="2" t="s">
        <v>20</v>
      </c>
      <c r="C865" s="2" t="s">
        <v>16</v>
      </c>
      <c r="D865" s="2" t="s">
        <v>29</v>
      </c>
      <c r="E865" s="2" t="s">
        <v>22</v>
      </c>
      <c r="F865" s="2">
        <v>199291</v>
      </c>
      <c r="G865" s="2">
        <v>16660</v>
      </c>
      <c r="H865" s="2">
        <v>19325.599999999999</v>
      </c>
      <c r="I865" s="2">
        <v>1016</v>
      </c>
      <c r="J865" s="2">
        <v>207611.26</v>
      </c>
    </row>
    <row r="866" spans="1:10" x14ac:dyDescent="0.45">
      <c r="A866" s="2" t="s">
        <v>107</v>
      </c>
      <c r="B866" s="2" t="s">
        <v>20</v>
      </c>
      <c r="C866" s="2" t="s">
        <v>28</v>
      </c>
      <c r="D866" s="2" t="s">
        <v>21</v>
      </c>
      <c r="E866" s="2" t="s">
        <v>22</v>
      </c>
      <c r="F866" s="2">
        <v>116800</v>
      </c>
      <c r="G866" s="2">
        <v>8351</v>
      </c>
      <c r="H866" s="2">
        <v>5845.7</v>
      </c>
      <c r="I866" s="2">
        <v>493</v>
      </c>
      <c r="J866" s="2">
        <v>80828.759999999995</v>
      </c>
    </row>
    <row r="867" spans="1:10" x14ac:dyDescent="0.45">
      <c r="A867" s="2" t="s">
        <v>359</v>
      </c>
      <c r="B867" s="2" t="s">
        <v>35</v>
      </c>
      <c r="C867" s="2" t="s">
        <v>28</v>
      </c>
      <c r="D867" s="2" t="s">
        <v>25</v>
      </c>
      <c r="E867" s="2" t="s">
        <v>33</v>
      </c>
      <c r="F867" s="2">
        <v>88470</v>
      </c>
      <c r="G867" s="2">
        <v>2459</v>
      </c>
      <c r="H867" s="2">
        <v>2434.41</v>
      </c>
      <c r="I867" s="2">
        <v>165</v>
      </c>
      <c r="J867" s="2">
        <v>44145</v>
      </c>
    </row>
    <row r="868" spans="1:10" x14ac:dyDescent="0.45">
      <c r="A868" s="2" t="s">
        <v>73</v>
      </c>
      <c r="B868" s="2" t="s">
        <v>20</v>
      </c>
      <c r="C868" s="2" t="s">
        <v>38</v>
      </c>
      <c r="D868" s="2" t="s">
        <v>25</v>
      </c>
      <c r="E868" s="2" t="s">
        <v>54</v>
      </c>
      <c r="F868" s="2">
        <v>186782</v>
      </c>
      <c r="G868" s="2">
        <v>14270</v>
      </c>
      <c r="H868" s="2">
        <v>15411.6</v>
      </c>
      <c r="I868" s="2">
        <v>931</v>
      </c>
      <c r="J868" s="2">
        <v>224929.42</v>
      </c>
    </row>
    <row r="869" spans="1:10" x14ac:dyDescent="0.45">
      <c r="A869" s="2" t="s">
        <v>295</v>
      </c>
      <c r="B869" s="2" t="s">
        <v>15</v>
      </c>
      <c r="C869" s="2" t="s">
        <v>38</v>
      </c>
      <c r="D869" s="2" t="s">
        <v>25</v>
      </c>
      <c r="E869" s="2" t="s">
        <v>18</v>
      </c>
      <c r="F869" s="2">
        <v>121832</v>
      </c>
      <c r="G869" s="2">
        <v>6786</v>
      </c>
      <c r="H869" s="2">
        <v>8007.48</v>
      </c>
      <c r="I869" s="2">
        <v>139</v>
      </c>
      <c r="J869" s="2">
        <v>28929.72</v>
      </c>
    </row>
    <row r="870" spans="1:10" x14ac:dyDescent="0.45">
      <c r="A870" s="2" t="s">
        <v>42</v>
      </c>
      <c r="B870" s="2" t="s">
        <v>15</v>
      </c>
      <c r="C870" s="2" t="s">
        <v>24</v>
      </c>
      <c r="D870" s="2" t="s">
        <v>41</v>
      </c>
      <c r="E870" s="2" t="s">
        <v>26</v>
      </c>
      <c r="F870" s="2">
        <v>88514</v>
      </c>
      <c r="G870" s="2">
        <v>1610</v>
      </c>
      <c r="H870" s="2">
        <v>1384.6</v>
      </c>
      <c r="I870" s="2">
        <v>77</v>
      </c>
      <c r="J870" s="2">
        <v>22165.040000000001</v>
      </c>
    </row>
    <row r="871" spans="1:10" x14ac:dyDescent="0.45">
      <c r="A871" s="2" t="s">
        <v>68</v>
      </c>
      <c r="B871" s="2" t="s">
        <v>35</v>
      </c>
      <c r="C871" s="2" t="s">
        <v>38</v>
      </c>
      <c r="D871" s="2" t="s">
        <v>17</v>
      </c>
      <c r="E871" s="2" t="s">
        <v>51</v>
      </c>
      <c r="F871" s="2">
        <v>125424</v>
      </c>
      <c r="G871" s="2">
        <v>3787</v>
      </c>
      <c r="H871" s="2">
        <v>1817.76</v>
      </c>
      <c r="I871" s="2">
        <v>253</v>
      </c>
      <c r="J871" s="2">
        <v>36320.54</v>
      </c>
    </row>
    <row r="872" spans="1:10" x14ac:dyDescent="0.45">
      <c r="A872" s="2" t="s">
        <v>165</v>
      </c>
      <c r="B872" s="2" t="s">
        <v>20</v>
      </c>
      <c r="C872" s="2" t="s">
        <v>24</v>
      </c>
      <c r="D872" s="2" t="s">
        <v>25</v>
      </c>
      <c r="E872" s="2" t="s">
        <v>18</v>
      </c>
      <c r="F872" s="2">
        <v>23883</v>
      </c>
      <c r="G872" s="2">
        <v>1332</v>
      </c>
      <c r="H872" s="2">
        <v>2077.92</v>
      </c>
      <c r="I872" s="2">
        <v>66</v>
      </c>
      <c r="J872" s="2">
        <v>10903.46</v>
      </c>
    </row>
    <row r="873" spans="1:10" x14ac:dyDescent="0.45">
      <c r="A873" s="2" t="s">
        <v>363</v>
      </c>
      <c r="B873" s="2" t="s">
        <v>35</v>
      </c>
      <c r="C873" s="2" t="s">
        <v>28</v>
      </c>
      <c r="D873" s="2" t="s">
        <v>41</v>
      </c>
      <c r="E873" s="2" t="s">
        <v>30</v>
      </c>
      <c r="F873" s="2">
        <v>49864</v>
      </c>
      <c r="G873" s="2">
        <v>2074</v>
      </c>
      <c r="H873" s="2">
        <v>3629.5</v>
      </c>
      <c r="I873" s="2">
        <v>73</v>
      </c>
      <c r="J873" s="2">
        <v>14018.44</v>
      </c>
    </row>
    <row r="874" spans="1:10" x14ac:dyDescent="0.45">
      <c r="A874" s="2" t="s">
        <v>200</v>
      </c>
      <c r="B874" s="2" t="s">
        <v>15</v>
      </c>
      <c r="C874" s="2" t="s">
        <v>24</v>
      </c>
      <c r="D874" s="2" t="s">
        <v>29</v>
      </c>
      <c r="E874" s="2" t="s">
        <v>18</v>
      </c>
      <c r="F874" s="2">
        <v>190890</v>
      </c>
      <c r="G874" s="2">
        <v>7616</v>
      </c>
      <c r="H874" s="2">
        <v>8834.56</v>
      </c>
      <c r="I874" s="2">
        <v>141</v>
      </c>
      <c r="J874" s="2">
        <v>25751.07</v>
      </c>
    </row>
    <row r="875" spans="1:10" x14ac:dyDescent="0.45">
      <c r="A875" s="2" t="s">
        <v>176</v>
      </c>
      <c r="B875" s="2" t="s">
        <v>15</v>
      </c>
      <c r="C875" s="2" t="s">
        <v>38</v>
      </c>
      <c r="D875" s="2" t="s">
        <v>21</v>
      </c>
      <c r="E875" s="2" t="s">
        <v>22</v>
      </c>
      <c r="F875" s="2">
        <v>146295</v>
      </c>
      <c r="G875" s="2">
        <v>3394</v>
      </c>
      <c r="H875" s="2">
        <v>11573.54</v>
      </c>
      <c r="I875" s="2">
        <v>195</v>
      </c>
      <c r="J875" s="2">
        <v>49666.69</v>
      </c>
    </row>
    <row r="876" spans="1:10" x14ac:dyDescent="0.45">
      <c r="A876" s="2" t="s">
        <v>101</v>
      </c>
      <c r="B876" s="2" t="s">
        <v>35</v>
      </c>
      <c r="C876" s="2" t="s">
        <v>16</v>
      </c>
      <c r="D876" s="2" t="s">
        <v>29</v>
      </c>
      <c r="E876" s="2" t="s">
        <v>51</v>
      </c>
      <c r="F876" s="2">
        <v>29343</v>
      </c>
      <c r="G876" s="2">
        <v>346</v>
      </c>
      <c r="H876" s="2">
        <v>695.46</v>
      </c>
      <c r="I876" s="2">
        <v>7</v>
      </c>
      <c r="J876" s="2">
        <v>672.01</v>
      </c>
    </row>
    <row r="877" spans="1:10" x14ac:dyDescent="0.45">
      <c r="A877" s="2" t="s">
        <v>169</v>
      </c>
      <c r="B877" s="2" t="s">
        <v>20</v>
      </c>
      <c r="C877" s="2" t="s">
        <v>38</v>
      </c>
      <c r="D877" s="2" t="s">
        <v>21</v>
      </c>
      <c r="E877" s="2" t="s">
        <v>54</v>
      </c>
      <c r="F877" s="2">
        <v>154712</v>
      </c>
      <c r="G877" s="2">
        <v>10288</v>
      </c>
      <c r="H877" s="2">
        <v>11111.04</v>
      </c>
      <c r="I877" s="2">
        <v>439</v>
      </c>
      <c r="J877" s="2">
        <v>80440.02</v>
      </c>
    </row>
    <row r="878" spans="1:10" x14ac:dyDescent="0.45">
      <c r="A878" s="2" t="s">
        <v>257</v>
      </c>
      <c r="B878" s="2" t="s">
        <v>20</v>
      </c>
      <c r="C878" s="2" t="s">
        <v>24</v>
      </c>
      <c r="D878" s="2" t="s">
        <v>21</v>
      </c>
      <c r="E878" s="2" t="s">
        <v>30</v>
      </c>
      <c r="F878" s="2">
        <v>60438</v>
      </c>
      <c r="G878" s="2">
        <v>5554</v>
      </c>
      <c r="H878" s="2">
        <v>7997.76</v>
      </c>
      <c r="I878" s="2">
        <v>286</v>
      </c>
      <c r="J878" s="2">
        <v>35506.6</v>
      </c>
    </row>
    <row r="879" spans="1:10" x14ac:dyDescent="0.45">
      <c r="A879" s="2" t="s">
        <v>364</v>
      </c>
      <c r="B879" s="2" t="s">
        <v>15</v>
      </c>
      <c r="C879" s="2" t="s">
        <v>28</v>
      </c>
      <c r="D879" s="2" t="s">
        <v>21</v>
      </c>
      <c r="E879" s="2" t="s">
        <v>54</v>
      </c>
      <c r="F879" s="2">
        <v>18149</v>
      </c>
      <c r="G879" s="2">
        <v>918</v>
      </c>
      <c r="H879" s="2">
        <v>1487.16</v>
      </c>
      <c r="I879" s="2">
        <v>14</v>
      </c>
      <c r="J879" s="2">
        <v>3557.93</v>
      </c>
    </row>
    <row r="880" spans="1:10" x14ac:dyDescent="0.45">
      <c r="A880" s="2" t="s">
        <v>233</v>
      </c>
      <c r="B880" s="2" t="s">
        <v>20</v>
      </c>
      <c r="C880" s="2" t="s">
        <v>28</v>
      </c>
      <c r="D880" s="2" t="s">
        <v>29</v>
      </c>
      <c r="E880" s="2" t="s">
        <v>30</v>
      </c>
      <c r="F880" s="2">
        <v>39626</v>
      </c>
      <c r="G880" s="2">
        <v>1172</v>
      </c>
      <c r="H880" s="2">
        <v>679.76</v>
      </c>
      <c r="I880" s="2">
        <v>22</v>
      </c>
      <c r="J880" s="2">
        <v>1100.5899999999999</v>
      </c>
    </row>
    <row r="881" spans="1:10" x14ac:dyDescent="0.45">
      <c r="A881" s="2" t="s">
        <v>355</v>
      </c>
      <c r="B881" s="2" t="s">
        <v>20</v>
      </c>
      <c r="C881" s="2" t="s">
        <v>28</v>
      </c>
      <c r="D881" s="2" t="s">
        <v>41</v>
      </c>
      <c r="E881" s="2" t="s">
        <v>18</v>
      </c>
      <c r="F881" s="2">
        <v>103730</v>
      </c>
      <c r="G881" s="2">
        <v>4335</v>
      </c>
      <c r="H881" s="2">
        <v>6415.8</v>
      </c>
      <c r="I881" s="2">
        <v>104</v>
      </c>
      <c r="J881" s="2">
        <v>27379.91</v>
      </c>
    </row>
    <row r="882" spans="1:10" x14ac:dyDescent="0.45">
      <c r="A882" s="2" t="s">
        <v>365</v>
      </c>
      <c r="B882" s="2" t="s">
        <v>15</v>
      </c>
      <c r="C882" s="2" t="s">
        <v>38</v>
      </c>
      <c r="D882" s="2" t="s">
        <v>25</v>
      </c>
      <c r="E882" s="2" t="s">
        <v>26</v>
      </c>
      <c r="F882" s="2">
        <v>35346</v>
      </c>
      <c r="G882" s="2">
        <v>1279</v>
      </c>
      <c r="H882" s="2">
        <v>3248.66</v>
      </c>
      <c r="I882" s="2">
        <v>48</v>
      </c>
      <c r="J882" s="2">
        <v>1649.56</v>
      </c>
    </row>
    <row r="883" spans="1:10" x14ac:dyDescent="0.45">
      <c r="A883" s="2" t="s">
        <v>336</v>
      </c>
      <c r="B883" s="2" t="s">
        <v>35</v>
      </c>
      <c r="C883" s="2" t="s">
        <v>24</v>
      </c>
      <c r="D883" s="2" t="s">
        <v>25</v>
      </c>
      <c r="E883" s="2" t="s">
        <v>54</v>
      </c>
      <c r="F883" s="2">
        <v>57776</v>
      </c>
      <c r="G883" s="2">
        <v>1490</v>
      </c>
      <c r="H883" s="2">
        <v>1758.2</v>
      </c>
      <c r="I883" s="2">
        <v>107</v>
      </c>
      <c r="J883" s="2">
        <v>22435.51</v>
      </c>
    </row>
    <row r="884" spans="1:10" x14ac:dyDescent="0.45">
      <c r="A884" s="2" t="s">
        <v>169</v>
      </c>
      <c r="B884" s="2" t="s">
        <v>35</v>
      </c>
      <c r="C884" s="2" t="s">
        <v>28</v>
      </c>
      <c r="D884" s="2" t="s">
        <v>29</v>
      </c>
      <c r="E884" s="2" t="s">
        <v>18</v>
      </c>
      <c r="F884" s="2">
        <v>178916</v>
      </c>
      <c r="G884" s="2">
        <v>4723</v>
      </c>
      <c r="H884" s="2">
        <v>7273.42</v>
      </c>
      <c r="I884" s="2">
        <v>147</v>
      </c>
      <c r="J884" s="2">
        <v>29612.74</v>
      </c>
    </row>
    <row r="885" spans="1:10" x14ac:dyDescent="0.45">
      <c r="A885" s="2" t="s">
        <v>124</v>
      </c>
      <c r="B885" s="2" t="s">
        <v>35</v>
      </c>
      <c r="C885" s="2" t="s">
        <v>16</v>
      </c>
      <c r="D885" s="2" t="s">
        <v>17</v>
      </c>
      <c r="E885" s="2" t="s">
        <v>33</v>
      </c>
      <c r="F885" s="2">
        <v>34778</v>
      </c>
      <c r="G885" s="2">
        <v>705</v>
      </c>
      <c r="H885" s="2">
        <v>1099.8</v>
      </c>
      <c r="I885" s="2">
        <v>35</v>
      </c>
      <c r="J885" s="2">
        <v>2280.29</v>
      </c>
    </row>
    <row r="886" spans="1:10" x14ac:dyDescent="0.45">
      <c r="A886" s="2" t="s">
        <v>81</v>
      </c>
      <c r="B886" s="2" t="s">
        <v>20</v>
      </c>
      <c r="C886" s="2" t="s">
        <v>16</v>
      </c>
      <c r="D886" s="2" t="s">
        <v>17</v>
      </c>
      <c r="E886" s="2" t="s">
        <v>54</v>
      </c>
      <c r="F886" s="2">
        <v>179120</v>
      </c>
      <c r="G886" s="2">
        <v>8794</v>
      </c>
      <c r="H886" s="2">
        <v>8442.24</v>
      </c>
      <c r="I886" s="2">
        <v>646</v>
      </c>
      <c r="J886" s="2">
        <v>31918.959999999999</v>
      </c>
    </row>
    <row r="887" spans="1:10" x14ac:dyDescent="0.45">
      <c r="A887" s="2" t="s">
        <v>270</v>
      </c>
      <c r="B887" s="2" t="s">
        <v>35</v>
      </c>
      <c r="C887" s="2" t="s">
        <v>38</v>
      </c>
      <c r="D887" s="2" t="s">
        <v>17</v>
      </c>
      <c r="E887" s="2" t="s">
        <v>18</v>
      </c>
      <c r="F887" s="2">
        <v>91706</v>
      </c>
      <c r="G887" s="2">
        <v>1650</v>
      </c>
      <c r="H887" s="2">
        <v>2772</v>
      </c>
      <c r="I887" s="2">
        <v>80</v>
      </c>
      <c r="J887" s="2">
        <v>8391.32</v>
      </c>
    </row>
    <row r="888" spans="1:10" x14ac:dyDescent="0.45">
      <c r="A888" s="2" t="s">
        <v>168</v>
      </c>
      <c r="B888" s="2" t="s">
        <v>35</v>
      </c>
      <c r="C888" s="2" t="s">
        <v>38</v>
      </c>
      <c r="D888" s="2" t="s">
        <v>21</v>
      </c>
      <c r="E888" s="2" t="s">
        <v>30</v>
      </c>
      <c r="F888" s="2">
        <v>7056</v>
      </c>
      <c r="G888" s="2">
        <v>227</v>
      </c>
      <c r="H888" s="2">
        <v>186.14</v>
      </c>
      <c r="I888" s="2">
        <v>6</v>
      </c>
      <c r="J888" s="2">
        <v>1653.16</v>
      </c>
    </row>
    <row r="889" spans="1:10" x14ac:dyDescent="0.45">
      <c r="A889" s="2" t="s">
        <v>14</v>
      </c>
      <c r="B889" s="2" t="s">
        <v>35</v>
      </c>
      <c r="C889" s="2" t="s">
        <v>38</v>
      </c>
      <c r="D889" s="2" t="s">
        <v>41</v>
      </c>
      <c r="E889" s="2" t="s">
        <v>30</v>
      </c>
      <c r="F889" s="2">
        <v>161646</v>
      </c>
      <c r="G889" s="2">
        <v>5253</v>
      </c>
      <c r="H889" s="2">
        <v>5253</v>
      </c>
      <c r="I889" s="2">
        <v>228</v>
      </c>
      <c r="J889" s="2">
        <v>43732.39</v>
      </c>
    </row>
    <row r="890" spans="1:10" x14ac:dyDescent="0.45">
      <c r="A890" s="2" t="s">
        <v>36</v>
      </c>
      <c r="B890" s="2" t="s">
        <v>15</v>
      </c>
      <c r="C890" s="2" t="s">
        <v>24</v>
      </c>
      <c r="D890" s="2" t="s">
        <v>29</v>
      </c>
      <c r="E890" s="2" t="s">
        <v>33</v>
      </c>
      <c r="F890" s="2">
        <v>177115</v>
      </c>
      <c r="G890" s="2">
        <v>8005</v>
      </c>
      <c r="H890" s="2">
        <v>23214.5</v>
      </c>
      <c r="I890" s="2">
        <v>460</v>
      </c>
      <c r="J890" s="2">
        <v>108688.43</v>
      </c>
    </row>
    <row r="891" spans="1:10" x14ac:dyDescent="0.45">
      <c r="A891" s="2" t="s">
        <v>202</v>
      </c>
      <c r="B891" s="2" t="s">
        <v>20</v>
      </c>
      <c r="C891" s="2" t="s">
        <v>16</v>
      </c>
      <c r="D891" s="2" t="s">
        <v>25</v>
      </c>
      <c r="E891" s="2" t="s">
        <v>54</v>
      </c>
      <c r="F891" s="2">
        <v>141087</v>
      </c>
      <c r="G891" s="2">
        <v>10609</v>
      </c>
      <c r="H891" s="2">
        <v>4667.96</v>
      </c>
      <c r="I891" s="2">
        <v>737</v>
      </c>
      <c r="J891" s="2">
        <v>190244.62</v>
      </c>
    </row>
    <row r="892" spans="1:10" x14ac:dyDescent="0.45">
      <c r="A892" s="2" t="s">
        <v>249</v>
      </c>
      <c r="B892" s="2" t="s">
        <v>20</v>
      </c>
      <c r="C892" s="2" t="s">
        <v>24</v>
      </c>
      <c r="D892" s="2" t="s">
        <v>29</v>
      </c>
      <c r="E892" s="2" t="s">
        <v>54</v>
      </c>
      <c r="F892" s="2">
        <v>184745</v>
      </c>
      <c r="G892" s="2">
        <v>12451</v>
      </c>
      <c r="H892" s="2">
        <v>20793.169999999998</v>
      </c>
      <c r="I892" s="2">
        <v>404</v>
      </c>
      <c r="J892" s="2">
        <v>23357.33</v>
      </c>
    </row>
    <row r="893" spans="1:10" x14ac:dyDescent="0.45">
      <c r="A893" s="2" t="s">
        <v>132</v>
      </c>
      <c r="B893" s="2" t="s">
        <v>15</v>
      </c>
      <c r="C893" s="2" t="s">
        <v>28</v>
      </c>
      <c r="D893" s="2" t="s">
        <v>41</v>
      </c>
      <c r="E893" s="2" t="s">
        <v>18</v>
      </c>
      <c r="F893" s="2">
        <v>104969</v>
      </c>
      <c r="G893" s="2">
        <v>5773</v>
      </c>
      <c r="H893" s="2">
        <v>8197.66</v>
      </c>
      <c r="I893" s="2">
        <v>142</v>
      </c>
      <c r="J893" s="2">
        <v>24245.52</v>
      </c>
    </row>
    <row r="894" spans="1:10" x14ac:dyDescent="0.45">
      <c r="A894" s="2" t="s">
        <v>206</v>
      </c>
      <c r="B894" s="2" t="s">
        <v>20</v>
      </c>
      <c r="C894" s="2" t="s">
        <v>28</v>
      </c>
      <c r="D894" s="2" t="s">
        <v>17</v>
      </c>
      <c r="E894" s="2" t="s">
        <v>51</v>
      </c>
      <c r="F894" s="2">
        <v>80885</v>
      </c>
      <c r="G894" s="2">
        <v>3995</v>
      </c>
      <c r="H894" s="2">
        <v>1757.8</v>
      </c>
      <c r="I894" s="2">
        <v>79</v>
      </c>
      <c r="J894" s="2">
        <v>10692.34</v>
      </c>
    </row>
    <row r="895" spans="1:10" x14ac:dyDescent="0.45">
      <c r="A895" s="2" t="s">
        <v>111</v>
      </c>
      <c r="B895" s="2" t="s">
        <v>15</v>
      </c>
      <c r="C895" s="2" t="s">
        <v>24</v>
      </c>
      <c r="D895" s="2" t="s">
        <v>41</v>
      </c>
      <c r="E895" s="2" t="s">
        <v>33</v>
      </c>
      <c r="F895" s="2">
        <v>33807</v>
      </c>
      <c r="G895" s="2">
        <v>807</v>
      </c>
      <c r="H895" s="2">
        <v>1638.21</v>
      </c>
      <c r="I895" s="2">
        <v>25</v>
      </c>
      <c r="J895" s="2">
        <v>5072.7700000000004</v>
      </c>
    </row>
    <row r="896" spans="1:10" x14ac:dyDescent="0.45">
      <c r="A896" s="2" t="s">
        <v>70</v>
      </c>
      <c r="B896" s="2" t="s">
        <v>35</v>
      </c>
      <c r="C896" s="2" t="s">
        <v>16</v>
      </c>
      <c r="D896" s="2" t="s">
        <v>29</v>
      </c>
      <c r="E896" s="2" t="s">
        <v>51</v>
      </c>
      <c r="F896" s="2">
        <v>198074</v>
      </c>
      <c r="G896" s="2">
        <v>5783</v>
      </c>
      <c r="H896" s="2">
        <v>3527.63</v>
      </c>
      <c r="I896" s="2">
        <v>263</v>
      </c>
      <c r="J896" s="2">
        <v>60037.86</v>
      </c>
    </row>
    <row r="897" spans="1:10" x14ac:dyDescent="0.45">
      <c r="A897" s="2" t="s">
        <v>366</v>
      </c>
      <c r="B897" s="2" t="s">
        <v>15</v>
      </c>
      <c r="C897" s="2" t="s">
        <v>16</v>
      </c>
      <c r="D897" s="2" t="s">
        <v>21</v>
      </c>
      <c r="E897" s="2" t="s">
        <v>22</v>
      </c>
      <c r="F897" s="2">
        <v>115282</v>
      </c>
      <c r="G897" s="2">
        <v>4876</v>
      </c>
      <c r="H897" s="2">
        <v>18333.759999999998</v>
      </c>
      <c r="I897" s="2">
        <v>77</v>
      </c>
      <c r="J897" s="2">
        <v>2427.15</v>
      </c>
    </row>
    <row r="898" spans="1:10" x14ac:dyDescent="0.45">
      <c r="A898" s="2" t="s">
        <v>62</v>
      </c>
      <c r="B898" s="2" t="s">
        <v>15</v>
      </c>
      <c r="C898" s="2" t="s">
        <v>38</v>
      </c>
      <c r="D898" s="2" t="s">
        <v>25</v>
      </c>
      <c r="E898" s="2" t="s">
        <v>26</v>
      </c>
      <c r="F898" s="2">
        <v>45880</v>
      </c>
      <c r="G898" s="2">
        <v>2817</v>
      </c>
      <c r="H898" s="2">
        <v>3211.38</v>
      </c>
      <c r="I898" s="2">
        <v>62</v>
      </c>
      <c r="J898" s="2">
        <v>2770.83</v>
      </c>
    </row>
    <row r="899" spans="1:10" x14ac:dyDescent="0.45">
      <c r="A899" s="2" t="s">
        <v>128</v>
      </c>
      <c r="B899" s="2" t="s">
        <v>35</v>
      </c>
      <c r="C899" s="2" t="s">
        <v>16</v>
      </c>
      <c r="D899" s="2" t="s">
        <v>25</v>
      </c>
      <c r="E899" s="2" t="s">
        <v>30</v>
      </c>
      <c r="F899" s="2">
        <v>20993</v>
      </c>
      <c r="G899" s="2">
        <v>583</v>
      </c>
      <c r="H899" s="2">
        <v>746.24</v>
      </c>
      <c r="I899" s="2">
        <v>45</v>
      </c>
      <c r="J899" s="2">
        <v>4493.83</v>
      </c>
    </row>
    <row r="900" spans="1:10" x14ac:dyDescent="0.45">
      <c r="A900" s="2" t="s">
        <v>367</v>
      </c>
      <c r="B900" s="2" t="s">
        <v>15</v>
      </c>
      <c r="C900" s="2" t="s">
        <v>24</v>
      </c>
      <c r="D900" s="2" t="s">
        <v>29</v>
      </c>
      <c r="E900" s="2" t="s">
        <v>33</v>
      </c>
      <c r="F900" s="2">
        <v>183448</v>
      </c>
      <c r="G900" s="2">
        <v>8053</v>
      </c>
      <c r="H900" s="2">
        <v>16750.240000000002</v>
      </c>
      <c r="I900" s="2">
        <v>351</v>
      </c>
      <c r="J900" s="2">
        <v>74979.38</v>
      </c>
    </row>
    <row r="901" spans="1:10" x14ac:dyDescent="0.45">
      <c r="A901" s="2" t="s">
        <v>14</v>
      </c>
      <c r="B901" s="2" t="s">
        <v>20</v>
      </c>
      <c r="C901" s="2" t="s">
        <v>28</v>
      </c>
      <c r="D901" s="2" t="s">
        <v>21</v>
      </c>
      <c r="E901" s="2" t="s">
        <v>18</v>
      </c>
      <c r="F901" s="2">
        <v>119944</v>
      </c>
      <c r="G901" s="2">
        <v>9331</v>
      </c>
      <c r="H901" s="2">
        <v>5691.91</v>
      </c>
      <c r="I901" s="2">
        <v>717</v>
      </c>
      <c r="J901" s="2">
        <v>101587.49</v>
      </c>
    </row>
    <row r="902" spans="1:10" x14ac:dyDescent="0.45">
      <c r="A902" s="2" t="s">
        <v>265</v>
      </c>
      <c r="B902" s="2" t="s">
        <v>20</v>
      </c>
      <c r="C902" s="2" t="s">
        <v>16</v>
      </c>
      <c r="D902" s="2" t="s">
        <v>25</v>
      </c>
      <c r="E902" s="2" t="s">
        <v>33</v>
      </c>
      <c r="F902" s="2">
        <v>69198</v>
      </c>
      <c r="G902" s="2">
        <v>3529</v>
      </c>
      <c r="H902" s="2">
        <v>1940.95</v>
      </c>
      <c r="I902" s="2">
        <v>256</v>
      </c>
      <c r="J902" s="2">
        <v>15199.33</v>
      </c>
    </row>
    <row r="903" spans="1:10" x14ac:dyDescent="0.45">
      <c r="A903" s="2" t="s">
        <v>295</v>
      </c>
      <c r="B903" s="2" t="s">
        <v>35</v>
      </c>
      <c r="C903" s="2" t="s">
        <v>16</v>
      </c>
      <c r="D903" s="2" t="s">
        <v>25</v>
      </c>
      <c r="E903" s="2" t="s">
        <v>22</v>
      </c>
      <c r="F903" s="2">
        <v>46936</v>
      </c>
      <c r="G903" s="2">
        <v>2234</v>
      </c>
      <c r="H903" s="2">
        <v>1764.86</v>
      </c>
      <c r="I903" s="2">
        <v>55</v>
      </c>
      <c r="J903" s="2">
        <v>5977.87</v>
      </c>
    </row>
    <row r="904" spans="1:10" x14ac:dyDescent="0.45">
      <c r="A904" s="2" t="s">
        <v>49</v>
      </c>
      <c r="B904" s="2" t="s">
        <v>20</v>
      </c>
      <c r="C904" s="2" t="s">
        <v>24</v>
      </c>
      <c r="D904" s="2" t="s">
        <v>21</v>
      </c>
      <c r="E904" s="2" t="s">
        <v>51</v>
      </c>
      <c r="F904" s="2">
        <v>21689</v>
      </c>
      <c r="G904" s="2">
        <v>895</v>
      </c>
      <c r="H904" s="2">
        <v>850.25</v>
      </c>
      <c r="I904" s="2">
        <v>22</v>
      </c>
      <c r="J904" s="2">
        <v>4747.38</v>
      </c>
    </row>
    <row r="905" spans="1:10" x14ac:dyDescent="0.45">
      <c r="A905" s="2" t="s">
        <v>180</v>
      </c>
      <c r="B905" s="2" t="s">
        <v>20</v>
      </c>
      <c r="C905" s="2" t="s">
        <v>16</v>
      </c>
      <c r="D905" s="2" t="s">
        <v>21</v>
      </c>
      <c r="E905" s="2" t="s">
        <v>51</v>
      </c>
      <c r="F905" s="2">
        <v>24504</v>
      </c>
      <c r="G905" s="2">
        <v>899</v>
      </c>
      <c r="H905" s="2">
        <v>1276.58</v>
      </c>
      <c r="I905" s="2">
        <v>41</v>
      </c>
      <c r="J905" s="2">
        <v>3721.4</v>
      </c>
    </row>
    <row r="906" spans="1:10" x14ac:dyDescent="0.45">
      <c r="A906" s="2" t="s">
        <v>229</v>
      </c>
      <c r="B906" s="2" t="s">
        <v>35</v>
      </c>
      <c r="C906" s="2" t="s">
        <v>28</v>
      </c>
      <c r="D906" s="2" t="s">
        <v>41</v>
      </c>
      <c r="E906" s="2" t="s">
        <v>33</v>
      </c>
      <c r="F906" s="2">
        <v>119053</v>
      </c>
      <c r="G906" s="2">
        <v>4000</v>
      </c>
      <c r="H906" s="2">
        <v>4040</v>
      </c>
      <c r="I906" s="2">
        <v>152</v>
      </c>
      <c r="J906" s="2">
        <v>25959.16</v>
      </c>
    </row>
    <row r="907" spans="1:10" x14ac:dyDescent="0.45">
      <c r="A907" s="2" t="s">
        <v>14</v>
      </c>
      <c r="B907" s="2" t="s">
        <v>20</v>
      </c>
      <c r="C907" s="2" t="s">
        <v>16</v>
      </c>
      <c r="D907" s="2" t="s">
        <v>25</v>
      </c>
      <c r="E907" s="2" t="s">
        <v>33</v>
      </c>
      <c r="F907" s="2">
        <v>160522</v>
      </c>
      <c r="G907" s="2">
        <v>5425</v>
      </c>
      <c r="H907" s="2">
        <v>6021.75</v>
      </c>
      <c r="I907" s="2">
        <v>398</v>
      </c>
      <c r="J907" s="2">
        <v>79057.929999999993</v>
      </c>
    </row>
    <row r="908" spans="1:10" x14ac:dyDescent="0.45">
      <c r="A908" s="2" t="s">
        <v>279</v>
      </c>
      <c r="B908" s="2" t="s">
        <v>15</v>
      </c>
      <c r="C908" s="2" t="s">
        <v>28</v>
      </c>
      <c r="D908" s="2" t="s">
        <v>21</v>
      </c>
      <c r="E908" s="2" t="s">
        <v>22</v>
      </c>
      <c r="F908" s="2">
        <v>158627</v>
      </c>
      <c r="G908" s="2">
        <v>7725</v>
      </c>
      <c r="H908" s="2">
        <v>22248</v>
      </c>
      <c r="I908" s="2">
        <v>299</v>
      </c>
      <c r="J908" s="2">
        <v>66700.13</v>
      </c>
    </row>
    <row r="909" spans="1:10" x14ac:dyDescent="0.45">
      <c r="A909" s="2" t="s">
        <v>282</v>
      </c>
      <c r="B909" s="2" t="s">
        <v>35</v>
      </c>
      <c r="C909" s="2" t="s">
        <v>24</v>
      </c>
      <c r="D909" s="2" t="s">
        <v>29</v>
      </c>
      <c r="E909" s="2" t="s">
        <v>30</v>
      </c>
      <c r="F909" s="2">
        <v>157955</v>
      </c>
      <c r="G909" s="2">
        <v>2780</v>
      </c>
      <c r="H909" s="2">
        <v>1723.6</v>
      </c>
      <c r="I909" s="2">
        <v>202</v>
      </c>
      <c r="J909" s="2">
        <v>49191.360000000001</v>
      </c>
    </row>
    <row r="910" spans="1:10" x14ac:dyDescent="0.45">
      <c r="A910" s="2" t="s">
        <v>274</v>
      </c>
      <c r="B910" s="2" t="s">
        <v>35</v>
      </c>
      <c r="C910" s="2" t="s">
        <v>28</v>
      </c>
      <c r="D910" s="2" t="s">
        <v>21</v>
      </c>
      <c r="E910" s="2" t="s">
        <v>26</v>
      </c>
      <c r="F910" s="2">
        <v>196112</v>
      </c>
      <c r="G910" s="2">
        <v>2647</v>
      </c>
      <c r="H910" s="2">
        <v>3996.97</v>
      </c>
      <c r="I910" s="2">
        <v>187</v>
      </c>
      <c r="J910" s="2">
        <v>16387.669999999998</v>
      </c>
    </row>
    <row r="911" spans="1:10" x14ac:dyDescent="0.45">
      <c r="A911" s="2" t="s">
        <v>232</v>
      </c>
      <c r="B911" s="2" t="s">
        <v>35</v>
      </c>
      <c r="C911" s="2" t="s">
        <v>38</v>
      </c>
      <c r="D911" s="2" t="s">
        <v>21</v>
      </c>
      <c r="E911" s="2" t="s">
        <v>30</v>
      </c>
      <c r="F911" s="2">
        <v>67167</v>
      </c>
      <c r="G911" s="2">
        <v>1907</v>
      </c>
      <c r="H911" s="2">
        <v>2727.01</v>
      </c>
      <c r="I911" s="2">
        <v>114</v>
      </c>
      <c r="J911" s="2">
        <v>20596.75</v>
      </c>
    </row>
    <row r="912" spans="1:10" x14ac:dyDescent="0.45">
      <c r="A912" s="2" t="s">
        <v>268</v>
      </c>
      <c r="B912" s="2" t="s">
        <v>15</v>
      </c>
      <c r="C912" s="2" t="s">
        <v>38</v>
      </c>
      <c r="D912" s="2" t="s">
        <v>25</v>
      </c>
      <c r="E912" s="2" t="s">
        <v>51</v>
      </c>
      <c r="F912" s="2">
        <v>90550</v>
      </c>
      <c r="G912" s="2">
        <v>3966</v>
      </c>
      <c r="H912" s="2">
        <v>10946.16</v>
      </c>
      <c r="I912" s="2">
        <v>207</v>
      </c>
      <c r="J912" s="2">
        <v>7960.57</v>
      </c>
    </row>
    <row r="913" spans="1:10" x14ac:dyDescent="0.45">
      <c r="A913" s="2" t="s">
        <v>187</v>
      </c>
      <c r="B913" s="2" t="s">
        <v>15</v>
      </c>
      <c r="C913" s="2" t="s">
        <v>28</v>
      </c>
      <c r="D913" s="2" t="s">
        <v>21</v>
      </c>
      <c r="E913" s="2" t="s">
        <v>26</v>
      </c>
      <c r="F913" s="2">
        <v>91150</v>
      </c>
      <c r="G913" s="2">
        <v>4119</v>
      </c>
      <c r="H913" s="2">
        <v>15775.77</v>
      </c>
      <c r="I913" s="2">
        <v>98</v>
      </c>
      <c r="J913" s="2">
        <v>4547.95</v>
      </c>
    </row>
    <row r="914" spans="1:10" x14ac:dyDescent="0.45">
      <c r="A914" s="2" t="s">
        <v>355</v>
      </c>
      <c r="B914" s="2" t="s">
        <v>15</v>
      </c>
      <c r="C914" s="2" t="s">
        <v>38</v>
      </c>
      <c r="D914" s="2" t="s">
        <v>17</v>
      </c>
      <c r="E914" s="2" t="s">
        <v>51</v>
      </c>
      <c r="F914" s="2">
        <v>157832</v>
      </c>
      <c r="G914" s="2">
        <v>4072</v>
      </c>
      <c r="H914" s="2">
        <v>9691.36</v>
      </c>
      <c r="I914" s="2">
        <v>124</v>
      </c>
      <c r="J914" s="2">
        <v>34560.39</v>
      </c>
    </row>
    <row r="915" spans="1:10" x14ac:dyDescent="0.45">
      <c r="A915" s="2" t="s">
        <v>106</v>
      </c>
      <c r="B915" s="2" t="s">
        <v>15</v>
      </c>
      <c r="C915" s="2" t="s">
        <v>24</v>
      </c>
      <c r="D915" s="2" t="s">
        <v>17</v>
      </c>
      <c r="E915" s="2" t="s">
        <v>51</v>
      </c>
      <c r="F915" s="2">
        <v>28958</v>
      </c>
      <c r="G915" s="2">
        <v>1355</v>
      </c>
      <c r="H915" s="2">
        <v>3888.85</v>
      </c>
      <c r="I915" s="2">
        <v>49</v>
      </c>
      <c r="J915" s="2">
        <v>13909.3</v>
      </c>
    </row>
    <row r="916" spans="1:10" x14ac:dyDescent="0.45">
      <c r="A916" s="2" t="s">
        <v>135</v>
      </c>
      <c r="B916" s="2" t="s">
        <v>35</v>
      </c>
      <c r="C916" s="2" t="s">
        <v>28</v>
      </c>
      <c r="D916" s="2" t="s">
        <v>21</v>
      </c>
      <c r="E916" s="2" t="s">
        <v>18</v>
      </c>
      <c r="F916" s="2">
        <v>8487</v>
      </c>
      <c r="G916" s="2">
        <v>271</v>
      </c>
      <c r="H916" s="2">
        <v>246.61</v>
      </c>
      <c r="I916" s="2">
        <v>14</v>
      </c>
      <c r="J916" s="2">
        <v>4179.96</v>
      </c>
    </row>
    <row r="917" spans="1:10" x14ac:dyDescent="0.45">
      <c r="A917" s="2" t="s">
        <v>177</v>
      </c>
      <c r="B917" s="2" t="s">
        <v>35</v>
      </c>
      <c r="C917" s="2" t="s">
        <v>28</v>
      </c>
      <c r="D917" s="2" t="s">
        <v>25</v>
      </c>
      <c r="E917" s="2" t="s">
        <v>33</v>
      </c>
      <c r="F917" s="2">
        <v>91284</v>
      </c>
      <c r="G917" s="2">
        <v>2126</v>
      </c>
      <c r="H917" s="2">
        <v>1955.92</v>
      </c>
      <c r="I917" s="2">
        <v>132</v>
      </c>
      <c r="J917" s="2">
        <v>23916.94</v>
      </c>
    </row>
    <row r="918" spans="1:10" x14ac:dyDescent="0.45">
      <c r="A918" s="2" t="s">
        <v>160</v>
      </c>
      <c r="B918" s="2" t="s">
        <v>35</v>
      </c>
      <c r="C918" s="2" t="s">
        <v>24</v>
      </c>
      <c r="D918" s="2" t="s">
        <v>17</v>
      </c>
      <c r="E918" s="2" t="s">
        <v>30</v>
      </c>
      <c r="F918" s="2">
        <v>84737</v>
      </c>
      <c r="G918" s="2">
        <v>1415</v>
      </c>
      <c r="H918" s="2">
        <v>863.15</v>
      </c>
      <c r="I918" s="2">
        <v>67</v>
      </c>
      <c r="J918" s="2">
        <v>10044.57</v>
      </c>
    </row>
    <row r="919" spans="1:10" x14ac:dyDescent="0.45">
      <c r="A919" s="2" t="s">
        <v>60</v>
      </c>
      <c r="B919" s="2" t="s">
        <v>35</v>
      </c>
      <c r="C919" s="2" t="s">
        <v>16</v>
      </c>
      <c r="D919" s="2" t="s">
        <v>21</v>
      </c>
      <c r="E919" s="2" t="s">
        <v>54</v>
      </c>
      <c r="F919" s="2">
        <v>31547</v>
      </c>
      <c r="G919" s="2">
        <v>772</v>
      </c>
      <c r="H919" s="2">
        <v>1536.28</v>
      </c>
      <c r="I919" s="2">
        <v>15</v>
      </c>
      <c r="J919" s="2">
        <v>4188.5</v>
      </c>
    </row>
    <row r="920" spans="1:10" x14ac:dyDescent="0.45">
      <c r="A920" s="2" t="s">
        <v>353</v>
      </c>
      <c r="B920" s="2" t="s">
        <v>35</v>
      </c>
      <c r="C920" s="2" t="s">
        <v>24</v>
      </c>
      <c r="D920" s="2" t="s">
        <v>29</v>
      </c>
      <c r="E920" s="2" t="s">
        <v>33</v>
      </c>
      <c r="F920" s="2">
        <v>162038</v>
      </c>
      <c r="G920" s="2">
        <v>2722</v>
      </c>
      <c r="H920" s="2">
        <v>2095.94</v>
      </c>
      <c r="I920" s="2">
        <v>71</v>
      </c>
      <c r="J920" s="2">
        <v>16951.259999999998</v>
      </c>
    </row>
    <row r="921" spans="1:10" x14ac:dyDescent="0.45">
      <c r="A921" s="2" t="s">
        <v>170</v>
      </c>
      <c r="B921" s="2" t="s">
        <v>15</v>
      </c>
      <c r="C921" s="2" t="s">
        <v>24</v>
      </c>
      <c r="D921" s="2" t="s">
        <v>21</v>
      </c>
      <c r="E921" s="2" t="s">
        <v>18</v>
      </c>
      <c r="F921" s="2">
        <v>145119</v>
      </c>
      <c r="G921" s="2">
        <v>9998</v>
      </c>
      <c r="H921" s="2">
        <v>14597.08</v>
      </c>
      <c r="I921" s="2">
        <v>233</v>
      </c>
      <c r="J921" s="2">
        <v>60859.85</v>
      </c>
    </row>
    <row r="922" spans="1:10" x14ac:dyDescent="0.45">
      <c r="A922" s="2" t="s">
        <v>292</v>
      </c>
      <c r="B922" s="2" t="s">
        <v>20</v>
      </c>
      <c r="C922" s="2" t="s">
        <v>38</v>
      </c>
      <c r="D922" s="2" t="s">
        <v>25</v>
      </c>
      <c r="E922" s="2" t="s">
        <v>33</v>
      </c>
      <c r="F922" s="2">
        <v>92601</v>
      </c>
      <c r="G922" s="2">
        <v>4065</v>
      </c>
      <c r="H922" s="2">
        <v>2113.8000000000002</v>
      </c>
      <c r="I922" s="2">
        <v>324</v>
      </c>
      <c r="J922" s="2">
        <v>24076.73</v>
      </c>
    </row>
    <row r="923" spans="1:10" x14ac:dyDescent="0.45">
      <c r="A923" s="2" t="s">
        <v>50</v>
      </c>
      <c r="B923" s="2" t="s">
        <v>15</v>
      </c>
      <c r="C923" s="2" t="s">
        <v>28</v>
      </c>
      <c r="D923" s="2" t="s">
        <v>25</v>
      </c>
      <c r="E923" s="2" t="s">
        <v>33</v>
      </c>
      <c r="F923" s="2">
        <v>148041</v>
      </c>
      <c r="G923" s="2">
        <v>8053</v>
      </c>
      <c r="H923" s="2">
        <v>27943.91</v>
      </c>
      <c r="I923" s="2">
        <v>98</v>
      </c>
      <c r="J923" s="2">
        <v>4146.07</v>
      </c>
    </row>
    <row r="924" spans="1:10" x14ac:dyDescent="0.45">
      <c r="A924" s="2" t="s">
        <v>169</v>
      </c>
      <c r="B924" s="2" t="s">
        <v>15</v>
      </c>
      <c r="C924" s="2" t="s">
        <v>38</v>
      </c>
      <c r="D924" s="2" t="s">
        <v>41</v>
      </c>
      <c r="E924" s="2" t="s">
        <v>22</v>
      </c>
      <c r="F924" s="2">
        <v>25195</v>
      </c>
      <c r="G924" s="2">
        <v>738</v>
      </c>
      <c r="H924" s="2">
        <v>1926.18</v>
      </c>
      <c r="I924" s="2">
        <v>12</v>
      </c>
      <c r="J924" s="2">
        <v>432.4</v>
      </c>
    </row>
    <row r="925" spans="1:10" x14ac:dyDescent="0.45">
      <c r="A925" s="2" t="s">
        <v>14</v>
      </c>
      <c r="B925" s="2" t="s">
        <v>15</v>
      </c>
      <c r="C925" s="2" t="s">
        <v>38</v>
      </c>
      <c r="D925" s="2" t="s">
        <v>21</v>
      </c>
      <c r="E925" s="2" t="s">
        <v>54</v>
      </c>
      <c r="F925" s="2">
        <v>186465</v>
      </c>
      <c r="G925" s="2">
        <v>8689</v>
      </c>
      <c r="H925" s="2">
        <v>21027.38</v>
      </c>
      <c r="I925" s="2">
        <v>367</v>
      </c>
      <c r="J925" s="2">
        <v>57833.06</v>
      </c>
    </row>
    <row r="926" spans="1:10" x14ac:dyDescent="0.45">
      <c r="A926" s="2" t="s">
        <v>115</v>
      </c>
      <c r="B926" s="2" t="s">
        <v>15</v>
      </c>
      <c r="C926" s="2" t="s">
        <v>28</v>
      </c>
      <c r="D926" s="2" t="s">
        <v>17</v>
      </c>
      <c r="E926" s="2" t="s">
        <v>54</v>
      </c>
      <c r="F926" s="2">
        <v>136960</v>
      </c>
      <c r="G926" s="2">
        <v>5382</v>
      </c>
      <c r="H926" s="2">
        <v>7642.44</v>
      </c>
      <c r="I926" s="2">
        <v>230</v>
      </c>
      <c r="J926" s="2">
        <v>39826.629999999997</v>
      </c>
    </row>
    <row r="927" spans="1:10" x14ac:dyDescent="0.45">
      <c r="A927" s="2" t="s">
        <v>287</v>
      </c>
      <c r="B927" s="2" t="s">
        <v>15</v>
      </c>
      <c r="C927" s="2" t="s">
        <v>24</v>
      </c>
      <c r="D927" s="2" t="s">
        <v>21</v>
      </c>
      <c r="E927" s="2" t="s">
        <v>26</v>
      </c>
      <c r="F927" s="2">
        <v>193405</v>
      </c>
      <c r="G927" s="2">
        <v>7852</v>
      </c>
      <c r="H927" s="2">
        <v>7537.92</v>
      </c>
      <c r="I927" s="2">
        <v>459</v>
      </c>
      <c r="J927" s="2">
        <v>79715.61</v>
      </c>
    </row>
    <row r="928" spans="1:10" x14ac:dyDescent="0.45">
      <c r="A928" s="2" t="s">
        <v>81</v>
      </c>
      <c r="B928" s="2" t="s">
        <v>35</v>
      </c>
      <c r="C928" s="2" t="s">
        <v>24</v>
      </c>
      <c r="D928" s="2" t="s">
        <v>25</v>
      </c>
      <c r="E928" s="2" t="s">
        <v>26</v>
      </c>
      <c r="F928" s="2">
        <v>118591</v>
      </c>
      <c r="G928" s="2">
        <v>4043</v>
      </c>
      <c r="H928" s="2">
        <v>4649.45</v>
      </c>
      <c r="I928" s="2">
        <v>303</v>
      </c>
      <c r="J928" s="2">
        <v>36581.129999999997</v>
      </c>
    </row>
    <row r="929" spans="1:10" x14ac:dyDescent="0.45">
      <c r="A929" s="2" t="s">
        <v>143</v>
      </c>
      <c r="B929" s="2" t="s">
        <v>15</v>
      </c>
      <c r="C929" s="2" t="s">
        <v>16</v>
      </c>
      <c r="D929" s="2" t="s">
        <v>17</v>
      </c>
      <c r="E929" s="2" t="s">
        <v>30</v>
      </c>
      <c r="F929" s="2">
        <v>163349</v>
      </c>
      <c r="G929" s="2">
        <v>7906</v>
      </c>
      <c r="H929" s="2">
        <v>21188.080000000002</v>
      </c>
      <c r="I929" s="2">
        <v>360</v>
      </c>
      <c r="J929" s="2">
        <v>44353.83</v>
      </c>
    </row>
    <row r="930" spans="1:10" x14ac:dyDescent="0.45">
      <c r="A930" s="2" t="s">
        <v>217</v>
      </c>
      <c r="B930" s="2" t="s">
        <v>15</v>
      </c>
      <c r="C930" s="2" t="s">
        <v>24</v>
      </c>
      <c r="D930" s="2" t="s">
        <v>25</v>
      </c>
      <c r="E930" s="2" t="s">
        <v>26</v>
      </c>
      <c r="F930" s="2">
        <v>166957</v>
      </c>
      <c r="G930" s="2">
        <v>5476</v>
      </c>
      <c r="H930" s="2">
        <v>6680.72</v>
      </c>
      <c r="I930" s="2">
        <v>137</v>
      </c>
      <c r="J930" s="2">
        <v>35345.21</v>
      </c>
    </row>
    <row r="931" spans="1:10" x14ac:dyDescent="0.45">
      <c r="A931" s="2" t="s">
        <v>225</v>
      </c>
      <c r="B931" s="2" t="s">
        <v>35</v>
      </c>
      <c r="C931" s="2" t="s">
        <v>38</v>
      </c>
      <c r="D931" s="2" t="s">
        <v>29</v>
      </c>
      <c r="E931" s="2" t="s">
        <v>22</v>
      </c>
      <c r="F931" s="2">
        <v>169818</v>
      </c>
      <c r="G931" s="2">
        <v>4992</v>
      </c>
      <c r="H931" s="2">
        <v>9484.7999999999993</v>
      </c>
      <c r="I931" s="2">
        <v>146</v>
      </c>
      <c r="J931" s="2">
        <v>26864.23</v>
      </c>
    </row>
    <row r="932" spans="1:10" x14ac:dyDescent="0.45">
      <c r="A932" s="2" t="s">
        <v>264</v>
      </c>
      <c r="B932" s="2" t="s">
        <v>15</v>
      </c>
      <c r="C932" s="2" t="s">
        <v>38</v>
      </c>
      <c r="D932" s="2" t="s">
        <v>21</v>
      </c>
      <c r="E932" s="2" t="s">
        <v>51</v>
      </c>
      <c r="F932" s="2">
        <v>158441</v>
      </c>
      <c r="G932" s="2">
        <v>3976</v>
      </c>
      <c r="H932" s="2">
        <v>10814.72</v>
      </c>
      <c r="I932" s="2">
        <v>300</v>
      </c>
      <c r="J932" s="2">
        <v>51868.85</v>
      </c>
    </row>
    <row r="933" spans="1:10" x14ac:dyDescent="0.45">
      <c r="A933" s="2" t="s">
        <v>47</v>
      </c>
      <c r="B933" s="2" t="s">
        <v>15</v>
      </c>
      <c r="C933" s="2" t="s">
        <v>38</v>
      </c>
      <c r="D933" s="2" t="s">
        <v>41</v>
      </c>
      <c r="E933" s="2" t="s">
        <v>22</v>
      </c>
      <c r="F933" s="2">
        <v>10380</v>
      </c>
      <c r="G933" s="2">
        <v>503</v>
      </c>
      <c r="H933" s="2">
        <v>1006</v>
      </c>
      <c r="I933" s="2">
        <v>15</v>
      </c>
      <c r="J933" s="2">
        <v>1306.45</v>
      </c>
    </row>
    <row r="934" spans="1:10" x14ac:dyDescent="0.45">
      <c r="A934" s="2" t="s">
        <v>211</v>
      </c>
      <c r="B934" s="2" t="s">
        <v>15</v>
      </c>
      <c r="C934" s="2" t="s">
        <v>28</v>
      </c>
      <c r="D934" s="2" t="s">
        <v>29</v>
      </c>
      <c r="E934" s="2" t="s">
        <v>54</v>
      </c>
      <c r="F934" s="2">
        <v>27791</v>
      </c>
      <c r="G934" s="2">
        <v>930</v>
      </c>
      <c r="H934" s="2">
        <v>1385.7</v>
      </c>
      <c r="I934" s="2">
        <v>73</v>
      </c>
      <c r="J934" s="2">
        <v>10712.26</v>
      </c>
    </row>
    <row r="935" spans="1:10" x14ac:dyDescent="0.45">
      <c r="A935" s="2" t="s">
        <v>244</v>
      </c>
      <c r="B935" s="2" t="s">
        <v>35</v>
      </c>
      <c r="C935" s="2" t="s">
        <v>28</v>
      </c>
      <c r="D935" s="2" t="s">
        <v>41</v>
      </c>
      <c r="E935" s="2" t="s">
        <v>54</v>
      </c>
      <c r="F935" s="2">
        <v>124870</v>
      </c>
      <c r="G935" s="2">
        <v>2622</v>
      </c>
      <c r="H935" s="2">
        <v>4404.96</v>
      </c>
      <c r="I935" s="2">
        <v>140</v>
      </c>
      <c r="J935" s="2">
        <v>13095.31</v>
      </c>
    </row>
    <row r="936" spans="1:10" x14ac:dyDescent="0.45">
      <c r="A936" s="2" t="s">
        <v>278</v>
      </c>
      <c r="B936" s="2" t="s">
        <v>35</v>
      </c>
      <c r="C936" s="2" t="s">
        <v>38</v>
      </c>
      <c r="D936" s="2" t="s">
        <v>25</v>
      </c>
      <c r="E936" s="2" t="s">
        <v>54</v>
      </c>
      <c r="F936" s="2">
        <v>137053</v>
      </c>
      <c r="G936" s="2">
        <v>5550</v>
      </c>
      <c r="H936" s="2">
        <v>8436</v>
      </c>
      <c r="I936" s="2">
        <v>381</v>
      </c>
      <c r="J936" s="2">
        <v>43644.89</v>
      </c>
    </row>
    <row r="937" spans="1:10" x14ac:dyDescent="0.45">
      <c r="A937" s="2" t="s">
        <v>287</v>
      </c>
      <c r="B937" s="2" t="s">
        <v>35</v>
      </c>
      <c r="C937" s="2" t="s">
        <v>16</v>
      </c>
      <c r="D937" s="2" t="s">
        <v>41</v>
      </c>
      <c r="E937" s="2" t="s">
        <v>18</v>
      </c>
      <c r="F937" s="2">
        <v>43062</v>
      </c>
      <c r="G937" s="2">
        <v>1322</v>
      </c>
      <c r="H937" s="2">
        <v>925.4</v>
      </c>
      <c r="I937" s="2">
        <v>23</v>
      </c>
      <c r="J937" s="2">
        <v>2104.08</v>
      </c>
    </row>
    <row r="938" spans="1:10" x14ac:dyDescent="0.45">
      <c r="A938" s="2" t="s">
        <v>321</v>
      </c>
      <c r="B938" s="2" t="s">
        <v>15</v>
      </c>
      <c r="C938" s="2" t="s">
        <v>24</v>
      </c>
      <c r="D938" s="2" t="s">
        <v>29</v>
      </c>
      <c r="E938" s="2" t="s">
        <v>26</v>
      </c>
      <c r="F938" s="2">
        <v>177472</v>
      </c>
      <c r="G938" s="2">
        <v>9210</v>
      </c>
      <c r="H938" s="2">
        <v>18696.3</v>
      </c>
      <c r="I938" s="2">
        <v>410</v>
      </c>
      <c r="J938" s="2">
        <v>45066.38</v>
      </c>
    </row>
    <row r="939" spans="1:10" x14ac:dyDescent="0.45">
      <c r="A939" s="2" t="s">
        <v>43</v>
      </c>
      <c r="B939" s="2" t="s">
        <v>15</v>
      </c>
      <c r="C939" s="2" t="s">
        <v>38</v>
      </c>
      <c r="D939" s="2" t="s">
        <v>25</v>
      </c>
      <c r="E939" s="2" t="s">
        <v>54</v>
      </c>
      <c r="F939" s="2">
        <v>25967</v>
      </c>
      <c r="G939" s="2">
        <v>656</v>
      </c>
      <c r="H939" s="2">
        <v>1764.64</v>
      </c>
      <c r="I939" s="2">
        <v>24</v>
      </c>
      <c r="J939" s="2">
        <v>1078.6199999999999</v>
      </c>
    </row>
    <row r="940" spans="1:10" x14ac:dyDescent="0.45">
      <c r="A940" s="2" t="s">
        <v>169</v>
      </c>
      <c r="B940" s="2" t="s">
        <v>20</v>
      </c>
      <c r="C940" s="2" t="s">
        <v>28</v>
      </c>
      <c r="D940" s="2" t="s">
        <v>29</v>
      </c>
      <c r="E940" s="2" t="s">
        <v>33</v>
      </c>
      <c r="F940" s="2">
        <v>139162</v>
      </c>
      <c r="G940" s="2">
        <v>7152</v>
      </c>
      <c r="H940" s="2">
        <v>9941.2800000000007</v>
      </c>
      <c r="I940" s="2">
        <v>137</v>
      </c>
      <c r="J940" s="2">
        <v>29124.09</v>
      </c>
    </row>
    <row r="941" spans="1:10" x14ac:dyDescent="0.45">
      <c r="A941" s="2" t="s">
        <v>162</v>
      </c>
      <c r="B941" s="2" t="s">
        <v>15</v>
      </c>
      <c r="C941" s="2" t="s">
        <v>38</v>
      </c>
      <c r="D941" s="2" t="s">
        <v>17</v>
      </c>
      <c r="E941" s="2" t="s">
        <v>22</v>
      </c>
      <c r="F941" s="2">
        <v>45364</v>
      </c>
      <c r="G941" s="2">
        <v>1628</v>
      </c>
      <c r="H941" s="2">
        <v>2002.44</v>
      </c>
      <c r="I941" s="2">
        <v>113</v>
      </c>
      <c r="J941" s="2">
        <v>10930.4</v>
      </c>
    </row>
    <row r="942" spans="1:10" x14ac:dyDescent="0.45">
      <c r="A942" s="2" t="s">
        <v>285</v>
      </c>
      <c r="B942" s="2" t="s">
        <v>15</v>
      </c>
      <c r="C942" s="2" t="s">
        <v>38</v>
      </c>
      <c r="D942" s="2" t="s">
        <v>41</v>
      </c>
      <c r="E942" s="2" t="s">
        <v>22</v>
      </c>
      <c r="F942" s="2">
        <v>62320</v>
      </c>
      <c r="G942" s="2">
        <v>3857</v>
      </c>
      <c r="H942" s="2">
        <v>3895.57</v>
      </c>
      <c r="I942" s="2">
        <v>158</v>
      </c>
      <c r="J942" s="2">
        <v>17905.2</v>
      </c>
    </row>
    <row r="943" spans="1:10" x14ac:dyDescent="0.45">
      <c r="A943" s="2" t="s">
        <v>201</v>
      </c>
      <c r="B943" s="2" t="s">
        <v>35</v>
      </c>
      <c r="C943" s="2" t="s">
        <v>28</v>
      </c>
      <c r="D943" s="2" t="s">
        <v>29</v>
      </c>
      <c r="E943" s="2" t="s">
        <v>33</v>
      </c>
      <c r="F943" s="2">
        <v>141436</v>
      </c>
      <c r="G943" s="2">
        <v>3026</v>
      </c>
      <c r="H943" s="2">
        <v>5567.84</v>
      </c>
      <c r="I943" s="2">
        <v>108</v>
      </c>
      <c r="J943" s="2">
        <v>24540.41</v>
      </c>
    </row>
    <row r="944" spans="1:10" x14ac:dyDescent="0.45">
      <c r="A944" s="2" t="s">
        <v>296</v>
      </c>
      <c r="B944" s="2" t="s">
        <v>35</v>
      </c>
      <c r="C944" s="2" t="s">
        <v>24</v>
      </c>
      <c r="D944" s="2" t="s">
        <v>21</v>
      </c>
      <c r="E944" s="2" t="s">
        <v>30</v>
      </c>
      <c r="F944" s="2">
        <v>152318</v>
      </c>
      <c r="G944" s="2">
        <v>4554</v>
      </c>
      <c r="H944" s="2">
        <v>4918.32</v>
      </c>
      <c r="I944" s="2">
        <v>296</v>
      </c>
      <c r="J944" s="2">
        <v>64805.54</v>
      </c>
    </row>
    <row r="945" spans="1:10" x14ac:dyDescent="0.45">
      <c r="A945" s="2" t="s">
        <v>251</v>
      </c>
      <c r="B945" s="2" t="s">
        <v>15</v>
      </c>
      <c r="C945" s="2" t="s">
        <v>16</v>
      </c>
      <c r="D945" s="2" t="s">
        <v>29</v>
      </c>
      <c r="E945" s="2" t="s">
        <v>26</v>
      </c>
      <c r="F945" s="2">
        <v>27778</v>
      </c>
      <c r="G945" s="2">
        <v>1902</v>
      </c>
      <c r="H945" s="2">
        <v>2948.1</v>
      </c>
      <c r="I945" s="2">
        <v>125</v>
      </c>
      <c r="J945" s="2">
        <v>15444.21</v>
      </c>
    </row>
    <row r="946" spans="1:10" x14ac:dyDescent="0.45">
      <c r="A946" s="2" t="s">
        <v>215</v>
      </c>
      <c r="B946" s="2" t="s">
        <v>20</v>
      </c>
      <c r="C946" s="2" t="s">
        <v>24</v>
      </c>
      <c r="D946" s="2" t="s">
        <v>41</v>
      </c>
      <c r="E946" s="2" t="s">
        <v>22</v>
      </c>
      <c r="F946" s="2">
        <v>82400</v>
      </c>
      <c r="G946" s="2">
        <v>3708</v>
      </c>
      <c r="H946" s="2">
        <v>2966.4</v>
      </c>
      <c r="I946" s="2">
        <v>139</v>
      </c>
      <c r="J946" s="2">
        <v>31548.51</v>
      </c>
    </row>
    <row r="947" spans="1:10" x14ac:dyDescent="0.45">
      <c r="A947" s="2" t="s">
        <v>78</v>
      </c>
      <c r="B947" s="2" t="s">
        <v>15</v>
      </c>
      <c r="C947" s="2" t="s">
        <v>16</v>
      </c>
      <c r="D947" s="2" t="s">
        <v>25</v>
      </c>
      <c r="E947" s="2" t="s">
        <v>22</v>
      </c>
      <c r="F947" s="2">
        <v>195606</v>
      </c>
      <c r="G947" s="2">
        <v>10817</v>
      </c>
      <c r="H947" s="2">
        <v>38184.01</v>
      </c>
      <c r="I947" s="2">
        <v>122</v>
      </c>
      <c r="J947" s="2">
        <v>7355.91</v>
      </c>
    </row>
    <row r="948" spans="1:10" x14ac:dyDescent="0.45">
      <c r="A948" s="2" t="s">
        <v>332</v>
      </c>
      <c r="B948" s="2" t="s">
        <v>20</v>
      </c>
      <c r="C948" s="2" t="s">
        <v>28</v>
      </c>
      <c r="D948" s="2" t="s">
        <v>17</v>
      </c>
      <c r="E948" s="2" t="s">
        <v>33</v>
      </c>
      <c r="F948" s="2">
        <v>18181</v>
      </c>
      <c r="G948" s="2">
        <v>1179</v>
      </c>
      <c r="H948" s="2">
        <v>754.56</v>
      </c>
      <c r="I948" s="2">
        <v>24</v>
      </c>
      <c r="J948" s="2">
        <v>4581.7</v>
      </c>
    </row>
    <row r="949" spans="1:10" x14ac:dyDescent="0.45">
      <c r="A949" s="2" t="s">
        <v>277</v>
      </c>
      <c r="B949" s="2" t="s">
        <v>15</v>
      </c>
      <c r="C949" s="2" t="s">
        <v>24</v>
      </c>
      <c r="D949" s="2" t="s">
        <v>29</v>
      </c>
      <c r="E949" s="2" t="s">
        <v>26</v>
      </c>
      <c r="F949" s="2">
        <v>86560</v>
      </c>
      <c r="G949" s="2">
        <v>5323</v>
      </c>
      <c r="H949" s="2">
        <v>4843.93</v>
      </c>
      <c r="I949" s="2">
        <v>94</v>
      </c>
      <c r="J949" s="2">
        <v>8283.6200000000008</v>
      </c>
    </row>
    <row r="950" spans="1:10" x14ac:dyDescent="0.45">
      <c r="A950" s="2" t="s">
        <v>367</v>
      </c>
      <c r="B950" s="2" t="s">
        <v>15</v>
      </c>
      <c r="C950" s="2" t="s">
        <v>24</v>
      </c>
      <c r="D950" s="2" t="s">
        <v>17</v>
      </c>
      <c r="E950" s="2" t="s">
        <v>26</v>
      </c>
      <c r="F950" s="2">
        <v>89845</v>
      </c>
      <c r="G950" s="2">
        <v>2605</v>
      </c>
      <c r="H950" s="2">
        <v>4532.7</v>
      </c>
      <c r="I950" s="2">
        <v>155</v>
      </c>
      <c r="J950" s="2">
        <v>14107.55</v>
      </c>
    </row>
    <row r="951" spans="1:10" x14ac:dyDescent="0.45">
      <c r="A951" s="2" t="s">
        <v>55</v>
      </c>
      <c r="B951" s="2" t="s">
        <v>35</v>
      </c>
      <c r="C951" s="2" t="s">
        <v>28</v>
      </c>
      <c r="D951" s="2" t="s">
        <v>17</v>
      </c>
      <c r="E951" s="2" t="s">
        <v>30</v>
      </c>
      <c r="F951" s="2">
        <v>194121</v>
      </c>
      <c r="G951" s="2">
        <v>6270</v>
      </c>
      <c r="H951" s="2">
        <v>4326.3</v>
      </c>
      <c r="I951" s="2">
        <v>133</v>
      </c>
      <c r="J951" s="2">
        <v>11409.44</v>
      </c>
    </row>
    <row r="952" spans="1:10" x14ac:dyDescent="0.45">
      <c r="A952" s="2" t="s">
        <v>147</v>
      </c>
      <c r="B952" s="2" t="s">
        <v>35</v>
      </c>
      <c r="C952" s="2" t="s">
        <v>24</v>
      </c>
      <c r="D952" s="2" t="s">
        <v>29</v>
      </c>
      <c r="E952" s="2" t="s">
        <v>33</v>
      </c>
      <c r="F952" s="2">
        <v>81313</v>
      </c>
      <c r="G952" s="2">
        <v>1089</v>
      </c>
      <c r="H952" s="2">
        <v>1557.27</v>
      </c>
      <c r="I952" s="2">
        <v>77</v>
      </c>
      <c r="J952" s="2">
        <v>3549.91</v>
      </c>
    </row>
    <row r="953" spans="1:10" x14ac:dyDescent="0.45">
      <c r="A953" s="2" t="s">
        <v>318</v>
      </c>
      <c r="B953" s="2" t="s">
        <v>15</v>
      </c>
      <c r="C953" s="2" t="s">
        <v>38</v>
      </c>
      <c r="D953" s="2" t="s">
        <v>25</v>
      </c>
      <c r="E953" s="2" t="s">
        <v>26</v>
      </c>
      <c r="F953" s="2">
        <v>95153</v>
      </c>
      <c r="G953" s="2">
        <v>5404</v>
      </c>
      <c r="H953" s="2">
        <v>9186.7999999999993</v>
      </c>
      <c r="I953" s="2">
        <v>74</v>
      </c>
      <c r="J953" s="2">
        <v>20688.95</v>
      </c>
    </row>
    <row r="954" spans="1:10" x14ac:dyDescent="0.45">
      <c r="A954" s="2" t="s">
        <v>136</v>
      </c>
      <c r="B954" s="2" t="s">
        <v>35</v>
      </c>
      <c r="C954" s="2" t="s">
        <v>38</v>
      </c>
      <c r="D954" s="2" t="s">
        <v>17</v>
      </c>
      <c r="E954" s="2" t="s">
        <v>30</v>
      </c>
      <c r="F954" s="2">
        <v>104926</v>
      </c>
      <c r="G954" s="2">
        <v>3273</v>
      </c>
      <c r="H954" s="2">
        <v>4844.04</v>
      </c>
      <c r="I954" s="2">
        <v>65</v>
      </c>
      <c r="J954" s="2">
        <v>12449.27</v>
      </c>
    </row>
    <row r="955" spans="1:10" x14ac:dyDescent="0.45">
      <c r="A955" s="2" t="s">
        <v>165</v>
      </c>
      <c r="B955" s="2" t="s">
        <v>35</v>
      </c>
      <c r="C955" s="2" t="s">
        <v>28</v>
      </c>
      <c r="D955" s="2" t="s">
        <v>29</v>
      </c>
      <c r="E955" s="2" t="s">
        <v>30</v>
      </c>
      <c r="F955" s="2">
        <v>16093</v>
      </c>
      <c r="G955" s="2">
        <v>466</v>
      </c>
      <c r="H955" s="2">
        <v>386.78</v>
      </c>
      <c r="I955" s="2">
        <v>28</v>
      </c>
      <c r="J955" s="2">
        <v>5468.73</v>
      </c>
    </row>
    <row r="956" spans="1:10" x14ac:dyDescent="0.45">
      <c r="A956" s="2" t="s">
        <v>237</v>
      </c>
      <c r="B956" s="2" t="s">
        <v>15</v>
      </c>
      <c r="C956" s="2" t="s">
        <v>28</v>
      </c>
      <c r="D956" s="2" t="s">
        <v>21</v>
      </c>
      <c r="E956" s="2" t="s">
        <v>33</v>
      </c>
      <c r="F956" s="2">
        <v>155338</v>
      </c>
      <c r="G956" s="2">
        <v>10718</v>
      </c>
      <c r="H956" s="2">
        <v>19935.48</v>
      </c>
      <c r="I956" s="2">
        <v>411</v>
      </c>
      <c r="J956" s="2">
        <v>112821.78</v>
      </c>
    </row>
    <row r="957" spans="1:10" x14ac:dyDescent="0.45">
      <c r="A957" s="2" t="s">
        <v>39</v>
      </c>
      <c r="B957" s="2" t="s">
        <v>15</v>
      </c>
      <c r="C957" s="2" t="s">
        <v>24</v>
      </c>
      <c r="D957" s="2" t="s">
        <v>21</v>
      </c>
      <c r="E957" s="2" t="s">
        <v>33</v>
      </c>
      <c r="F957" s="2">
        <v>179877</v>
      </c>
      <c r="G957" s="2">
        <v>4317</v>
      </c>
      <c r="H957" s="2">
        <v>10965.18</v>
      </c>
      <c r="I957" s="2">
        <v>215</v>
      </c>
      <c r="J957" s="2">
        <v>13004.03</v>
      </c>
    </row>
    <row r="958" spans="1:10" x14ac:dyDescent="0.45">
      <c r="A958" s="2" t="s">
        <v>103</v>
      </c>
      <c r="B958" s="2" t="s">
        <v>20</v>
      </c>
      <c r="C958" s="2" t="s">
        <v>24</v>
      </c>
      <c r="D958" s="2" t="s">
        <v>41</v>
      </c>
      <c r="E958" s="2" t="s">
        <v>54</v>
      </c>
      <c r="F958" s="2">
        <v>185510</v>
      </c>
      <c r="G958" s="2">
        <v>9739</v>
      </c>
      <c r="H958" s="2">
        <v>19964.95</v>
      </c>
      <c r="I958" s="2">
        <v>461</v>
      </c>
      <c r="J958" s="2">
        <v>116711.4</v>
      </c>
    </row>
    <row r="959" spans="1:10" x14ac:dyDescent="0.45">
      <c r="A959" s="2" t="s">
        <v>46</v>
      </c>
      <c r="B959" s="2" t="s">
        <v>20</v>
      </c>
      <c r="C959" s="2" t="s">
        <v>16</v>
      </c>
      <c r="D959" s="2" t="s">
        <v>21</v>
      </c>
      <c r="E959" s="2" t="s">
        <v>30</v>
      </c>
      <c r="F959" s="2">
        <v>135992</v>
      </c>
      <c r="G959" s="2">
        <v>8023</v>
      </c>
      <c r="H959" s="2">
        <v>3209.2</v>
      </c>
      <c r="I959" s="2">
        <v>640</v>
      </c>
      <c r="J959" s="2">
        <v>50560.98</v>
      </c>
    </row>
    <row r="960" spans="1:10" x14ac:dyDescent="0.45">
      <c r="A960" s="2" t="s">
        <v>247</v>
      </c>
      <c r="B960" s="2" t="s">
        <v>15</v>
      </c>
      <c r="C960" s="2" t="s">
        <v>16</v>
      </c>
      <c r="D960" s="2" t="s">
        <v>21</v>
      </c>
      <c r="E960" s="2" t="s">
        <v>30</v>
      </c>
      <c r="F960" s="2">
        <v>192593</v>
      </c>
      <c r="G960" s="2">
        <v>4949</v>
      </c>
      <c r="H960" s="2">
        <v>9056.67</v>
      </c>
      <c r="I960" s="2">
        <v>172</v>
      </c>
      <c r="J960" s="2">
        <v>20836.16</v>
      </c>
    </row>
    <row r="961" spans="1:10" x14ac:dyDescent="0.45">
      <c r="A961" s="2" t="s">
        <v>50</v>
      </c>
      <c r="B961" s="2" t="s">
        <v>35</v>
      </c>
      <c r="C961" s="2" t="s">
        <v>16</v>
      </c>
      <c r="D961" s="2" t="s">
        <v>21</v>
      </c>
      <c r="E961" s="2" t="s">
        <v>18</v>
      </c>
      <c r="F961" s="2">
        <v>18487</v>
      </c>
      <c r="G961" s="2">
        <v>693</v>
      </c>
      <c r="H961" s="2">
        <v>339.57</v>
      </c>
      <c r="I961" s="2">
        <v>36</v>
      </c>
      <c r="J961" s="2">
        <v>7765.15</v>
      </c>
    </row>
    <row r="962" spans="1:10" x14ac:dyDescent="0.45">
      <c r="A962" s="2" t="s">
        <v>324</v>
      </c>
      <c r="B962" s="2" t="s">
        <v>35</v>
      </c>
      <c r="C962" s="2" t="s">
        <v>24</v>
      </c>
      <c r="D962" s="2" t="s">
        <v>21</v>
      </c>
      <c r="E962" s="2" t="s">
        <v>22</v>
      </c>
      <c r="F962" s="2">
        <v>88452</v>
      </c>
      <c r="G962" s="2">
        <v>3361</v>
      </c>
      <c r="H962" s="2">
        <v>5478.43</v>
      </c>
      <c r="I962" s="2">
        <v>180</v>
      </c>
      <c r="J962" s="2">
        <v>8119.45</v>
      </c>
    </row>
    <row r="963" spans="1:10" x14ac:dyDescent="0.45">
      <c r="A963" s="2" t="s">
        <v>368</v>
      </c>
      <c r="B963" s="2" t="s">
        <v>20</v>
      </c>
      <c r="C963" s="2" t="s">
        <v>38</v>
      </c>
      <c r="D963" s="2" t="s">
        <v>17</v>
      </c>
      <c r="E963" s="2" t="s">
        <v>26</v>
      </c>
      <c r="F963" s="2">
        <v>178714</v>
      </c>
      <c r="G963" s="2">
        <v>7559</v>
      </c>
      <c r="H963" s="2">
        <v>8617.26</v>
      </c>
      <c r="I963" s="2">
        <v>312</v>
      </c>
      <c r="J963" s="2">
        <v>39985.980000000003</v>
      </c>
    </row>
    <row r="964" spans="1:10" x14ac:dyDescent="0.45">
      <c r="A964" s="2" t="s">
        <v>224</v>
      </c>
      <c r="B964" s="2" t="s">
        <v>20</v>
      </c>
      <c r="C964" s="2" t="s">
        <v>38</v>
      </c>
      <c r="D964" s="2" t="s">
        <v>29</v>
      </c>
      <c r="E964" s="2" t="s">
        <v>22</v>
      </c>
      <c r="F964" s="2">
        <v>113190</v>
      </c>
      <c r="G964" s="2">
        <v>3984</v>
      </c>
      <c r="H964" s="2">
        <v>5617.44</v>
      </c>
      <c r="I964" s="2">
        <v>172</v>
      </c>
      <c r="J964" s="2">
        <v>10269.39</v>
      </c>
    </row>
    <row r="965" spans="1:10" x14ac:dyDescent="0.45">
      <c r="A965" s="2" t="s">
        <v>166</v>
      </c>
      <c r="B965" s="2" t="s">
        <v>35</v>
      </c>
      <c r="C965" s="2" t="s">
        <v>24</v>
      </c>
      <c r="D965" s="2" t="s">
        <v>41</v>
      </c>
      <c r="E965" s="2" t="s">
        <v>54</v>
      </c>
      <c r="F965" s="2">
        <v>126103</v>
      </c>
      <c r="G965" s="2">
        <v>4300</v>
      </c>
      <c r="H965" s="2">
        <v>4687</v>
      </c>
      <c r="I965" s="2">
        <v>313</v>
      </c>
      <c r="J965" s="2">
        <v>18027.88</v>
      </c>
    </row>
    <row r="966" spans="1:10" x14ac:dyDescent="0.45">
      <c r="A966" s="2" t="s">
        <v>205</v>
      </c>
      <c r="B966" s="2" t="s">
        <v>15</v>
      </c>
      <c r="C966" s="2" t="s">
        <v>16</v>
      </c>
      <c r="D966" s="2" t="s">
        <v>25</v>
      </c>
      <c r="E966" s="2" t="s">
        <v>51</v>
      </c>
      <c r="F966" s="2">
        <v>101355</v>
      </c>
      <c r="G966" s="2">
        <v>4459</v>
      </c>
      <c r="H966" s="2">
        <v>11370.45</v>
      </c>
      <c r="I966" s="2">
        <v>122</v>
      </c>
      <c r="J966" s="2">
        <v>10455.25</v>
      </c>
    </row>
    <row r="967" spans="1:10" x14ac:dyDescent="0.45">
      <c r="A967" s="2" t="s">
        <v>346</v>
      </c>
      <c r="B967" s="2" t="s">
        <v>15</v>
      </c>
      <c r="C967" s="2" t="s">
        <v>38</v>
      </c>
      <c r="D967" s="2" t="s">
        <v>21</v>
      </c>
      <c r="E967" s="2" t="s">
        <v>33</v>
      </c>
      <c r="F967" s="2">
        <v>197974</v>
      </c>
      <c r="G967" s="2">
        <v>4375</v>
      </c>
      <c r="H967" s="2">
        <v>10631.25</v>
      </c>
      <c r="I967" s="2">
        <v>347</v>
      </c>
      <c r="J967" s="2">
        <v>73971.789999999994</v>
      </c>
    </row>
    <row r="968" spans="1:10" x14ac:dyDescent="0.45">
      <c r="A968" s="2" t="s">
        <v>91</v>
      </c>
      <c r="B968" s="2" t="s">
        <v>35</v>
      </c>
      <c r="C968" s="2" t="s">
        <v>28</v>
      </c>
      <c r="D968" s="2" t="s">
        <v>17</v>
      </c>
      <c r="E968" s="2" t="s">
        <v>22</v>
      </c>
      <c r="F968" s="2">
        <v>49261</v>
      </c>
      <c r="G968" s="2">
        <v>724</v>
      </c>
      <c r="H968" s="2">
        <v>448.88</v>
      </c>
      <c r="I968" s="2">
        <v>31</v>
      </c>
      <c r="J968" s="2">
        <v>1397.37</v>
      </c>
    </row>
    <row r="969" spans="1:10" x14ac:dyDescent="0.45">
      <c r="A969" s="2" t="s">
        <v>344</v>
      </c>
      <c r="B969" s="2" t="s">
        <v>20</v>
      </c>
      <c r="C969" s="2" t="s">
        <v>28</v>
      </c>
      <c r="D969" s="2" t="s">
        <v>29</v>
      </c>
      <c r="E969" s="2" t="s">
        <v>51</v>
      </c>
      <c r="F969" s="2">
        <v>174668</v>
      </c>
      <c r="G969" s="2">
        <v>10916</v>
      </c>
      <c r="H969" s="2">
        <v>6877.08</v>
      </c>
      <c r="I969" s="2">
        <v>310</v>
      </c>
      <c r="J969" s="2">
        <v>37599.64</v>
      </c>
    </row>
    <row r="970" spans="1:10" x14ac:dyDescent="0.45">
      <c r="A970" s="2" t="s">
        <v>368</v>
      </c>
      <c r="B970" s="2" t="s">
        <v>15</v>
      </c>
      <c r="C970" s="2" t="s">
        <v>28</v>
      </c>
      <c r="D970" s="2" t="s">
        <v>17</v>
      </c>
      <c r="E970" s="2" t="s">
        <v>26</v>
      </c>
      <c r="F970" s="2">
        <v>163178</v>
      </c>
      <c r="G970" s="2">
        <v>5172</v>
      </c>
      <c r="H970" s="2">
        <v>11430.12</v>
      </c>
      <c r="I970" s="2">
        <v>325</v>
      </c>
      <c r="J970" s="2">
        <v>14305.21</v>
      </c>
    </row>
    <row r="971" spans="1:10" x14ac:dyDescent="0.45">
      <c r="A971" s="2" t="s">
        <v>366</v>
      </c>
      <c r="B971" s="2" t="s">
        <v>20</v>
      </c>
      <c r="C971" s="2" t="s">
        <v>16</v>
      </c>
      <c r="D971" s="2" t="s">
        <v>21</v>
      </c>
      <c r="E971" s="2" t="s">
        <v>26</v>
      </c>
      <c r="F971" s="2">
        <v>105726</v>
      </c>
      <c r="G971" s="2">
        <v>8542</v>
      </c>
      <c r="H971" s="2">
        <v>11958.8</v>
      </c>
      <c r="I971" s="2">
        <v>662</v>
      </c>
      <c r="J971" s="2">
        <v>104498.78</v>
      </c>
    </row>
    <row r="972" spans="1:10" x14ac:dyDescent="0.45">
      <c r="A972" s="2" t="s">
        <v>369</v>
      </c>
      <c r="B972" s="2" t="s">
        <v>20</v>
      </c>
      <c r="C972" s="2" t="s">
        <v>38</v>
      </c>
      <c r="D972" s="2" t="s">
        <v>25</v>
      </c>
      <c r="E972" s="2" t="s">
        <v>18</v>
      </c>
      <c r="F972" s="2">
        <v>74285</v>
      </c>
      <c r="G972" s="2">
        <v>2094</v>
      </c>
      <c r="H972" s="2">
        <v>1319.22</v>
      </c>
      <c r="I972" s="2">
        <v>92</v>
      </c>
      <c r="J972" s="2">
        <v>18972.8</v>
      </c>
    </row>
    <row r="973" spans="1:10" x14ac:dyDescent="0.45">
      <c r="A973" s="2" t="s">
        <v>240</v>
      </c>
      <c r="B973" s="2" t="s">
        <v>15</v>
      </c>
      <c r="C973" s="2" t="s">
        <v>38</v>
      </c>
      <c r="D973" s="2" t="s">
        <v>21</v>
      </c>
      <c r="E973" s="2" t="s">
        <v>26</v>
      </c>
      <c r="F973" s="2">
        <v>168471</v>
      </c>
      <c r="G973" s="2">
        <v>6014</v>
      </c>
      <c r="H973" s="2">
        <v>5833.58</v>
      </c>
      <c r="I973" s="2">
        <v>117</v>
      </c>
      <c r="J973" s="2">
        <v>25231.33</v>
      </c>
    </row>
    <row r="974" spans="1:10" x14ac:dyDescent="0.45">
      <c r="A974" s="2" t="s">
        <v>303</v>
      </c>
      <c r="B974" s="2" t="s">
        <v>20</v>
      </c>
      <c r="C974" s="2" t="s">
        <v>16</v>
      </c>
      <c r="D974" s="2" t="s">
        <v>41</v>
      </c>
      <c r="E974" s="2" t="s">
        <v>22</v>
      </c>
      <c r="F974" s="2">
        <v>128295</v>
      </c>
      <c r="G974" s="2">
        <v>4695</v>
      </c>
      <c r="H974" s="2">
        <v>3943.8</v>
      </c>
      <c r="I974" s="2">
        <v>276</v>
      </c>
      <c r="J974" s="2">
        <v>42279.01</v>
      </c>
    </row>
    <row r="975" spans="1:10" x14ac:dyDescent="0.45">
      <c r="A975" s="2" t="s">
        <v>60</v>
      </c>
      <c r="B975" s="2" t="s">
        <v>35</v>
      </c>
      <c r="C975" s="2" t="s">
        <v>16</v>
      </c>
      <c r="D975" s="2" t="s">
        <v>25</v>
      </c>
      <c r="E975" s="2" t="s">
        <v>54</v>
      </c>
      <c r="F975" s="2">
        <v>109777</v>
      </c>
      <c r="G975" s="2">
        <v>2722</v>
      </c>
      <c r="H975" s="2">
        <v>3919.68</v>
      </c>
      <c r="I975" s="2">
        <v>170</v>
      </c>
      <c r="J975" s="2">
        <v>47040.47</v>
      </c>
    </row>
    <row r="976" spans="1:10" x14ac:dyDescent="0.45">
      <c r="A976" s="2" t="s">
        <v>333</v>
      </c>
      <c r="B976" s="2" t="s">
        <v>20</v>
      </c>
      <c r="C976" s="2" t="s">
        <v>24</v>
      </c>
      <c r="D976" s="2" t="s">
        <v>25</v>
      </c>
      <c r="E976" s="2" t="s">
        <v>18</v>
      </c>
      <c r="F976" s="2">
        <v>153537</v>
      </c>
      <c r="G976" s="2">
        <v>7277</v>
      </c>
      <c r="H976" s="2">
        <v>7277</v>
      </c>
      <c r="I976" s="2">
        <v>175</v>
      </c>
      <c r="J976" s="2">
        <v>48117.42</v>
      </c>
    </row>
    <row r="977" spans="1:10" x14ac:dyDescent="0.45">
      <c r="A977" s="2" t="s">
        <v>278</v>
      </c>
      <c r="B977" s="2" t="s">
        <v>15</v>
      </c>
      <c r="C977" s="2" t="s">
        <v>28</v>
      </c>
      <c r="D977" s="2" t="s">
        <v>17</v>
      </c>
      <c r="E977" s="2" t="s">
        <v>30</v>
      </c>
      <c r="F977" s="2">
        <v>20915</v>
      </c>
      <c r="G977" s="2">
        <v>913</v>
      </c>
      <c r="H977" s="2">
        <v>940.39</v>
      </c>
      <c r="I977" s="2">
        <v>37</v>
      </c>
      <c r="J977" s="2">
        <v>3637.08</v>
      </c>
    </row>
    <row r="978" spans="1:10" x14ac:dyDescent="0.45">
      <c r="A978" s="2" t="s">
        <v>212</v>
      </c>
      <c r="B978" s="2" t="s">
        <v>35</v>
      </c>
      <c r="C978" s="2" t="s">
        <v>16</v>
      </c>
      <c r="D978" s="2" t="s">
        <v>21</v>
      </c>
      <c r="E978" s="2" t="s">
        <v>22</v>
      </c>
      <c r="F978" s="2">
        <v>29992</v>
      </c>
      <c r="G978" s="2">
        <v>605</v>
      </c>
      <c r="H978" s="2">
        <v>369.05</v>
      </c>
      <c r="I978" s="2">
        <v>35</v>
      </c>
      <c r="J978" s="2">
        <v>5311.42</v>
      </c>
    </row>
    <row r="979" spans="1:10" x14ac:dyDescent="0.45">
      <c r="A979" s="2" t="s">
        <v>192</v>
      </c>
      <c r="B979" s="2" t="s">
        <v>35</v>
      </c>
      <c r="C979" s="2" t="s">
        <v>16</v>
      </c>
      <c r="D979" s="2" t="s">
        <v>17</v>
      </c>
      <c r="E979" s="2" t="s">
        <v>22</v>
      </c>
      <c r="F979" s="2">
        <v>187461</v>
      </c>
      <c r="G979" s="2">
        <v>2511</v>
      </c>
      <c r="H979" s="2">
        <v>4268.7</v>
      </c>
      <c r="I979" s="2">
        <v>189</v>
      </c>
      <c r="J979" s="2">
        <v>16540.060000000001</v>
      </c>
    </row>
    <row r="980" spans="1:10" x14ac:dyDescent="0.45">
      <c r="A980" s="2" t="s">
        <v>77</v>
      </c>
      <c r="B980" s="2" t="s">
        <v>15</v>
      </c>
      <c r="C980" s="2" t="s">
        <v>38</v>
      </c>
      <c r="D980" s="2" t="s">
        <v>41</v>
      </c>
      <c r="E980" s="2" t="s">
        <v>54</v>
      </c>
      <c r="F980" s="2">
        <v>107885</v>
      </c>
      <c r="G980" s="2">
        <v>3344</v>
      </c>
      <c r="H980" s="2">
        <v>6988.96</v>
      </c>
      <c r="I980" s="2">
        <v>262</v>
      </c>
      <c r="J980" s="2">
        <v>51456.480000000003</v>
      </c>
    </row>
    <row r="981" spans="1:10" x14ac:dyDescent="0.45">
      <c r="A981" s="2" t="s">
        <v>59</v>
      </c>
      <c r="B981" s="2" t="s">
        <v>15</v>
      </c>
      <c r="C981" s="2" t="s">
        <v>24</v>
      </c>
      <c r="D981" s="2" t="s">
        <v>41</v>
      </c>
      <c r="E981" s="2" t="s">
        <v>30</v>
      </c>
      <c r="F981" s="2">
        <v>162242</v>
      </c>
      <c r="G981" s="2">
        <v>5110</v>
      </c>
      <c r="H981" s="2">
        <v>13643.7</v>
      </c>
      <c r="I981" s="2">
        <v>118</v>
      </c>
      <c r="J981" s="2">
        <v>30643.55</v>
      </c>
    </row>
    <row r="982" spans="1:10" x14ac:dyDescent="0.45">
      <c r="A982" s="2" t="s">
        <v>214</v>
      </c>
      <c r="B982" s="2" t="s">
        <v>35</v>
      </c>
      <c r="C982" s="2" t="s">
        <v>24</v>
      </c>
      <c r="D982" s="2" t="s">
        <v>21</v>
      </c>
      <c r="E982" s="2" t="s">
        <v>26</v>
      </c>
      <c r="F982" s="2">
        <v>34404</v>
      </c>
      <c r="G982" s="2">
        <v>1204</v>
      </c>
      <c r="H982" s="2">
        <v>1709.68</v>
      </c>
      <c r="I982" s="2">
        <v>94</v>
      </c>
      <c r="J982" s="2">
        <v>17655.16</v>
      </c>
    </row>
    <row r="983" spans="1:10" x14ac:dyDescent="0.45">
      <c r="A983" s="2" t="s">
        <v>176</v>
      </c>
      <c r="B983" s="2" t="s">
        <v>35</v>
      </c>
      <c r="C983" s="2" t="s">
        <v>38</v>
      </c>
      <c r="D983" s="2" t="s">
        <v>21</v>
      </c>
      <c r="E983" s="2" t="s">
        <v>54</v>
      </c>
      <c r="F983" s="2">
        <v>133773</v>
      </c>
      <c r="G983" s="2">
        <v>3491</v>
      </c>
      <c r="H983" s="2">
        <v>6388.53</v>
      </c>
      <c r="I983" s="2">
        <v>181</v>
      </c>
      <c r="J983" s="2">
        <v>21663.32</v>
      </c>
    </row>
    <row r="984" spans="1:10" x14ac:dyDescent="0.45">
      <c r="A984" s="2" t="s">
        <v>253</v>
      </c>
      <c r="B984" s="2" t="s">
        <v>15</v>
      </c>
      <c r="C984" s="2" t="s">
        <v>24</v>
      </c>
      <c r="D984" s="2" t="s">
        <v>29</v>
      </c>
      <c r="E984" s="2" t="s">
        <v>33</v>
      </c>
      <c r="F984" s="2">
        <v>185948</v>
      </c>
      <c r="G984" s="2">
        <v>5373</v>
      </c>
      <c r="H984" s="2">
        <v>3922.29</v>
      </c>
      <c r="I984" s="2">
        <v>82</v>
      </c>
      <c r="J984" s="2">
        <v>15594.76</v>
      </c>
    </row>
    <row r="985" spans="1:10" x14ac:dyDescent="0.45">
      <c r="A985" s="2" t="s">
        <v>362</v>
      </c>
      <c r="B985" s="2" t="s">
        <v>15</v>
      </c>
      <c r="C985" s="2" t="s">
        <v>28</v>
      </c>
      <c r="D985" s="2" t="s">
        <v>25</v>
      </c>
      <c r="E985" s="2" t="s">
        <v>54</v>
      </c>
      <c r="F985" s="2">
        <v>98375</v>
      </c>
      <c r="G985" s="2">
        <v>1898</v>
      </c>
      <c r="H985" s="2">
        <v>6358.3</v>
      </c>
      <c r="I985" s="2">
        <v>45</v>
      </c>
      <c r="J985" s="2">
        <v>2253.91</v>
      </c>
    </row>
    <row r="986" spans="1:10" x14ac:dyDescent="0.45">
      <c r="A986" s="2" t="s">
        <v>298</v>
      </c>
      <c r="B986" s="2" t="s">
        <v>15</v>
      </c>
      <c r="C986" s="2" t="s">
        <v>24</v>
      </c>
      <c r="D986" s="2" t="s">
        <v>25</v>
      </c>
      <c r="E986" s="2" t="s">
        <v>26</v>
      </c>
      <c r="F986" s="2">
        <v>190826</v>
      </c>
      <c r="G986" s="2">
        <v>12174</v>
      </c>
      <c r="H986" s="2">
        <v>21304.5</v>
      </c>
      <c r="I986" s="2">
        <v>933</v>
      </c>
      <c r="J986" s="2">
        <v>139478.01</v>
      </c>
    </row>
    <row r="987" spans="1:10" x14ac:dyDescent="0.45">
      <c r="A987" s="2" t="s">
        <v>86</v>
      </c>
      <c r="B987" s="2" t="s">
        <v>35</v>
      </c>
      <c r="C987" s="2" t="s">
        <v>38</v>
      </c>
      <c r="D987" s="2" t="s">
        <v>25</v>
      </c>
      <c r="E987" s="2" t="s">
        <v>18</v>
      </c>
      <c r="F987" s="2">
        <v>105050</v>
      </c>
      <c r="G987" s="2">
        <v>3077</v>
      </c>
      <c r="H987" s="2">
        <v>1538.5</v>
      </c>
      <c r="I987" s="2">
        <v>206</v>
      </c>
      <c r="J987" s="2">
        <v>55580.46</v>
      </c>
    </row>
    <row r="988" spans="1:10" x14ac:dyDescent="0.45">
      <c r="A988" s="2" t="s">
        <v>161</v>
      </c>
      <c r="B988" s="2" t="s">
        <v>15</v>
      </c>
      <c r="C988" s="2" t="s">
        <v>28</v>
      </c>
      <c r="D988" s="2" t="s">
        <v>41</v>
      </c>
      <c r="E988" s="2" t="s">
        <v>51</v>
      </c>
      <c r="F988" s="2">
        <v>52547</v>
      </c>
      <c r="G988" s="2">
        <v>2806</v>
      </c>
      <c r="H988" s="2">
        <v>6032.9</v>
      </c>
      <c r="I988" s="2">
        <v>47</v>
      </c>
      <c r="J988" s="2">
        <v>13262.4</v>
      </c>
    </row>
    <row r="989" spans="1:10" x14ac:dyDescent="0.45">
      <c r="A989" s="2" t="s">
        <v>317</v>
      </c>
      <c r="B989" s="2" t="s">
        <v>15</v>
      </c>
      <c r="C989" s="2" t="s">
        <v>16</v>
      </c>
      <c r="D989" s="2" t="s">
        <v>25</v>
      </c>
      <c r="E989" s="2" t="s">
        <v>51</v>
      </c>
      <c r="F989" s="2">
        <v>139648</v>
      </c>
      <c r="G989" s="2">
        <v>4398</v>
      </c>
      <c r="H989" s="2">
        <v>13194</v>
      </c>
      <c r="I989" s="2">
        <v>347</v>
      </c>
      <c r="J989" s="2">
        <v>82597.149999999994</v>
      </c>
    </row>
    <row r="990" spans="1:10" x14ac:dyDescent="0.45">
      <c r="A990" s="2" t="s">
        <v>203</v>
      </c>
      <c r="B990" s="2" t="s">
        <v>20</v>
      </c>
      <c r="C990" s="2" t="s">
        <v>16</v>
      </c>
      <c r="D990" s="2" t="s">
        <v>17</v>
      </c>
      <c r="E990" s="2" t="s">
        <v>30</v>
      </c>
      <c r="F990" s="2">
        <v>186434</v>
      </c>
      <c r="G990" s="2">
        <v>8743</v>
      </c>
      <c r="H990" s="2">
        <v>14425.95</v>
      </c>
      <c r="I990" s="2">
        <v>87</v>
      </c>
      <c r="J990" s="2">
        <v>21530.58</v>
      </c>
    </row>
    <row r="991" spans="1:10" x14ac:dyDescent="0.45">
      <c r="A991" s="2" t="s">
        <v>356</v>
      </c>
      <c r="B991" s="2" t="s">
        <v>15</v>
      </c>
      <c r="C991" s="2" t="s">
        <v>16</v>
      </c>
      <c r="D991" s="2" t="s">
        <v>17</v>
      </c>
      <c r="E991" s="2" t="s">
        <v>30</v>
      </c>
      <c r="F991" s="2">
        <v>63001</v>
      </c>
      <c r="G991" s="2">
        <v>3181</v>
      </c>
      <c r="H991" s="2">
        <v>4707.88</v>
      </c>
      <c r="I991" s="2">
        <v>94</v>
      </c>
      <c r="J991" s="2">
        <v>3324.55</v>
      </c>
    </row>
    <row r="992" spans="1:10" x14ac:dyDescent="0.45">
      <c r="A992" s="2" t="s">
        <v>370</v>
      </c>
      <c r="B992" s="2" t="s">
        <v>35</v>
      </c>
      <c r="C992" s="2" t="s">
        <v>28</v>
      </c>
      <c r="D992" s="2" t="s">
        <v>41</v>
      </c>
      <c r="E992" s="2" t="s">
        <v>22</v>
      </c>
      <c r="F992" s="2">
        <v>132343</v>
      </c>
      <c r="G992" s="2">
        <v>3507</v>
      </c>
      <c r="H992" s="2">
        <v>3997.98</v>
      </c>
      <c r="I992" s="2">
        <v>238</v>
      </c>
      <c r="J992" s="2">
        <v>17184.939999999999</v>
      </c>
    </row>
    <row r="993" spans="1:10" x14ac:dyDescent="0.45">
      <c r="A993" s="2" t="s">
        <v>270</v>
      </c>
      <c r="B993" s="2" t="s">
        <v>15</v>
      </c>
      <c r="C993" s="2" t="s">
        <v>28</v>
      </c>
      <c r="D993" s="2" t="s">
        <v>25</v>
      </c>
      <c r="E993" s="2" t="s">
        <v>22</v>
      </c>
      <c r="F993" s="2">
        <v>172570</v>
      </c>
      <c r="G993" s="2">
        <v>3692</v>
      </c>
      <c r="H993" s="2">
        <v>7974.72</v>
      </c>
      <c r="I993" s="2">
        <v>53</v>
      </c>
      <c r="J993" s="2">
        <v>15699.11</v>
      </c>
    </row>
    <row r="994" spans="1:10" x14ac:dyDescent="0.45">
      <c r="A994" s="2" t="s">
        <v>53</v>
      </c>
      <c r="B994" s="2" t="s">
        <v>15</v>
      </c>
      <c r="C994" s="2" t="s">
        <v>24</v>
      </c>
      <c r="D994" s="2" t="s">
        <v>17</v>
      </c>
      <c r="E994" s="2" t="s">
        <v>18</v>
      </c>
      <c r="F994" s="2">
        <v>196510</v>
      </c>
      <c r="G994" s="2">
        <v>10316</v>
      </c>
      <c r="H994" s="2">
        <v>20632</v>
      </c>
      <c r="I994" s="2">
        <v>282</v>
      </c>
      <c r="J994" s="2">
        <v>66245.27</v>
      </c>
    </row>
    <row r="995" spans="1:10" x14ac:dyDescent="0.45">
      <c r="A995" s="2" t="s">
        <v>92</v>
      </c>
      <c r="B995" s="2" t="s">
        <v>15</v>
      </c>
      <c r="C995" s="2" t="s">
        <v>38</v>
      </c>
      <c r="D995" s="2" t="s">
        <v>21</v>
      </c>
      <c r="E995" s="2" t="s">
        <v>33</v>
      </c>
      <c r="F995" s="2">
        <v>140875</v>
      </c>
      <c r="G995" s="2">
        <v>6818</v>
      </c>
      <c r="H995" s="2">
        <v>15340.5</v>
      </c>
      <c r="I995" s="2">
        <v>142</v>
      </c>
      <c r="J995" s="2">
        <v>28774.25</v>
      </c>
    </row>
    <row r="996" spans="1:10" x14ac:dyDescent="0.45">
      <c r="A996" s="2" t="s">
        <v>236</v>
      </c>
      <c r="B996" s="2" t="s">
        <v>20</v>
      </c>
      <c r="C996" s="2" t="s">
        <v>28</v>
      </c>
      <c r="D996" s="2" t="s">
        <v>29</v>
      </c>
      <c r="E996" s="2" t="s">
        <v>26</v>
      </c>
      <c r="F996" s="2">
        <v>50955</v>
      </c>
      <c r="G996" s="2">
        <v>3892</v>
      </c>
      <c r="H996" s="2">
        <v>4942.84</v>
      </c>
      <c r="I996" s="2">
        <v>224</v>
      </c>
      <c r="J996" s="2">
        <v>60995.17</v>
      </c>
    </row>
    <row r="997" spans="1:10" x14ac:dyDescent="0.45">
      <c r="A997" s="2" t="s">
        <v>325</v>
      </c>
      <c r="B997" s="2" t="s">
        <v>15</v>
      </c>
      <c r="C997" s="2" t="s">
        <v>16</v>
      </c>
      <c r="D997" s="2" t="s">
        <v>17</v>
      </c>
      <c r="E997" s="2" t="s">
        <v>26</v>
      </c>
      <c r="F997" s="2">
        <v>103991</v>
      </c>
      <c r="G997" s="2">
        <v>3067</v>
      </c>
      <c r="H997" s="2">
        <v>7943.53</v>
      </c>
      <c r="I997" s="2">
        <v>142</v>
      </c>
      <c r="J997" s="2">
        <v>36045.300000000003</v>
      </c>
    </row>
    <row r="998" spans="1:10" x14ac:dyDescent="0.45">
      <c r="A998" s="2" t="s">
        <v>179</v>
      </c>
      <c r="B998" s="2" t="s">
        <v>15</v>
      </c>
      <c r="C998" s="2" t="s">
        <v>24</v>
      </c>
      <c r="D998" s="2" t="s">
        <v>21</v>
      </c>
      <c r="E998" s="2" t="s">
        <v>30</v>
      </c>
      <c r="F998" s="2">
        <v>22637</v>
      </c>
      <c r="G998" s="2">
        <v>876</v>
      </c>
      <c r="H998" s="2">
        <v>1068.72</v>
      </c>
      <c r="I998" s="2">
        <v>16</v>
      </c>
      <c r="J998" s="2">
        <v>2623.14</v>
      </c>
    </row>
    <row r="999" spans="1:10" x14ac:dyDescent="0.45">
      <c r="A999" s="2" t="s">
        <v>173</v>
      </c>
      <c r="B999" s="2" t="s">
        <v>35</v>
      </c>
      <c r="C999" s="2" t="s">
        <v>38</v>
      </c>
      <c r="D999" s="2" t="s">
        <v>17</v>
      </c>
      <c r="E999" s="2" t="s">
        <v>33</v>
      </c>
      <c r="F999" s="2">
        <v>86099</v>
      </c>
      <c r="G999" s="2">
        <v>2910</v>
      </c>
      <c r="H999" s="2">
        <v>6372.9</v>
      </c>
      <c r="I999" s="2">
        <v>194</v>
      </c>
      <c r="J999" s="2">
        <v>39485.519999999997</v>
      </c>
    </row>
    <row r="1000" spans="1:10" x14ac:dyDescent="0.45">
      <c r="A1000" s="2" t="s">
        <v>175</v>
      </c>
      <c r="B1000" s="2" t="s">
        <v>35</v>
      </c>
      <c r="C1000" s="2" t="s">
        <v>38</v>
      </c>
      <c r="D1000" s="2" t="s">
        <v>17</v>
      </c>
      <c r="E1000" s="2" t="s">
        <v>18</v>
      </c>
      <c r="F1000" s="2">
        <v>181950</v>
      </c>
      <c r="G1000" s="2">
        <v>2401</v>
      </c>
      <c r="H1000" s="2">
        <v>1608.67</v>
      </c>
      <c r="I1000" s="2">
        <v>168</v>
      </c>
      <c r="J1000" s="2">
        <v>30028.61</v>
      </c>
    </row>
    <row r="1001" spans="1:10" x14ac:dyDescent="0.45">
      <c r="A1001" s="2" t="s">
        <v>371</v>
      </c>
      <c r="B1001" s="2" t="s">
        <v>35</v>
      </c>
      <c r="C1001" s="2" t="s">
        <v>24</v>
      </c>
      <c r="D1001" s="2" t="s">
        <v>41</v>
      </c>
      <c r="E1001" s="2" t="s">
        <v>54</v>
      </c>
      <c r="F1001" s="2">
        <v>102229</v>
      </c>
      <c r="G1001" s="2">
        <v>2146</v>
      </c>
      <c r="H1001" s="2">
        <v>1309.06</v>
      </c>
      <c r="I1001" s="2">
        <v>52</v>
      </c>
      <c r="J1001" s="2">
        <v>14121.79</v>
      </c>
    </row>
    <row r="1002" spans="1:10" x14ac:dyDescent="0.45">
      <c r="A1002" s="2" t="s">
        <v>117</v>
      </c>
      <c r="B1002" s="2" t="s">
        <v>20</v>
      </c>
      <c r="C1002" s="2" t="s">
        <v>24</v>
      </c>
      <c r="D1002" s="2" t="s">
        <v>29</v>
      </c>
      <c r="E1002" s="2" t="s">
        <v>30</v>
      </c>
      <c r="F1002" s="2">
        <v>53167</v>
      </c>
      <c r="G1002" s="2">
        <v>2536</v>
      </c>
      <c r="H1002" s="2">
        <v>1115.8399999999999</v>
      </c>
      <c r="I1002" s="2">
        <v>145</v>
      </c>
      <c r="J1002" s="2">
        <v>11216.46</v>
      </c>
    </row>
    <row r="1003" spans="1:10" x14ac:dyDescent="0.45">
      <c r="A1003" s="2" t="s">
        <v>214</v>
      </c>
      <c r="B1003" s="2" t="s">
        <v>35</v>
      </c>
      <c r="C1003" s="2" t="s">
        <v>28</v>
      </c>
      <c r="D1003" s="2" t="s">
        <v>29</v>
      </c>
      <c r="E1003" s="2" t="s">
        <v>33</v>
      </c>
      <c r="F1003" s="2">
        <v>10177</v>
      </c>
      <c r="G1003" s="2">
        <v>413</v>
      </c>
      <c r="H1003" s="2">
        <v>764.05</v>
      </c>
      <c r="I1003" s="2">
        <v>16</v>
      </c>
      <c r="J1003" s="2">
        <v>4058.36</v>
      </c>
    </row>
    <row r="1004" spans="1:10" x14ac:dyDescent="0.45">
      <c r="A1004" s="2" t="s">
        <v>295</v>
      </c>
      <c r="B1004" s="2" t="s">
        <v>35</v>
      </c>
      <c r="C1004" s="2" t="s">
        <v>28</v>
      </c>
      <c r="D1004" s="2" t="s">
        <v>41</v>
      </c>
      <c r="E1004" s="2" t="s">
        <v>33</v>
      </c>
      <c r="F1004" s="2">
        <v>67714</v>
      </c>
      <c r="G1004" s="2">
        <v>738</v>
      </c>
      <c r="H1004" s="2">
        <v>819.18</v>
      </c>
      <c r="I1004" s="2">
        <v>17</v>
      </c>
      <c r="J1004" s="2">
        <v>1445.84</v>
      </c>
    </row>
    <row r="1005" spans="1:10" x14ac:dyDescent="0.45">
      <c r="A1005" s="2" t="s">
        <v>147</v>
      </c>
      <c r="B1005" s="2" t="s">
        <v>15</v>
      </c>
      <c r="C1005" s="2" t="s">
        <v>28</v>
      </c>
      <c r="D1005" s="2" t="s">
        <v>17</v>
      </c>
      <c r="E1005" s="2" t="s">
        <v>22</v>
      </c>
      <c r="F1005" s="2">
        <v>51032</v>
      </c>
      <c r="G1005" s="2">
        <v>3036</v>
      </c>
      <c r="H1005" s="2">
        <v>6770.28</v>
      </c>
      <c r="I1005" s="2">
        <v>195</v>
      </c>
      <c r="J1005" s="2">
        <v>18761.36</v>
      </c>
    </row>
    <row r="1006" spans="1:10" x14ac:dyDescent="0.45">
      <c r="A1006" s="2" t="s">
        <v>226</v>
      </c>
      <c r="B1006" s="2" t="s">
        <v>20</v>
      </c>
      <c r="C1006" s="2" t="s">
        <v>38</v>
      </c>
      <c r="D1006" s="2" t="s">
        <v>29</v>
      </c>
      <c r="E1006" s="2" t="s">
        <v>26</v>
      </c>
      <c r="F1006" s="2">
        <v>68474</v>
      </c>
      <c r="G1006" s="2">
        <v>4923</v>
      </c>
      <c r="H1006" s="2">
        <v>2313.81</v>
      </c>
      <c r="I1006" s="2">
        <v>198</v>
      </c>
      <c r="J1006" s="2">
        <v>32574.400000000001</v>
      </c>
    </row>
    <row r="1007" spans="1:10" x14ac:dyDescent="0.45">
      <c r="A1007" s="2" t="s">
        <v>80</v>
      </c>
      <c r="B1007" s="2" t="s">
        <v>20</v>
      </c>
      <c r="C1007" s="2" t="s">
        <v>24</v>
      </c>
      <c r="D1007" s="2" t="s">
        <v>29</v>
      </c>
      <c r="E1007" s="2" t="s">
        <v>54</v>
      </c>
      <c r="F1007" s="2">
        <v>12838</v>
      </c>
      <c r="G1007" s="2">
        <v>784</v>
      </c>
      <c r="H1007" s="2">
        <v>329.28</v>
      </c>
      <c r="I1007" s="2">
        <v>56</v>
      </c>
      <c r="J1007" s="2">
        <v>2887.05</v>
      </c>
    </row>
    <row r="1008" spans="1:10" x14ac:dyDescent="0.45">
      <c r="A1008" s="2" t="s">
        <v>81</v>
      </c>
      <c r="B1008" s="2" t="s">
        <v>15</v>
      </c>
      <c r="C1008" s="2" t="s">
        <v>38</v>
      </c>
      <c r="D1008" s="2" t="s">
        <v>25</v>
      </c>
      <c r="E1008" s="2" t="s">
        <v>22</v>
      </c>
      <c r="F1008" s="2">
        <v>151595</v>
      </c>
      <c r="G1008" s="2">
        <v>9262</v>
      </c>
      <c r="H1008" s="2">
        <v>16301.12</v>
      </c>
      <c r="I1008" s="2">
        <v>572</v>
      </c>
      <c r="J1008" s="2">
        <v>85249.68</v>
      </c>
    </row>
    <row r="1009" spans="1:10" x14ac:dyDescent="0.45">
      <c r="A1009" s="2" t="s">
        <v>121</v>
      </c>
      <c r="B1009" s="2" t="s">
        <v>20</v>
      </c>
      <c r="C1009" s="2" t="s">
        <v>24</v>
      </c>
      <c r="D1009" s="2" t="s">
        <v>41</v>
      </c>
      <c r="E1009" s="2" t="s">
        <v>30</v>
      </c>
      <c r="F1009" s="2">
        <v>38799</v>
      </c>
      <c r="G1009" s="2">
        <v>1303</v>
      </c>
      <c r="H1009" s="2">
        <v>429.99</v>
      </c>
      <c r="I1009" s="2">
        <v>51</v>
      </c>
      <c r="J1009" s="2">
        <v>4095.81</v>
      </c>
    </row>
    <row r="1010" spans="1:10" x14ac:dyDescent="0.45">
      <c r="A1010" s="2" t="s">
        <v>87</v>
      </c>
      <c r="B1010" s="2" t="s">
        <v>15</v>
      </c>
      <c r="C1010" s="2" t="s">
        <v>24</v>
      </c>
      <c r="D1010" s="2" t="s">
        <v>29</v>
      </c>
      <c r="E1010" s="2" t="s">
        <v>54</v>
      </c>
      <c r="F1010" s="2">
        <v>121565</v>
      </c>
      <c r="G1010" s="2">
        <v>2601</v>
      </c>
      <c r="H1010" s="2">
        <v>5306.04</v>
      </c>
      <c r="I1010" s="2">
        <v>176</v>
      </c>
      <c r="J1010" s="2">
        <v>34156.839999999997</v>
      </c>
    </row>
    <row r="1011" spans="1:10" x14ac:dyDescent="0.45">
      <c r="A1011" s="2" t="s">
        <v>42</v>
      </c>
      <c r="B1011" s="2" t="s">
        <v>35</v>
      </c>
      <c r="C1011" s="2" t="s">
        <v>38</v>
      </c>
      <c r="D1011" s="2" t="s">
        <v>41</v>
      </c>
      <c r="E1011" s="2" t="s">
        <v>33</v>
      </c>
      <c r="F1011" s="2">
        <v>38762</v>
      </c>
      <c r="G1011" s="2">
        <v>1007</v>
      </c>
      <c r="H1011" s="2">
        <v>684.76</v>
      </c>
      <c r="I1011" s="2">
        <v>16</v>
      </c>
      <c r="J1011" s="2">
        <v>3871.2</v>
      </c>
    </row>
    <row r="1012" spans="1:10" x14ac:dyDescent="0.45">
      <c r="A1012" s="2" t="s">
        <v>139</v>
      </c>
      <c r="B1012" s="2" t="s">
        <v>35</v>
      </c>
      <c r="C1012" s="2" t="s">
        <v>16</v>
      </c>
      <c r="D1012" s="2" t="s">
        <v>41</v>
      </c>
      <c r="E1012" s="2" t="s">
        <v>51</v>
      </c>
      <c r="F1012" s="2">
        <v>32410</v>
      </c>
      <c r="G1012" s="2">
        <v>693</v>
      </c>
      <c r="H1012" s="2">
        <v>1240.47</v>
      </c>
      <c r="I1012" s="2">
        <v>21</v>
      </c>
      <c r="J1012" s="2">
        <v>678.51</v>
      </c>
    </row>
    <row r="1013" spans="1:10" x14ac:dyDescent="0.45">
      <c r="A1013" s="2" t="s">
        <v>230</v>
      </c>
      <c r="B1013" s="2" t="s">
        <v>20</v>
      </c>
      <c r="C1013" s="2" t="s">
        <v>24</v>
      </c>
      <c r="D1013" s="2" t="s">
        <v>21</v>
      </c>
      <c r="E1013" s="2" t="s">
        <v>54</v>
      </c>
      <c r="F1013" s="2">
        <v>134132</v>
      </c>
      <c r="G1013" s="2">
        <v>4694</v>
      </c>
      <c r="H1013" s="2">
        <v>3849.08</v>
      </c>
      <c r="I1013" s="2">
        <v>306</v>
      </c>
      <c r="J1013" s="2">
        <v>52932.5</v>
      </c>
    </row>
    <row r="1014" spans="1:10" x14ac:dyDescent="0.45">
      <c r="A1014" s="2" t="s">
        <v>138</v>
      </c>
      <c r="B1014" s="2" t="s">
        <v>15</v>
      </c>
      <c r="C1014" s="2" t="s">
        <v>38</v>
      </c>
      <c r="D1014" s="2" t="s">
        <v>41</v>
      </c>
      <c r="E1014" s="2" t="s">
        <v>54</v>
      </c>
      <c r="F1014" s="2">
        <v>38005</v>
      </c>
      <c r="G1014" s="2">
        <v>1489</v>
      </c>
      <c r="H1014" s="2">
        <v>2248.39</v>
      </c>
      <c r="I1014" s="2">
        <v>79</v>
      </c>
      <c r="J1014" s="2">
        <v>23043.93</v>
      </c>
    </row>
    <row r="1015" spans="1:10" x14ac:dyDescent="0.45">
      <c r="A1015" s="2" t="s">
        <v>285</v>
      </c>
      <c r="B1015" s="2" t="s">
        <v>15</v>
      </c>
      <c r="C1015" s="2" t="s">
        <v>16</v>
      </c>
      <c r="D1015" s="2" t="s">
        <v>41</v>
      </c>
      <c r="E1015" s="2" t="s">
        <v>51</v>
      </c>
      <c r="F1015" s="2">
        <v>91348</v>
      </c>
      <c r="G1015" s="2">
        <v>2914</v>
      </c>
      <c r="H1015" s="2">
        <v>5041.22</v>
      </c>
      <c r="I1015" s="2">
        <v>98</v>
      </c>
      <c r="J1015" s="2">
        <v>14981.67</v>
      </c>
    </row>
    <row r="1016" spans="1:10" x14ac:dyDescent="0.45">
      <c r="A1016" s="2" t="s">
        <v>290</v>
      </c>
      <c r="B1016" s="2" t="s">
        <v>15</v>
      </c>
      <c r="C1016" s="2" t="s">
        <v>38</v>
      </c>
      <c r="D1016" s="2" t="s">
        <v>41</v>
      </c>
      <c r="E1016" s="2" t="s">
        <v>22</v>
      </c>
      <c r="F1016" s="2">
        <v>87607</v>
      </c>
      <c r="G1016" s="2">
        <v>3661</v>
      </c>
      <c r="H1016" s="2">
        <v>11532.15</v>
      </c>
      <c r="I1016" s="2">
        <v>106</v>
      </c>
      <c r="J1016" s="2">
        <v>31383.75</v>
      </c>
    </row>
    <row r="1017" spans="1:10" x14ac:dyDescent="0.45">
      <c r="A1017" s="2" t="s">
        <v>258</v>
      </c>
      <c r="B1017" s="2" t="s">
        <v>20</v>
      </c>
      <c r="C1017" s="2" t="s">
        <v>28</v>
      </c>
      <c r="D1017" s="2" t="s">
        <v>17</v>
      </c>
      <c r="E1017" s="2" t="s">
        <v>51</v>
      </c>
      <c r="F1017" s="2">
        <v>95288</v>
      </c>
      <c r="G1017" s="2">
        <v>7108</v>
      </c>
      <c r="H1017" s="2">
        <v>3625.08</v>
      </c>
      <c r="I1017" s="2">
        <v>454</v>
      </c>
      <c r="J1017" s="2">
        <v>132401.60999999999</v>
      </c>
    </row>
    <row r="1018" spans="1:10" x14ac:dyDescent="0.45">
      <c r="A1018" s="2" t="s">
        <v>97</v>
      </c>
      <c r="B1018" s="2" t="s">
        <v>20</v>
      </c>
      <c r="C1018" s="2" t="s">
        <v>24</v>
      </c>
      <c r="D1018" s="2" t="s">
        <v>25</v>
      </c>
      <c r="E1018" s="2" t="s">
        <v>22</v>
      </c>
      <c r="F1018" s="2">
        <v>68620</v>
      </c>
      <c r="G1018" s="2">
        <v>3602</v>
      </c>
      <c r="H1018" s="2">
        <v>1728.96</v>
      </c>
      <c r="I1018" s="2">
        <v>134</v>
      </c>
      <c r="J1018" s="2">
        <v>22980.94</v>
      </c>
    </row>
    <row r="1019" spans="1:10" x14ac:dyDescent="0.45">
      <c r="A1019" s="2" t="s">
        <v>241</v>
      </c>
      <c r="B1019" s="2" t="s">
        <v>20</v>
      </c>
      <c r="C1019" s="2" t="s">
        <v>24</v>
      </c>
      <c r="D1019" s="2" t="s">
        <v>25</v>
      </c>
      <c r="E1019" s="2" t="s">
        <v>54</v>
      </c>
      <c r="F1019" s="2">
        <v>95975</v>
      </c>
      <c r="G1019" s="2">
        <v>3848</v>
      </c>
      <c r="H1019" s="2">
        <v>6849.44</v>
      </c>
      <c r="I1019" s="2">
        <v>66</v>
      </c>
      <c r="J1019" s="2">
        <v>6246.82</v>
      </c>
    </row>
    <row r="1020" spans="1:10" x14ac:dyDescent="0.45">
      <c r="A1020" s="2" t="s">
        <v>308</v>
      </c>
      <c r="B1020" s="2" t="s">
        <v>15</v>
      </c>
      <c r="C1020" s="2" t="s">
        <v>28</v>
      </c>
      <c r="D1020" s="2" t="s">
        <v>29</v>
      </c>
      <c r="E1020" s="2" t="s">
        <v>33</v>
      </c>
      <c r="F1020" s="2">
        <v>162064</v>
      </c>
      <c r="G1020" s="2">
        <v>5607</v>
      </c>
      <c r="H1020" s="2">
        <v>13568.94</v>
      </c>
      <c r="I1020" s="2">
        <v>77</v>
      </c>
      <c r="J1020" s="2">
        <v>8174.03</v>
      </c>
    </row>
    <row r="1021" spans="1:10" x14ac:dyDescent="0.45">
      <c r="A1021" s="2" t="s">
        <v>300</v>
      </c>
      <c r="B1021" s="2" t="s">
        <v>35</v>
      </c>
      <c r="C1021" s="2" t="s">
        <v>16</v>
      </c>
      <c r="D1021" s="2" t="s">
        <v>17</v>
      </c>
      <c r="E1021" s="2" t="s">
        <v>26</v>
      </c>
      <c r="F1021" s="2">
        <v>57712</v>
      </c>
      <c r="G1021" s="2">
        <v>848</v>
      </c>
      <c r="H1021" s="2">
        <v>763.2</v>
      </c>
      <c r="I1021" s="2">
        <v>64</v>
      </c>
      <c r="J1021" s="2">
        <v>2136.83</v>
      </c>
    </row>
    <row r="1022" spans="1:10" x14ac:dyDescent="0.45">
      <c r="A1022" s="2" t="s">
        <v>365</v>
      </c>
      <c r="B1022" s="2" t="s">
        <v>35</v>
      </c>
      <c r="C1022" s="2" t="s">
        <v>28</v>
      </c>
      <c r="D1022" s="2" t="s">
        <v>17</v>
      </c>
      <c r="E1022" s="2" t="s">
        <v>30</v>
      </c>
      <c r="F1022" s="2">
        <v>147412</v>
      </c>
      <c r="G1022" s="2">
        <v>3670</v>
      </c>
      <c r="H1022" s="2">
        <v>4293.8999999999996</v>
      </c>
      <c r="I1022" s="2">
        <v>162</v>
      </c>
      <c r="J1022" s="2">
        <v>38717.46</v>
      </c>
    </row>
    <row r="1023" spans="1:10" x14ac:dyDescent="0.45">
      <c r="A1023" s="2" t="s">
        <v>347</v>
      </c>
      <c r="B1023" s="2" t="s">
        <v>15</v>
      </c>
      <c r="C1023" s="2" t="s">
        <v>38</v>
      </c>
      <c r="D1023" s="2" t="s">
        <v>41</v>
      </c>
      <c r="E1023" s="2" t="s">
        <v>18</v>
      </c>
      <c r="F1023" s="2">
        <v>79525</v>
      </c>
      <c r="G1023" s="2">
        <v>2298</v>
      </c>
      <c r="H1023" s="2">
        <v>3630.84</v>
      </c>
      <c r="I1023" s="2">
        <v>119</v>
      </c>
      <c r="J1023" s="2">
        <v>21777.03</v>
      </c>
    </row>
    <row r="1024" spans="1:10" x14ac:dyDescent="0.45">
      <c r="A1024" s="2" t="s">
        <v>174</v>
      </c>
      <c r="B1024" s="2" t="s">
        <v>35</v>
      </c>
      <c r="C1024" s="2" t="s">
        <v>28</v>
      </c>
      <c r="D1024" s="2" t="s">
        <v>41</v>
      </c>
      <c r="E1024" s="2" t="s">
        <v>22</v>
      </c>
      <c r="F1024" s="2">
        <v>78480</v>
      </c>
      <c r="G1024" s="2">
        <v>1389</v>
      </c>
      <c r="H1024" s="2">
        <v>2347.41</v>
      </c>
      <c r="I1024" s="2">
        <v>19</v>
      </c>
      <c r="J1024" s="2">
        <v>2972.32</v>
      </c>
    </row>
    <row r="1025" spans="1:10" x14ac:dyDescent="0.45">
      <c r="A1025" s="2" t="s">
        <v>367</v>
      </c>
      <c r="B1025" s="2" t="s">
        <v>20</v>
      </c>
      <c r="C1025" s="2" t="s">
        <v>38</v>
      </c>
      <c r="D1025" s="2" t="s">
        <v>29</v>
      </c>
      <c r="E1025" s="2" t="s">
        <v>22</v>
      </c>
      <c r="F1025" s="2">
        <v>165232</v>
      </c>
      <c r="G1025" s="2">
        <v>7617</v>
      </c>
      <c r="H1025" s="2">
        <v>5865.09</v>
      </c>
      <c r="I1025" s="2">
        <v>601</v>
      </c>
      <c r="J1025" s="2">
        <v>102707.85</v>
      </c>
    </row>
    <row r="1026" spans="1:10" x14ac:dyDescent="0.45">
      <c r="A1026" s="2" t="s">
        <v>300</v>
      </c>
      <c r="B1026" s="2" t="s">
        <v>15</v>
      </c>
      <c r="C1026" s="2" t="s">
        <v>38</v>
      </c>
      <c r="D1026" s="2" t="s">
        <v>29</v>
      </c>
      <c r="E1026" s="2" t="s">
        <v>18</v>
      </c>
      <c r="F1026" s="2">
        <v>13294</v>
      </c>
      <c r="G1026" s="2">
        <v>583</v>
      </c>
      <c r="H1026" s="2">
        <v>804.54</v>
      </c>
      <c r="I1026" s="2">
        <v>46</v>
      </c>
      <c r="J1026" s="2">
        <v>11553.7</v>
      </c>
    </row>
    <row r="1027" spans="1:10" x14ac:dyDescent="0.45">
      <c r="A1027" s="2" t="s">
        <v>61</v>
      </c>
      <c r="B1027" s="2" t="s">
        <v>35</v>
      </c>
      <c r="C1027" s="2" t="s">
        <v>24</v>
      </c>
      <c r="D1027" s="2" t="s">
        <v>21</v>
      </c>
      <c r="E1027" s="2" t="s">
        <v>22</v>
      </c>
      <c r="F1027" s="2">
        <v>55333</v>
      </c>
      <c r="G1027" s="2">
        <v>852</v>
      </c>
      <c r="H1027" s="2">
        <v>894.6</v>
      </c>
      <c r="I1027" s="2">
        <v>66</v>
      </c>
      <c r="J1027" s="2">
        <v>12295.52</v>
      </c>
    </row>
    <row r="1028" spans="1:10" x14ac:dyDescent="0.45">
      <c r="A1028" s="2" t="s">
        <v>261</v>
      </c>
      <c r="B1028" s="2" t="s">
        <v>35</v>
      </c>
      <c r="C1028" s="2" t="s">
        <v>38</v>
      </c>
      <c r="D1028" s="2" t="s">
        <v>17</v>
      </c>
      <c r="E1028" s="2" t="s">
        <v>22</v>
      </c>
      <c r="F1028" s="2">
        <v>177027</v>
      </c>
      <c r="G1028" s="2">
        <v>6160</v>
      </c>
      <c r="H1028" s="2">
        <v>7576.8</v>
      </c>
      <c r="I1028" s="2">
        <v>220</v>
      </c>
      <c r="J1028" s="2">
        <v>59390.91</v>
      </c>
    </row>
    <row r="1029" spans="1:10" x14ac:dyDescent="0.45">
      <c r="A1029" s="2" t="s">
        <v>284</v>
      </c>
      <c r="B1029" s="2" t="s">
        <v>35</v>
      </c>
      <c r="C1029" s="2" t="s">
        <v>16</v>
      </c>
      <c r="D1029" s="2" t="s">
        <v>41</v>
      </c>
      <c r="E1029" s="2" t="s">
        <v>26</v>
      </c>
      <c r="F1029" s="2">
        <v>21679</v>
      </c>
      <c r="G1029" s="2">
        <v>448</v>
      </c>
      <c r="H1029" s="2">
        <v>398.72</v>
      </c>
      <c r="I1029" s="2">
        <v>31</v>
      </c>
      <c r="J1029" s="2">
        <v>3556.66</v>
      </c>
    </row>
    <row r="1030" spans="1:10" x14ac:dyDescent="0.45">
      <c r="A1030" s="2" t="s">
        <v>134</v>
      </c>
      <c r="B1030" s="2" t="s">
        <v>15</v>
      </c>
      <c r="C1030" s="2" t="s">
        <v>16</v>
      </c>
      <c r="D1030" s="2" t="s">
        <v>25</v>
      </c>
      <c r="E1030" s="2" t="s">
        <v>22</v>
      </c>
      <c r="F1030" s="2">
        <v>18601</v>
      </c>
      <c r="G1030" s="2">
        <v>706</v>
      </c>
      <c r="H1030" s="2">
        <v>1412</v>
      </c>
      <c r="I1030" s="2">
        <v>54</v>
      </c>
      <c r="J1030" s="2">
        <v>3302.39</v>
      </c>
    </row>
    <row r="1031" spans="1:10" x14ac:dyDescent="0.45">
      <c r="A1031" s="2" t="s">
        <v>78</v>
      </c>
      <c r="B1031" s="2" t="s">
        <v>15</v>
      </c>
      <c r="C1031" s="2" t="s">
        <v>28</v>
      </c>
      <c r="D1031" s="2" t="s">
        <v>25</v>
      </c>
      <c r="E1031" s="2" t="s">
        <v>18</v>
      </c>
      <c r="F1031" s="2">
        <v>146583</v>
      </c>
      <c r="G1031" s="2">
        <v>2990</v>
      </c>
      <c r="H1031" s="2">
        <v>4813.8999999999996</v>
      </c>
      <c r="I1031" s="2">
        <v>114</v>
      </c>
      <c r="J1031" s="2">
        <v>8660.2800000000007</v>
      </c>
    </row>
    <row r="1032" spans="1:10" x14ac:dyDescent="0.45">
      <c r="A1032" s="2" t="s">
        <v>366</v>
      </c>
      <c r="B1032" s="2" t="s">
        <v>15</v>
      </c>
      <c r="C1032" s="2" t="s">
        <v>28</v>
      </c>
      <c r="D1032" s="2" t="s">
        <v>17</v>
      </c>
      <c r="E1032" s="2" t="s">
        <v>54</v>
      </c>
      <c r="F1032" s="2">
        <v>46745</v>
      </c>
      <c r="G1032" s="2">
        <v>2140</v>
      </c>
      <c r="H1032" s="2">
        <v>7361.6</v>
      </c>
      <c r="I1032" s="2">
        <v>38</v>
      </c>
      <c r="J1032" s="2">
        <v>5289.97</v>
      </c>
    </row>
    <row r="1033" spans="1:10" x14ac:dyDescent="0.45">
      <c r="A1033" s="2" t="s">
        <v>372</v>
      </c>
      <c r="B1033" s="2" t="s">
        <v>15</v>
      </c>
      <c r="C1033" s="2" t="s">
        <v>38</v>
      </c>
      <c r="D1033" s="2" t="s">
        <v>41</v>
      </c>
      <c r="E1033" s="2" t="s">
        <v>33</v>
      </c>
      <c r="F1033" s="2">
        <v>39505</v>
      </c>
      <c r="G1033" s="2">
        <v>2251</v>
      </c>
      <c r="H1033" s="2">
        <v>6888.06</v>
      </c>
      <c r="I1033" s="2">
        <v>149</v>
      </c>
      <c r="J1033" s="2">
        <v>30920.99</v>
      </c>
    </row>
    <row r="1034" spans="1:10" x14ac:dyDescent="0.45">
      <c r="A1034" s="2" t="s">
        <v>367</v>
      </c>
      <c r="B1034" s="2" t="s">
        <v>15</v>
      </c>
      <c r="C1034" s="2" t="s">
        <v>28</v>
      </c>
      <c r="D1034" s="2" t="s">
        <v>25</v>
      </c>
      <c r="E1034" s="2" t="s">
        <v>30</v>
      </c>
      <c r="F1034" s="2">
        <v>179342</v>
      </c>
      <c r="G1034" s="2">
        <v>4071</v>
      </c>
      <c r="H1034" s="2">
        <v>9200.4599999999991</v>
      </c>
      <c r="I1034" s="2">
        <v>195</v>
      </c>
      <c r="J1034" s="2">
        <v>30682.52</v>
      </c>
    </row>
    <row r="1035" spans="1:10" x14ac:dyDescent="0.45">
      <c r="A1035" s="2" t="s">
        <v>178</v>
      </c>
      <c r="B1035" s="2" t="s">
        <v>15</v>
      </c>
      <c r="C1035" s="2" t="s">
        <v>24</v>
      </c>
      <c r="D1035" s="2" t="s">
        <v>17</v>
      </c>
      <c r="E1035" s="2" t="s">
        <v>18</v>
      </c>
      <c r="F1035" s="2">
        <v>75410</v>
      </c>
      <c r="G1035" s="2">
        <v>3039</v>
      </c>
      <c r="H1035" s="2">
        <v>2887.05</v>
      </c>
      <c r="I1035" s="2">
        <v>239</v>
      </c>
      <c r="J1035" s="2">
        <v>29467.42</v>
      </c>
    </row>
    <row r="1036" spans="1:10" x14ac:dyDescent="0.45">
      <c r="A1036" s="2" t="s">
        <v>225</v>
      </c>
      <c r="B1036" s="2" t="s">
        <v>15</v>
      </c>
      <c r="C1036" s="2" t="s">
        <v>16</v>
      </c>
      <c r="D1036" s="2" t="s">
        <v>25</v>
      </c>
      <c r="E1036" s="2" t="s">
        <v>18</v>
      </c>
      <c r="F1036" s="2">
        <v>83488</v>
      </c>
      <c r="G1036" s="2">
        <v>4049</v>
      </c>
      <c r="H1036" s="2">
        <v>4656.3500000000004</v>
      </c>
      <c r="I1036" s="2">
        <v>45</v>
      </c>
      <c r="J1036" s="2">
        <v>2103</v>
      </c>
    </row>
    <row r="1037" spans="1:10" x14ac:dyDescent="0.45">
      <c r="A1037" s="2" t="s">
        <v>58</v>
      </c>
      <c r="B1037" s="2" t="s">
        <v>20</v>
      </c>
      <c r="C1037" s="2" t="s">
        <v>38</v>
      </c>
      <c r="D1037" s="2" t="s">
        <v>29</v>
      </c>
      <c r="E1037" s="2" t="s">
        <v>26</v>
      </c>
      <c r="F1037" s="2">
        <v>149143</v>
      </c>
      <c r="G1037" s="2">
        <v>5175</v>
      </c>
      <c r="H1037" s="2">
        <v>2742.75</v>
      </c>
      <c r="I1037" s="2">
        <v>140</v>
      </c>
      <c r="J1037" s="2">
        <v>11705.28</v>
      </c>
    </row>
    <row r="1038" spans="1:10" x14ac:dyDescent="0.45">
      <c r="A1038" s="2" t="s">
        <v>286</v>
      </c>
      <c r="B1038" s="2" t="s">
        <v>35</v>
      </c>
      <c r="C1038" s="2" t="s">
        <v>28</v>
      </c>
      <c r="D1038" s="2" t="s">
        <v>17</v>
      </c>
      <c r="E1038" s="2" t="s">
        <v>54</v>
      </c>
      <c r="F1038" s="2">
        <v>52743</v>
      </c>
      <c r="G1038" s="2">
        <v>1207</v>
      </c>
      <c r="H1038" s="2">
        <v>2329.5100000000002</v>
      </c>
      <c r="I1038" s="2">
        <v>90</v>
      </c>
      <c r="J1038" s="2">
        <v>11281.65</v>
      </c>
    </row>
    <row r="1039" spans="1:10" x14ac:dyDescent="0.45">
      <c r="A1039" s="2" t="s">
        <v>156</v>
      </c>
      <c r="B1039" s="2" t="s">
        <v>35</v>
      </c>
      <c r="C1039" s="2" t="s">
        <v>28</v>
      </c>
      <c r="D1039" s="2" t="s">
        <v>25</v>
      </c>
      <c r="E1039" s="2" t="s">
        <v>22</v>
      </c>
      <c r="F1039" s="2">
        <v>92091</v>
      </c>
      <c r="G1039" s="2">
        <v>3342</v>
      </c>
      <c r="H1039" s="2">
        <v>4946.16</v>
      </c>
      <c r="I1039" s="2">
        <v>145</v>
      </c>
      <c r="J1039" s="2">
        <v>37976.42</v>
      </c>
    </row>
    <row r="1040" spans="1:10" x14ac:dyDescent="0.45">
      <c r="A1040" s="2" t="s">
        <v>252</v>
      </c>
      <c r="B1040" s="2" t="s">
        <v>20</v>
      </c>
      <c r="C1040" s="2" t="s">
        <v>24</v>
      </c>
      <c r="D1040" s="2" t="s">
        <v>25</v>
      </c>
      <c r="E1040" s="2" t="s">
        <v>26</v>
      </c>
      <c r="F1040" s="2">
        <v>118687</v>
      </c>
      <c r="G1040" s="2">
        <v>10586</v>
      </c>
      <c r="H1040" s="2">
        <v>7939.5</v>
      </c>
      <c r="I1040" s="2">
        <v>635</v>
      </c>
      <c r="J1040" s="2">
        <v>88046.75</v>
      </c>
    </row>
    <row r="1041" spans="1:10" x14ac:dyDescent="0.45">
      <c r="A1041" s="2" t="s">
        <v>179</v>
      </c>
      <c r="B1041" s="2" t="s">
        <v>15</v>
      </c>
      <c r="C1041" s="2" t="s">
        <v>24</v>
      </c>
      <c r="D1041" s="2" t="s">
        <v>21</v>
      </c>
      <c r="E1041" s="2" t="s">
        <v>18</v>
      </c>
      <c r="F1041" s="2">
        <v>195664</v>
      </c>
      <c r="G1041" s="2">
        <v>6378</v>
      </c>
      <c r="H1041" s="2">
        <v>16582.8</v>
      </c>
      <c r="I1041" s="2">
        <v>312</v>
      </c>
      <c r="J1041" s="2">
        <v>33814.660000000003</v>
      </c>
    </row>
    <row r="1042" spans="1:10" x14ac:dyDescent="0.45">
      <c r="A1042" s="2" t="s">
        <v>306</v>
      </c>
      <c r="B1042" s="2" t="s">
        <v>20</v>
      </c>
      <c r="C1042" s="2" t="s">
        <v>16</v>
      </c>
      <c r="D1042" s="2" t="s">
        <v>21</v>
      </c>
      <c r="E1042" s="2" t="s">
        <v>51</v>
      </c>
      <c r="F1042" s="2">
        <v>89946</v>
      </c>
      <c r="G1042" s="2">
        <v>5162</v>
      </c>
      <c r="H1042" s="2">
        <v>3252.06</v>
      </c>
      <c r="I1042" s="2">
        <v>349</v>
      </c>
      <c r="J1042" s="2">
        <v>87393.19</v>
      </c>
    </row>
    <row r="1043" spans="1:10" x14ac:dyDescent="0.45">
      <c r="A1043" s="2" t="s">
        <v>302</v>
      </c>
      <c r="B1043" s="2" t="s">
        <v>20</v>
      </c>
      <c r="C1043" s="2" t="s">
        <v>16</v>
      </c>
      <c r="D1043" s="2" t="s">
        <v>21</v>
      </c>
      <c r="E1043" s="2" t="s">
        <v>51</v>
      </c>
      <c r="F1043" s="2">
        <v>170529</v>
      </c>
      <c r="G1043" s="2">
        <v>11766</v>
      </c>
      <c r="H1043" s="2">
        <v>17413.68</v>
      </c>
      <c r="I1043" s="2">
        <v>695</v>
      </c>
      <c r="J1043" s="2">
        <v>102403.13</v>
      </c>
    </row>
    <row r="1044" spans="1:10" x14ac:dyDescent="0.45">
      <c r="A1044" s="2" t="s">
        <v>273</v>
      </c>
      <c r="B1044" s="2" t="s">
        <v>35</v>
      </c>
      <c r="C1044" s="2" t="s">
        <v>38</v>
      </c>
      <c r="D1044" s="2" t="s">
        <v>17</v>
      </c>
      <c r="E1044" s="2" t="s">
        <v>33</v>
      </c>
      <c r="F1044" s="2">
        <v>129750</v>
      </c>
      <c r="G1044" s="2">
        <v>2452</v>
      </c>
      <c r="H1044" s="2">
        <v>2672.68</v>
      </c>
      <c r="I1044" s="2">
        <v>93</v>
      </c>
      <c r="J1044" s="2">
        <v>23770.39</v>
      </c>
    </row>
    <row r="1045" spans="1:10" x14ac:dyDescent="0.45">
      <c r="A1045" s="2" t="s">
        <v>19</v>
      </c>
      <c r="B1045" s="2" t="s">
        <v>35</v>
      </c>
      <c r="C1045" s="2" t="s">
        <v>38</v>
      </c>
      <c r="D1045" s="2" t="s">
        <v>25</v>
      </c>
      <c r="E1045" s="2" t="s">
        <v>26</v>
      </c>
      <c r="F1045" s="2">
        <v>197882</v>
      </c>
      <c r="G1045" s="2">
        <v>5144</v>
      </c>
      <c r="H1045" s="2">
        <v>4166.6400000000003</v>
      </c>
      <c r="I1045" s="2">
        <v>299</v>
      </c>
      <c r="J1045" s="2">
        <v>68061.759999999995</v>
      </c>
    </row>
    <row r="1046" spans="1:10" x14ac:dyDescent="0.45">
      <c r="A1046" s="2" t="s">
        <v>352</v>
      </c>
      <c r="B1046" s="2" t="s">
        <v>15</v>
      </c>
      <c r="C1046" s="2" t="s">
        <v>38</v>
      </c>
      <c r="D1046" s="2" t="s">
        <v>41</v>
      </c>
      <c r="E1046" s="2" t="s">
        <v>54</v>
      </c>
      <c r="F1046" s="2">
        <v>58266</v>
      </c>
      <c r="G1046" s="2">
        <v>2651</v>
      </c>
      <c r="H1046" s="2">
        <v>3234.22</v>
      </c>
      <c r="I1046" s="2">
        <v>103</v>
      </c>
      <c r="J1046" s="2">
        <v>3487.43</v>
      </c>
    </row>
    <row r="1047" spans="1:10" x14ac:dyDescent="0.45">
      <c r="A1047" s="2" t="s">
        <v>251</v>
      </c>
      <c r="B1047" s="2" t="s">
        <v>35</v>
      </c>
      <c r="C1047" s="2" t="s">
        <v>16</v>
      </c>
      <c r="D1047" s="2" t="s">
        <v>41</v>
      </c>
      <c r="E1047" s="2" t="s">
        <v>26</v>
      </c>
      <c r="F1047" s="2">
        <v>98699</v>
      </c>
      <c r="G1047" s="2">
        <v>2171</v>
      </c>
      <c r="H1047" s="2">
        <v>4819.62</v>
      </c>
      <c r="I1047" s="2">
        <v>92</v>
      </c>
      <c r="J1047" s="2">
        <v>5066.63</v>
      </c>
    </row>
    <row r="1048" spans="1:10" x14ac:dyDescent="0.45">
      <c r="A1048" s="2" t="s">
        <v>254</v>
      </c>
      <c r="B1048" s="2" t="s">
        <v>20</v>
      </c>
      <c r="C1048" s="2" t="s">
        <v>24</v>
      </c>
      <c r="D1048" s="2" t="s">
        <v>21</v>
      </c>
      <c r="E1048" s="2" t="s">
        <v>22</v>
      </c>
      <c r="F1048" s="2">
        <v>172820</v>
      </c>
      <c r="G1048" s="2">
        <v>5512</v>
      </c>
      <c r="H1048" s="2">
        <v>8268</v>
      </c>
      <c r="I1048" s="2">
        <v>229</v>
      </c>
      <c r="J1048" s="2">
        <v>38190.22</v>
      </c>
    </row>
    <row r="1049" spans="1:10" x14ac:dyDescent="0.45">
      <c r="A1049" s="2" t="s">
        <v>221</v>
      </c>
      <c r="B1049" s="2" t="s">
        <v>15</v>
      </c>
      <c r="C1049" s="2" t="s">
        <v>28</v>
      </c>
      <c r="D1049" s="2" t="s">
        <v>21</v>
      </c>
      <c r="E1049" s="2" t="s">
        <v>22</v>
      </c>
      <c r="F1049" s="2">
        <v>61902</v>
      </c>
      <c r="G1049" s="2">
        <v>2599</v>
      </c>
      <c r="H1049" s="2">
        <v>7589.08</v>
      </c>
      <c r="I1049" s="2">
        <v>160</v>
      </c>
      <c r="J1049" s="2">
        <v>43994.91</v>
      </c>
    </row>
    <row r="1050" spans="1:10" x14ac:dyDescent="0.45">
      <c r="A1050" s="2" t="s">
        <v>373</v>
      </c>
      <c r="B1050" s="2" t="s">
        <v>20</v>
      </c>
      <c r="C1050" s="2" t="s">
        <v>28</v>
      </c>
      <c r="D1050" s="2" t="s">
        <v>21</v>
      </c>
      <c r="E1050" s="2" t="s">
        <v>18</v>
      </c>
      <c r="F1050" s="2">
        <v>148573</v>
      </c>
      <c r="G1050" s="2">
        <v>8706</v>
      </c>
      <c r="H1050" s="2">
        <v>15409.62</v>
      </c>
      <c r="I1050" s="2">
        <v>643</v>
      </c>
      <c r="J1050" s="2">
        <v>163989.09</v>
      </c>
    </row>
    <row r="1051" spans="1:10" x14ac:dyDescent="0.45">
      <c r="A1051" s="2" t="s">
        <v>323</v>
      </c>
      <c r="B1051" s="2" t="s">
        <v>35</v>
      </c>
      <c r="C1051" s="2" t="s">
        <v>28</v>
      </c>
      <c r="D1051" s="2" t="s">
        <v>21</v>
      </c>
      <c r="E1051" s="2" t="s">
        <v>30</v>
      </c>
      <c r="F1051" s="2">
        <v>149654</v>
      </c>
      <c r="G1051" s="2">
        <v>6689</v>
      </c>
      <c r="H1051" s="2">
        <v>8628.81</v>
      </c>
      <c r="I1051" s="2">
        <v>262</v>
      </c>
      <c r="J1051" s="2">
        <v>10578.46</v>
      </c>
    </row>
    <row r="1052" spans="1:10" x14ac:dyDescent="0.45">
      <c r="A1052" s="2" t="s">
        <v>334</v>
      </c>
      <c r="B1052" s="2" t="s">
        <v>35</v>
      </c>
      <c r="C1052" s="2" t="s">
        <v>16</v>
      </c>
      <c r="D1052" s="2" t="s">
        <v>25</v>
      </c>
      <c r="E1052" s="2" t="s">
        <v>51</v>
      </c>
      <c r="F1052" s="2">
        <v>191478</v>
      </c>
      <c r="G1052" s="2">
        <v>6414</v>
      </c>
      <c r="H1052" s="2">
        <v>10069.98</v>
      </c>
      <c r="I1052" s="2">
        <v>236</v>
      </c>
      <c r="J1052" s="2">
        <v>56534.15</v>
      </c>
    </row>
    <row r="1053" spans="1:10" x14ac:dyDescent="0.45">
      <c r="A1053" s="2" t="s">
        <v>140</v>
      </c>
      <c r="B1053" s="2" t="s">
        <v>35</v>
      </c>
      <c r="C1053" s="2" t="s">
        <v>16</v>
      </c>
      <c r="D1053" s="2" t="s">
        <v>41</v>
      </c>
      <c r="E1053" s="2" t="s">
        <v>33</v>
      </c>
      <c r="F1053" s="2">
        <v>7196</v>
      </c>
      <c r="G1053" s="2">
        <v>287</v>
      </c>
      <c r="H1053" s="2">
        <v>634.27</v>
      </c>
      <c r="I1053" s="2">
        <v>10</v>
      </c>
      <c r="J1053" s="2">
        <v>693.26</v>
      </c>
    </row>
    <row r="1054" spans="1:10" x14ac:dyDescent="0.45">
      <c r="A1054" s="2" t="s">
        <v>299</v>
      </c>
      <c r="B1054" s="2" t="s">
        <v>15</v>
      </c>
      <c r="C1054" s="2" t="s">
        <v>38</v>
      </c>
      <c r="D1054" s="2" t="s">
        <v>25</v>
      </c>
      <c r="E1054" s="2" t="s">
        <v>51</v>
      </c>
      <c r="F1054" s="2">
        <v>30757</v>
      </c>
      <c r="G1054" s="2">
        <v>1202</v>
      </c>
      <c r="H1054" s="2">
        <v>3918.52</v>
      </c>
      <c r="I1054" s="2">
        <v>60</v>
      </c>
      <c r="J1054" s="2">
        <v>5647</v>
      </c>
    </row>
    <row r="1055" spans="1:10" x14ac:dyDescent="0.45">
      <c r="A1055" s="2" t="s">
        <v>121</v>
      </c>
      <c r="B1055" s="2" t="s">
        <v>15</v>
      </c>
      <c r="C1055" s="2" t="s">
        <v>38</v>
      </c>
      <c r="D1055" s="2" t="s">
        <v>25</v>
      </c>
      <c r="E1055" s="2" t="s">
        <v>33</v>
      </c>
      <c r="F1055" s="2">
        <v>17578</v>
      </c>
      <c r="G1055" s="2">
        <v>330</v>
      </c>
      <c r="H1055" s="2">
        <v>1013.1</v>
      </c>
      <c r="I1055" s="2">
        <v>20</v>
      </c>
      <c r="J1055" s="2">
        <v>3553.78</v>
      </c>
    </row>
    <row r="1056" spans="1:10" x14ac:dyDescent="0.45">
      <c r="A1056" s="2" t="s">
        <v>374</v>
      </c>
      <c r="B1056" s="2" t="s">
        <v>15</v>
      </c>
      <c r="C1056" s="2" t="s">
        <v>38</v>
      </c>
      <c r="D1056" s="2" t="s">
        <v>41</v>
      </c>
      <c r="E1056" s="2" t="s">
        <v>26</v>
      </c>
      <c r="F1056" s="2">
        <v>65530</v>
      </c>
      <c r="G1056" s="2">
        <v>2018</v>
      </c>
      <c r="H1056" s="2">
        <v>5670.58</v>
      </c>
      <c r="I1056" s="2">
        <v>117</v>
      </c>
      <c r="J1056" s="2">
        <v>12114.63</v>
      </c>
    </row>
    <row r="1057" spans="1:10" x14ac:dyDescent="0.45">
      <c r="A1057" s="2" t="s">
        <v>107</v>
      </c>
      <c r="B1057" s="2" t="s">
        <v>20</v>
      </c>
      <c r="C1057" s="2" t="s">
        <v>16</v>
      </c>
      <c r="D1057" s="2" t="s">
        <v>29</v>
      </c>
      <c r="E1057" s="2" t="s">
        <v>22</v>
      </c>
      <c r="F1057" s="2">
        <v>89403</v>
      </c>
      <c r="G1057" s="2">
        <v>5578</v>
      </c>
      <c r="H1057" s="2">
        <v>8255.44</v>
      </c>
      <c r="I1057" s="2">
        <v>414</v>
      </c>
      <c r="J1057" s="2">
        <v>80503.149999999994</v>
      </c>
    </row>
    <row r="1058" spans="1:10" x14ac:dyDescent="0.45">
      <c r="A1058" s="2" t="s">
        <v>110</v>
      </c>
      <c r="B1058" s="2" t="s">
        <v>20</v>
      </c>
      <c r="C1058" s="2" t="s">
        <v>28</v>
      </c>
      <c r="D1058" s="2" t="s">
        <v>41</v>
      </c>
      <c r="E1058" s="2" t="s">
        <v>54</v>
      </c>
      <c r="F1058" s="2">
        <v>161904</v>
      </c>
      <c r="G1058" s="2">
        <v>4339</v>
      </c>
      <c r="H1058" s="2">
        <v>4555.95</v>
      </c>
      <c r="I1058" s="2">
        <v>178</v>
      </c>
      <c r="J1058" s="2">
        <v>22405.85</v>
      </c>
    </row>
    <row r="1059" spans="1:10" x14ac:dyDescent="0.45">
      <c r="A1059" s="2" t="s">
        <v>375</v>
      </c>
      <c r="B1059" s="2" t="s">
        <v>35</v>
      </c>
      <c r="C1059" s="2" t="s">
        <v>24</v>
      </c>
      <c r="D1059" s="2" t="s">
        <v>21</v>
      </c>
      <c r="E1059" s="2" t="s">
        <v>33</v>
      </c>
      <c r="F1059" s="2">
        <v>27036</v>
      </c>
      <c r="G1059" s="2">
        <v>708</v>
      </c>
      <c r="H1059" s="2">
        <v>1182.3599999999999</v>
      </c>
      <c r="I1059" s="2">
        <v>12</v>
      </c>
      <c r="J1059" s="2">
        <v>1538.26</v>
      </c>
    </row>
    <row r="1060" spans="1:10" x14ac:dyDescent="0.45">
      <c r="A1060" s="2" t="s">
        <v>55</v>
      </c>
      <c r="B1060" s="2" t="s">
        <v>35</v>
      </c>
      <c r="C1060" s="2" t="s">
        <v>28</v>
      </c>
      <c r="D1060" s="2" t="s">
        <v>29</v>
      </c>
      <c r="E1060" s="2" t="s">
        <v>22</v>
      </c>
      <c r="F1060" s="2">
        <v>12712</v>
      </c>
      <c r="G1060" s="2">
        <v>212</v>
      </c>
      <c r="H1060" s="2">
        <v>360.4</v>
      </c>
      <c r="I1060" s="2">
        <v>9</v>
      </c>
      <c r="J1060" s="2">
        <v>375.03</v>
      </c>
    </row>
    <row r="1061" spans="1:10" x14ac:dyDescent="0.45">
      <c r="A1061" s="2" t="s">
        <v>313</v>
      </c>
      <c r="B1061" s="2" t="s">
        <v>15</v>
      </c>
      <c r="C1061" s="2" t="s">
        <v>28</v>
      </c>
      <c r="D1061" s="2" t="s">
        <v>41</v>
      </c>
      <c r="E1061" s="2" t="s">
        <v>18</v>
      </c>
      <c r="F1061" s="2">
        <v>24198</v>
      </c>
      <c r="G1061" s="2">
        <v>1214</v>
      </c>
      <c r="H1061" s="2">
        <v>1638.9</v>
      </c>
      <c r="I1061" s="2">
        <v>60</v>
      </c>
      <c r="J1061" s="2">
        <v>11611.94</v>
      </c>
    </row>
    <row r="1062" spans="1:10" x14ac:dyDescent="0.45">
      <c r="A1062" s="2" t="s">
        <v>331</v>
      </c>
      <c r="B1062" s="2" t="s">
        <v>15</v>
      </c>
      <c r="C1062" s="2" t="s">
        <v>38</v>
      </c>
      <c r="D1062" s="2" t="s">
        <v>29</v>
      </c>
      <c r="E1062" s="2" t="s">
        <v>51</v>
      </c>
      <c r="F1062" s="2">
        <v>80324</v>
      </c>
      <c r="G1062" s="2">
        <v>2337</v>
      </c>
      <c r="H1062" s="2">
        <v>6987.63</v>
      </c>
      <c r="I1062" s="2">
        <v>50</v>
      </c>
      <c r="J1062" s="2">
        <v>12463.37</v>
      </c>
    </row>
    <row r="1063" spans="1:10" x14ac:dyDescent="0.45">
      <c r="A1063" s="2" t="s">
        <v>40</v>
      </c>
      <c r="B1063" s="2" t="s">
        <v>15</v>
      </c>
      <c r="C1063" s="2" t="s">
        <v>16</v>
      </c>
      <c r="D1063" s="2" t="s">
        <v>29</v>
      </c>
      <c r="E1063" s="2" t="s">
        <v>30</v>
      </c>
      <c r="F1063" s="2">
        <v>160525</v>
      </c>
      <c r="G1063" s="2">
        <v>6003</v>
      </c>
      <c r="H1063" s="2">
        <v>10025.01</v>
      </c>
      <c r="I1063" s="2">
        <v>106</v>
      </c>
      <c r="J1063" s="2">
        <v>12306.27</v>
      </c>
    </row>
    <row r="1064" spans="1:10" x14ac:dyDescent="0.45">
      <c r="A1064" s="2" t="s">
        <v>62</v>
      </c>
      <c r="B1064" s="2" t="s">
        <v>15</v>
      </c>
      <c r="C1064" s="2" t="s">
        <v>38</v>
      </c>
      <c r="D1064" s="2" t="s">
        <v>17</v>
      </c>
      <c r="E1064" s="2" t="s">
        <v>30</v>
      </c>
      <c r="F1064" s="2">
        <v>104821</v>
      </c>
      <c r="G1064" s="2">
        <v>4224</v>
      </c>
      <c r="H1064" s="2">
        <v>5744.64</v>
      </c>
      <c r="I1064" s="2">
        <v>307</v>
      </c>
      <c r="J1064" s="2">
        <v>89314.07</v>
      </c>
    </row>
    <row r="1065" spans="1:10" x14ac:dyDescent="0.45">
      <c r="A1065" s="2" t="s">
        <v>202</v>
      </c>
      <c r="B1065" s="2" t="s">
        <v>15</v>
      </c>
      <c r="C1065" s="2" t="s">
        <v>24</v>
      </c>
      <c r="D1065" s="2" t="s">
        <v>25</v>
      </c>
      <c r="E1065" s="2" t="s">
        <v>51</v>
      </c>
      <c r="F1065" s="2">
        <v>48118</v>
      </c>
      <c r="G1065" s="2">
        <v>1616</v>
      </c>
      <c r="H1065" s="2">
        <v>5914.56</v>
      </c>
      <c r="I1065" s="2">
        <v>129</v>
      </c>
      <c r="J1065" s="2">
        <v>28604.240000000002</v>
      </c>
    </row>
    <row r="1066" spans="1:10" x14ac:dyDescent="0.45">
      <c r="A1066" s="2" t="s">
        <v>347</v>
      </c>
      <c r="B1066" s="2" t="s">
        <v>20</v>
      </c>
      <c r="C1066" s="2" t="s">
        <v>38</v>
      </c>
      <c r="D1066" s="2" t="s">
        <v>29</v>
      </c>
      <c r="E1066" s="2" t="s">
        <v>54</v>
      </c>
      <c r="F1066" s="2">
        <v>53709</v>
      </c>
      <c r="G1066" s="2">
        <v>2868</v>
      </c>
      <c r="H1066" s="2">
        <v>2552.52</v>
      </c>
      <c r="I1066" s="2">
        <v>222</v>
      </c>
      <c r="J1066" s="2">
        <v>47503.54</v>
      </c>
    </row>
    <row r="1067" spans="1:10" x14ac:dyDescent="0.45">
      <c r="A1067" s="2" t="s">
        <v>104</v>
      </c>
      <c r="B1067" s="2" t="s">
        <v>15</v>
      </c>
      <c r="C1067" s="2" t="s">
        <v>38</v>
      </c>
      <c r="D1067" s="2" t="s">
        <v>25</v>
      </c>
      <c r="E1067" s="2" t="s">
        <v>22</v>
      </c>
      <c r="F1067" s="2">
        <v>25497</v>
      </c>
      <c r="G1067" s="2">
        <v>1142</v>
      </c>
      <c r="H1067" s="2">
        <v>2101.2800000000002</v>
      </c>
      <c r="I1067" s="2">
        <v>75</v>
      </c>
      <c r="J1067" s="2">
        <v>18551.009999999998</v>
      </c>
    </row>
    <row r="1068" spans="1:10" x14ac:dyDescent="0.45">
      <c r="A1068" s="2" t="s">
        <v>186</v>
      </c>
      <c r="B1068" s="2" t="s">
        <v>20</v>
      </c>
      <c r="C1068" s="2" t="s">
        <v>38</v>
      </c>
      <c r="D1068" s="2" t="s">
        <v>17</v>
      </c>
      <c r="E1068" s="2" t="s">
        <v>18</v>
      </c>
      <c r="F1068" s="2">
        <v>178782</v>
      </c>
      <c r="G1068" s="2">
        <v>7705</v>
      </c>
      <c r="H1068" s="2">
        <v>9862.4</v>
      </c>
      <c r="I1068" s="2">
        <v>352</v>
      </c>
      <c r="J1068" s="2">
        <v>30909.61</v>
      </c>
    </row>
    <row r="1069" spans="1:10" x14ac:dyDescent="0.45">
      <c r="A1069" s="2" t="s">
        <v>376</v>
      </c>
      <c r="B1069" s="2" t="s">
        <v>35</v>
      </c>
      <c r="C1069" s="2" t="s">
        <v>24</v>
      </c>
      <c r="D1069" s="2" t="s">
        <v>25</v>
      </c>
      <c r="E1069" s="2" t="s">
        <v>51</v>
      </c>
      <c r="F1069" s="2">
        <v>189221</v>
      </c>
      <c r="G1069" s="2">
        <v>7587</v>
      </c>
      <c r="H1069" s="2">
        <v>6904.17</v>
      </c>
      <c r="I1069" s="2">
        <v>80</v>
      </c>
      <c r="J1069" s="2">
        <v>2769.22</v>
      </c>
    </row>
    <row r="1070" spans="1:10" x14ac:dyDescent="0.45">
      <c r="A1070" s="2" t="s">
        <v>58</v>
      </c>
      <c r="B1070" s="2" t="s">
        <v>35</v>
      </c>
      <c r="C1070" s="2" t="s">
        <v>16</v>
      </c>
      <c r="D1070" s="2" t="s">
        <v>17</v>
      </c>
      <c r="E1070" s="2" t="s">
        <v>30</v>
      </c>
      <c r="F1070" s="2">
        <v>138704</v>
      </c>
      <c r="G1070" s="2">
        <v>1803</v>
      </c>
      <c r="H1070" s="2">
        <v>1550.58</v>
      </c>
      <c r="I1070" s="2">
        <v>119</v>
      </c>
      <c r="J1070" s="2">
        <v>10297.42</v>
      </c>
    </row>
    <row r="1071" spans="1:10" x14ac:dyDescent="0.45">
      <c r="A1071" s="2" t="s">
        <v>93</v>
      </c>
      <c r="B1071" s="2" t="s">
        <v>15</v>
      </c>
      <c r="C1071" s="2" t="s">
        <v>24</v>
      </c>
      <c r="D1071" s="2" t="s">
        <v>21</v>
      </c>
      <c r="E1071" s="2" t="s">
        <v>22</v>
      </c>
      <c r="F1071" s="2">
        <v>120475</v>
      </c>
      <c r="G1071" s="2">
        <v>7794</v>
      </c>
      <c r="H1071" s="2">
        <v>6079.32</v>
      </c>
      <c r="I1071" s="2">
        <v>530</v>
      </c>
      <c r="J1071" s="2">
        <v>143639.1</v>
      </c>
    </row>
    <row r="1072" spans="1:10" x14ac:dyDescent="0.45">
      <c r="A1072" s="2" t="s">
        <v>215</v>
      </c>
      <c r="B1072" s="2" t="s">
        <v>15</v>
      </c>
      <c r="C1072" s="2" t="s">
        <v>28</v>
      </c>
      <c r="D1072" s="2" t="s">
        <v>25</v>
      </c>
      <c r="E1072" s="2" t="s">
        <v>30</v>
      </c>
      <c r="F1072" s="2">
        <v>125019</v>
      </c>
      <c r="G1072" s="2">
        <v>8251</v>
      </c>
      <c r="H1072" s="2">
        <v>31106.27</v>
      </c>
      <c r="I1072" s="2">
        <v>609</v>
      </c>
      <c r="J1072" s="2">
        <v>135443.82</v>
      </c>
    </row>
    <row r="1073" spans="1:10" x14ac:dyDescent="0.45">
      <c r="A1073" s="2" t="s">
        <v>222</v>
      </c>
      <c r="B1073" s="2" t="s">
        <v>35</v>
      </c>
      <c r="C1073" s="2" t="s">
        <v>16</v>
      </c>
      <c r="D1073" s="2" t="s">
        <v>21</v>
      </c>
      <c r="E1073" s="2" t="s">
        <v>26</v>
      </c>
      <c r="F1073" s="2">
        <v>198775</v>
      </c>
      <c r="G1073" s="2">
        <v>3637</v>
      </c>
      <c r="H1073" s="2">
        <v>7237.63</v>
      </c>
      <c r="I1073" s="2">
        <v>235</v>
      </c>
      <c r="J1073" s="2">
        <v>18520.23</v>
      </c>
    </row>
    <row r="1074" spans="1:10" x14ac:dyDescent="0.45">
      <c r="A1074" s="2" t="s">
        <v>66</v>
      </c>
      <c r="B1074" s="2" t="s">
        <v>20</v>
      </c>
      <c r="C1074" s="2" t="s">
        <v>24</v>
      </c>
      <c r="D1074" s="2" t="s">
        <v>21</v>
      </c>
      <c r="E1074" s="2" t="s">
        <v>54</v>
      </c>
      <c r="F1074" s="2">
        <v>52059</v>
      </c>
      <c r="G1074" s="2">
        <v>2956</v>
      </c>
      <c r="H1074" s="2">
        <v>1684.92</v>
      </c>
      <c r="I1074" s="2">
        <v>29</v>
      </c>
      <c r="J1074" s="2">
        <v>5633.14</v>
      </c>
    </row>
    <row r="1075" spans="1:10" x14ac:dyDescent="0.45">
      <c r="A1075" s="2" t="s">
        <v>246</v>
      </c>
      <c r="B1075" s="2" t="s">
        <v>15</v>
      </c>
      <c r="C1075" s="2" t="s">
        <v>38</v>
      </c>
      <c r="D1075" s="2" t="s">
        <v>29</v>
      </c>
      <c r="E1075" s="2" t="s">
        <v>26</v>
      </c>
      <c r="F1075" s="2">
        <v>183373</v>
      </c>
      <c r="G1075" s="2">
        <v>7169</v>
      </c>
      <c r="H1075" s="2">
        <v>11111.95</v>
      </c>
      <c r="I1075" s="2">
        <v>342</v>
      </c>
      <c r="J1075" s="2">
        <v>18314.28</v>
      </c>
    </row>
    <row r="1076" spans="1:10" x14ac:dyDescent="0.45">
      <c r="A1076" s="2" t="s">
        <v>307</v>
      </c>
      <c r="B1076" s="2" t="s">
        <v>35</v>
      </c>
      <c r="C1076" s="2" t="s">
        <v>16</v>
      </c>
      <c r="D1076" s="2" t="s">
        <v>41</v>
      </c>
      <c r="E1076" s="2" t="s">
        <v>26</v>
      </c>
      <c r="F1076" s="2">
        <v>114844</v>
      </c>
      <c r="G1076" s="2">
        <v>3307</v>
      </c>
      <c r="H1076" s="2">
        <v>6944.7</v>
      </c>
      <c r="I1076" s="2">
        <v>123</v>
      </c>
      <c r="J1076" s="2">
        <v>36552.89</v>
      </c>
    </row>
    <row r="1077" spans="1:10" x14ac:dyDescent="0.45">
      <c r="A1077" s="2" t="s">
        <v>159</v>
      </c>
      <c r="B1077" s="2" t="s">
        <v>35</v>
      </c>
      <c r="C1077" s="2" t="s">
        <v>16</v>
      </c>
      <c r="D1077" s="2" t="s">
        <v>41</v>
      </c>
      <c r="E1077" s="2" t="s">
        <v>26</v>
      </c>
      <c r="F1077" s="2">
        <v>53865</v>
      </c>
      <c r="G1077" s="2">
        <v>1098</v>
      </c>
      <c r="H1077" s="2">
        <v>1405.44</v>
      </c>
      <c r="I1077" s="2">
        <v>67</v>
      </c>
      <c r="J1077" s="2">
        <v>2545.35</v>
      </c>
    </row>
    <row r="1078" spans="1:10" x14ac:dyDescent="0.45">
      <c r="A1078" s="2" t="s">
        <v>112</v>
      </c>
      <c r="B1078" s="2" t="s">
        <v>15</v>
      </c>
      <c r="C1078" s="2" t="s">
        <v>24</v>
      </c>
      <c r="D1078" s="2" t="s">
        <v>41</v>
      </c>
      <c r="E1078" s="2" t="s">
        <v>30</v>
      </c>
      <c r="F1078" s="2">
        <v>25080</v>
      </c>
      <c r="G1078" s="2">
        <v>1113</v>
      </c>
      <c r="H1078" s="2">
        <v>2916.06</v>
      </c>
      <c r="I1078" s="2">
        <v>49</v>
      </c>
      <c r="J1078" s="2">
        <v>2232.61</v>
      </c>
    </row>
    <row r="1079" spans="1:10" x14ac:dyDescent="0.45">
      <c r="A1079" s="2" t="s">
        <v>231</v>
      </c>
      <c r="B1079" s="2" t="s">
        <v>20</v>
      </c>
      <c r="C1079" s="2" t="s">
        <v>16</v>
      </c>
      <c r="D1079" s="2" t="s">
        <v>41</v>
      </c>
      <c r="E1079" s="2" t="s">
        <v>51</v>
      </c>
      <c r="F1079" s="2">
        <v>95853</v>
      </c>
      <c r="G1079" s="2">
        <v>4658</v>
      </c>
      <c r="H1079" s="2">
        <v>1443.98</v>
      </c>
      <c r="I1079" s="2">
        <v>92</v>
      </c>
      <c r="J1079" s="2">
        <v>27317.08</v>
      </c>
    </row>
    <row r="1080" spans="1:10" x14ac:dyDescent="0.45">
      <c r="A1080" s="2" t="s">
        <v>43</v>
      </c>
      <c r="B1080" s="2" t="s">
        <v>15</v>
      </c>
      <c r="C1080" s="2" t="s">
        <v>24</v>
      </c>
      <c r="D1080" s="2" t="s">
        <v>29</v>
      </c>
      <c r="E1080" s="2" t="s">
        <v>33</v>
      </c>
      <c r="F1080" s="2">
        <v>27593</v>
      </c>
      <c r="G1080" s="2">
        <v>896</v>
      </c>
      <c r="H1080" s="2">
        <v>2141.44</v>
      </c>
      <c r="I1080" s="2">
        <v>48</v>
      </c>
      <c r="J1080" s="2">
        <v>8087.57</v>
      </c>
    </row>
    <row r="1081" spans="1:10" x14ac:dyDescent="0.45">
      <c r="A1081" s="2" t="s">
        <v>42</v>
      </c>
      <c r="B1081" s="2" t="s">
        <v>35</v>
      </c>
      <c r="C1081" s="2" t="s">
        <v>24</v>
      </c>
      <c r="D1081" s="2" t="s">
        <v>21</v>
      </c>
      <c r="E1081" s="2" t="s">
        <v>26</v>
      </c>
      <c r="F1081" s="2">
        <v>34949</v>
      </c>
      <c r="G1081" s="2">
        <v>1324</v>
      </c>
      <c r="H1081" s="2">
        <v>2369.96</v>
      </c>
      <c r="I1081" s="2">
        <v>86</v>
      </c>
      <c r="J1081" s="2">
        <v>9084.2199999999993</v>
      </c>
    </row>
    <row r="1082" spans="1:10" x14ac:dyDescent="0.45">
      <c r="A1082" s="2" t="s">
        <v>77</v>
      </c>
      <c r="B1082" s="2" t="s">
        <v>20</v>
      </c>
      <c r="C1082" s="2" t="s">
        <v>28</v>
      </c>
      <c r="D1082" s="2" t="s">
        <v>41</v>
      </c>
      <c r="E1082" s="2" t="s">
        <v>26</v>
      </c>
      <c r="F1082" s="2">
        <v>72986</v>
      </c>
      <c r="G1082" s="2">
        <v>3379</v>
      </c>
      <c r="H1082" s="2">
        <v>5980.83</v>
      </c>
      <c r="I1082" s="2">
        <v>188</v>
      </c>
      <c r="J1082" s="2">
        <v>17387.72</v>
      </c>
    </row>
    <row r="1083" spans="1:10" x14ac:dyDescent="0.45">
      <c r="A1083" s="2" t="s">
        <v>374</v>
      </c>
      <c r="B1083" s="2" t="s">
        <v>15</v>
      </c>
      <c r="C1083" s="2" t="s">
        <v>28</v>
      </c>
      <c r="D1083" s="2" t="s">
        <v>25</v>
      </c>
      <c r="E1083" s="2" t="s">
        <v>18</v>
      </c>
      <c r="F1083" s="2">
        <v>149848</v>
      </c>
      <c r="G1083" s="2">
        <v>9290</v>
      </c>
      <c r="H1083" s="2">
        <v>18301.3</v>
      </c>
      <c r="I1083" s="2">
        <v>537</v>
      </c>
      <c r="J1083" s="2">
        <v>106414.01</v>
      </c>
    </row>
    <row r="1084" spans="1:10" x14ac:dyDescent="0.45">
      <c r="A1084" s="2" t="s">
        <v>321</v>
      </c>
      <c r="B1084" s="2" t="s">
        <v>15</v>
      </c>
      <c r="C1084" s="2" t="s">
        <v>24</v>
      </c>
      <c r="D1084" s="2" t="s">
        <v>29</v>
      </c>
      <c r="E1084" s="2" t="s">
        <v>54</v>
      </c>
      <c r="F1084" s="2">
        <v>143235</v>
      </c>
      <c r="G1084" s="2">
        <v>3981</v>
      </c>
      <c r="H1084" s="2">
        <v>7285.23</v>
      </c>
      <c r="I1084" s="2">
        <v>125</v>
      </c>
      <c r="J1084" s="2">
        <v>27104.75</v>
      </c>
    </row>
    <row r="1085" spans="1:10" x14ac:dyDescent="0.45">
      <c r="A1085" s="2" t="s">
        <v>339</v>
      </c>
      <c r="B1085" s="2" t="s">
        <v>20</v>
      </c>
      <c r="C1085" s="2" t="s">
        <v>24</v>
      </c>
      <c r="D1085" s="2" t="s">
        <v>21</v>
      </c>
      <c r="E1085" s="2" t="s">
        <v>51</v>
      </c>
      <c r="F1085" s="2">
        <v>157625</v>
      </c>
      <c r="G1085" s="2">
        <v>9457</v>
      </c>
      <c r="H1085" s="2">
        <v>4539.3599999999997</v>
      </c>
      <c r="I1085" s="2">
        <v>534</v>
      </c>
      <c r="J1085" s="2">
        <v>147520.79999999999</v>
      </c>
    </row>
    <row r="1086" spans="1:10" x14ac:dyDescent="0.45">
      <c r="A1086" s="2" t="s">
        <v>291</v>
      </c>
      <c r="B1086" s="2" t="s">
        <v>35</v>
      </c>
      <c r="C1086" s="2" t="s">
        <v>16</v>
      </c>
      <c r="D1086" s="2" t="s">
        <v>17</v>
      </c>
      <c r="E1086" s="2" t="s">
        <v>51</v>
      </c>
      <c r="F1086" s="2">
        <v>172816</v>
      </c>
      <c r="G1086" s="2">
        <v>3819</v>
      </c>
      <c r="H1086" s="2">
        <v>8172.66</v>
      </c>
      <c r="I1086" s="2">
        <v>193</v>
      </c>
      <c r="J1086" s="2">
        <v>41926.28</v>
      </c>
    </row>
    <row r="1087" spans="1:10" x14ac:dyDescent="0.45">
      <c r="A1087" s="2" t="s">
        <v>52</v>
      </c>
      <c r="B1087" s="2" t="s">
        <v>20</v>
      </c>
      <c r="C1087" s="2" t="s">
        <v>24</v>
      </c>
      <c r="D1087" s="2" t="s">
        <v>41</v>
      </c>
      <c r="E1087" s="2" t="s">
        <v>22</v>
      </c>
      <c r="F1087" s="2">
        <v>56529</v>
      </c>
      <c r="G1087" s="2">
        <v>4494</v>
      </c>
      <c r="H1087" s="2">
        <v>6785.94</v>
      </c>
      <c r="I1087" s="2">
        <v>104</v>
      </c>
      <c r="J1087" s="2">
        <v>9525.68</v>
      </c>
    </row>
    <row r="1088" spans="1:10" x14ac:dyDescent="0.45">
      <c r="A1088" s="2" t="s">
        <v>166</v>
      </c>
      <c r="B1088" s="2" t="s">
        <v>20</v>
      </c>
      <c r="C1088" s="2" t="s">
        <v>28</v>
      </c>
      <c r="D1088" s="2" t="s">
        <v>21</v>
      </c>
      <c r="E1088" s="2" t="s">
        <v>26</v>
      </c>
      <c r="F1088" s="2">
        <v>176030</v>
      </c>
      <c r="G1088" s="2">
        <v>13079</v>
      </c>
      <c r="H1088" s="2">
        <v>19749.29</v>
      </c>
      <c r="I1088" s="2">
        <v>200</v>
      </c>
      <c r="J1088" s="2">
        <v>41247.07</v>
      </c>
    </row>
    <row r="1089" spans="1:10" x14ac:dyDescent="0.45">
      <c r="A1089" s="2" t="s">
        <v>249</v>
      </c>
      <c r="B1089" s="2" t="s">
        <v>35</v>
      </c>
      <c r="C1089" s="2" t="s">
        <v>16</v>
      </c>
      <c r="D1089" s="2" t="s">
        <v>29</v>
      </c>
      <c r="E1089" s="2" t="s">
        <v>33</v>
      </c>
      <c r="F1089" s="2">
        <v>128355</v>
      </c>
      <c r="G1089" s="2">
        <v>1758</v>
      </c>
      <c r="H1089" s="2">
        <v>3269.88</v>
      </c>
      <c r="I1089" s="2">
        <v>122</v>
      </c>
      <c r="J1089" s="2">
        <v>6205.33</v>
      </c>
    </row>
    <row r="1090" spans="1:10" x14ac:dyDescent="0.45">
      <c r="A1090" s="2" t="s">
        <v>169</v>
      </c>
      <c r="B1090" s="2" t="s">
        <v>15</v>
      </c>
      <c r="C1090" s="2" t="s">
        <v>24</v>
      </c>
      <c r="D1090" s="2" t="s">
        <v>17</v>
      </c>
      <c r="E1090" s="2" t="s">
        <v>26</v>
      </c>
      <c r="F1090" s="2">
        <v>14096</v>
      </c>
      <c r="G1090" s="2">
        <v>476</v>
      </c>
      <c r="H1090" s="2">
        <v>614.04</v>
      </c>
      <c r="I1090" s="2">
        <v>34</v>
      </c>
      <c r="J1090" s="2">
        <v>3175.83</v>
      </c>
    </row>
    <row r="1091" spans="1:10" x14ac:dyDescent="0.45">
      <c r="A1091" s="2" t="s">
        <v>114</v>
      </c>
      <c r="B1091" s="2" t="s">
        <v>15</v>
      </c>
      <c r="C1091" s="2" t="s">
        <v>24</v>
      </c>
      <c r="D1091" s="2" t="s">
        <v>29</v>
      </c>
      <c r="E1091" s="2" t="s">
        <v>26</v>
      </c>
      <c r="F1091" s="2">
        <v>31855</v>
      </c>
      <c r="G1091" s="2">
        <v>1411</v>
      </c>
      <c r="H1091" s="2">
        <v>2398.6999999999998</v>
      </c>
      <c r="I1091" s="2">
        <v>60</v>
      </c>
      <c r="J1091" s="2">
        <v>3201.45</v>
      </c>
    </row>
    <row r="1092" spans="1:10" x14ac:dyDescent="0.45">
      <c r="A1092" s="2" t="s">
        <v>209</v>
      </c>
      <c r="B1092" s="2" t="s">
        <v>15</v>
      </c>
      <c r="C1092" s="2" t="s">
        <v>16</v>
      </c>
      <c r="D1092" s="2" t="s">
        <v>21</v>
      </c>
      <c r="E1092" s="2" t="s">
        <v>18</v>
      </c>
      <c r="F1092" s="2">
        <v>95218</v>
      </c>
      <c r="G1092" s="2">
        <v>2199</v>
      </c>
      <c r="H1092" s="2">
        <v>5255.61</v>
      </c>
      <c r="I1092" s="2">
        <v>103</v>
      </c>
      <c r="J1092" s="2">
        <v>17399.72</v>
      </c>
    </row>
    <row r="1093" spans="1:10" x14ac:dyDescent="0.45">
      <c r="A1093" s="2" t="s">
        <v>347</v>
      </c>
      <c r="B1093" s="2" t="s">
        <v>15</v>
      </c>
      <c r="C1093" s="2" t="s">
        <v>28</v>
      </c>
      <c r="D1093" s="2" t="s">
        <v>41</v>
      </c>
      <c r="E1093" s="2" t="s">
        <v>30</v>
      </c>
      <c r="F1093" s="2">
        <v>102409</v>
      </c>
      <c r="G1093" s="2">
        <v>3389</v>
      </c>
      <c r="H1093" s="2">
        <v>12132.62</v>
      </c>
      <c r="I1093" s="2">
        <v>149</v>
      </c>
      <c r="J1093" s="2">
        <v>31253.87</v>
      </c>
    </row>
    <row r="1094" spans="1:10" x14ac:dyDescent="0.45">
      <c r="A1094" s="2" t="s">
        <v>327</v>
      </c>
      <c r="B1094" s="2" t="s">
        <v>15</v>
      </c>
      <c r="C1094" s="2" t="s">
        <v>16</v>
      </c>
      <c r="D1094" s="2" t="s">
        <v>41</v>
      </c>
      <c r="E1094" s="2" t="s">
        <v>51</v>
      </c>
      <c r="F1094" s="2">
        <v>31049</v>
      </c>
      <c r="G1094" s="2">
        <v>1021</v>
      </c>
      <c r="H1094" s="2">
        <v>3379.51</v>
      </c>
      <c r="I1094" s="2">
        <v>31</v>
      </c>
      <c r="J1094" s="2">
        <v>7117.65</v>
      </c>
    </row>
    <row r="1095" spans="1:10" x14ac:dyDescent="0.45">
      <c r="A1095" s="2" t="s">
        <v>377</v>
      </c>
      <c r="B1095" s="2" t="s">
        <v>20</v>
      </c>
      <c r="C1095" s="2" t="s">
        <v>16</v>
      </c>
      <c r="D1095" s="2" t="s">
        <v>25</v>
      </c>
      <c r="E1095" s="2" t="s">
        <v>30</v>
      </c>
      <c r="F1095" s="2">
        <v>129077</v>
      </c>
      <c r="G1095" s="2">
        <v>4065</v>
      </c>
      <c r="H1095" s="2">
        <v>4959.3</v>
      </c>
      <c r="I1095" s="2">
        <v>295</v>
      </c>
      <c r="J1095" s="2">
        <v>44193.52</v>
      </c>
    </row>
    <row r="1096" spans="1:10" x14ac:dyDescent="0.45">
      <c r="A1096" s="2" t="s">
        <v>289</v>
      </c>
      <c r="B1096" s="2" t="s">
        <v>35</v>
      </c>
      <c r="C1096" s="2" t="s">
        <v>28</v>
      </c>
      <c r="D1096" s="2" t="s">
        <v>41</v>
      </c>
      <c r="E1096" s="2" t="s">
        <v>30</v>
      </c>
      <c r="F1096" s="2">
        <v>166874</v>
      </c>
      <c r="G1096" s="2">
        <v>6641</v>
      </c>
      <c r="H1096" s="2">
        <v>4515.88</v>
      </c>
      <c r="I1096" s="2">
        <v>200</v>
      </c>
      <c r="J1096" s="2">
        <v>17225.95</v>
      </c>
    </row>
    <row r="1097" spans="1:10" x14ac:dyDescent="0.45">
      <c r="A1097" s="2" t="s">
        <v>305</v>
      </c>
      <c r="B1097" s="2" t="s">
        <v>15</v>
      </c>
      <c r="C1097" s="2" t="s">
        <v>16</v>
      </c>
      <c r="D1097" s="2" t="s">
        <v>29</v>
      </c>
      <c r="E1097" s="2" t="s">
        <v>54</v>
      </c>
      <c r="F1097" s="2">
        <v>153865</v>
      </c>
      <c r="G1097" s="2">
        <v>5785</v>
      </c>
      <c r="H1097" s="2">
        <v>9834.5</v>
      </c>
      <c r="I1097" s="2">
        <v>139</v>
      </c>
      <c r="J1097" s="2">
        <v>16979.34</v>
      </c>
    </row>
    <row r="1098" spans="1:10" x14ac:dyDescent="0.45">
      <c r="A1098" s="2" t="s">
        <v>378</v>
      </c>
      <c r="B1098" s="2" t="s">
        <v>20</v>
      </c>
      <c r="C1098" s="2" t="s">
        <v>38</v>
      </c>
      <c r="D1098" s="2" t="s">
        <v>25</v>
      </c>
      <c r="E1098" s="2" t="s">
        <v>22</v>
      </c>
      <c r="F1098" s="2">
        <v>187199</v>
      </c>
      <c r="G1098" s="2">
        <v>12036</v>
      </c>
      <c r="H1098" s="2">
        <v>16007.88</v>
      </c>
      <c r="I1098" s="2">
        <v>946</v>
      </c>
      <c r="J1098" s="2">
        <v>165825.37</v>
      </c>
    </row>
    <row r="1099" spans="1:10" x14ac:dyDescent="0.45">
      <c r="A1099" s="2" t="s">
        <v>255</v>
      </c>
      <c r="B1099" s="2" t="s">
        <v>35</v>
      </c>
      <c r="C1099" s="2" t="s">
        <v>24</v>
      </c>
      <c r="D1099" s="2" t="s">
        <v>29</v>
      </c>
      <c r="E1099" s="2" t="s">
        <v>22</v>
      </c>
      <c r="F1099" s="2">
        <v>117696</v>
      </c>
      <c r="G1099" s="2">
        <v>4531</v>
      </c>
      <c r="H1099" s="2">
        <v>4938.79</v>
      </c>
      <c r="I1099" s="2">
        <v>325</v>
      </c>
      <c r="J1099" s="2">
        <v>19270.73</v>
      </c>
    </row>
    <row r="1100" spans="1:10" x14ac:dyDescent="0.45">
      <c r="A1100" s="2" t="s">
        <v>325</v>
      </c>
      <c r="B1100" s="2" t="s">
        <v>35</v>
      </c>
      <c r="C1100" s="2" t="s">
        <v>16</v>
      </c>
      <c r="D1100" s="2" t="s">
        <v>25</v>
      </c>
      <c r="E1100" s="2" t="s">
        <v>33</v>
      </c>
      <c r="F1100" s="2">
        <v>147324</v>
      </c>
      <c r="G1100" s="2">
        <v>1325</v>
      </c>
      <c r="H1100" s="2">
        <v>2279</v>
      </c>
      <c r="I1100" s="2">
        <v>96</v>
      </c>
      <c r="J1100" s="2">
        <v>10356.84</v>
      </c>
    </row>
    <row r="1101" spans="1:10" x14ac:dyDescent="0.45">
      <c r="A1101" s="2" t="s">
        <v>279</v>
      </c>
      <c r="B1101" s="2" t="s">
        <v>15</v>
      </c>
      <c r="C1101" s="2" t="s">
        <v>24</v>
      </c>
      <c r="D1101" s="2" t="s">
        <v>17</v>
      </c>
      <c r="E1101" s="2" t="s">
        <v>54</v>
      </c>
      <c r="F1101" s="2">
        <v>39001</v>
      </c>
      <c r="G1101" s="2">
        <v>1450</v>
      </c>
      <c r="H1101" s="2">
        <v>3799</v>
      </c>
      <c r="I1101" s="2">
        <v>18</v>
      </c>
      <c r="J1101" s="2">
        <v>5256.07</v>
      </c>
    </row>
    <row r="1102" spans="1:10" x14ac:dyDescent="0.45">
      <c r="A1102" s="2" t="s">
        <v>273</v>
      </c>
      <c r="B1102" s="2" t="s">
        <v>20</v>
      </c>
      <c r="C1102" s="2" t="s">
        <v>16</v>
      </c>
      <c r="D1102" s="2" t="s">
        <v>25</v>
      </c>
      <c r="E1102" s="2" t="s">
        <v>26</v>
      </c>
      <c r="F1102" s="2">
        <v>69277</v>
      </c>
      <c r="G1102" s="2">
        <v>5057</v>
      </c>
      <c r="H1102" s="2">
        <v>5360.42</v>
      </c>
      <c r="I1102" s="2">
        <v>268</v>
      </c>
      <c r="J1102" s="2">
        <v>57608.77</v>
      </c>
    </row>
    <row r="1103" spans="1:10" x14ac:dyDescent="0.45">
      <c r="A1103" s="2" t="s">
        <v>379</v>
      </c>
      <c r="B1103" s="2" t="s">
        <v>15</v>
      </c>
      <c r="C1103" s="2" t="s">
        <v>16</v>
      </c>
      <c r="D1103" s="2" t="s">
        <v>41</v>
      </c>
      <c r="E1103" s="2" t="s">
        <v>26</v>
      </c>
      <c r="F1103" s="2">
        <v>166687</v>
      </c>
      <c r="G1103" s="2">
        <v>11384</v>
      </c>
      <c r="H1103" s="2">
        <v>8310.32</v>
      </c>
      <c r="I1103" s="2">
        <v>899</v>
      </c>
      <c r="J1103" s="2">
        <v>139644.20000000001</v>
      </c>
    </row>
    <row r="1104" spans="1:10" x14ac:dyDescent="0.45">
      <c r="A1104" s="2" t="s">
        <v>380</v>
      </c>
      <c r="B1104" s="2" t="s">
        <v>35</v>
      </c>
      <c r="C1104" s="2" t="s">
        <v>24</v>
      </c>
      <c r="D1104" s="2" t="s">
        <v>41</v>
      </c>
      <c r="E1104" s="2" t="s">
        <v>33</v>
      </c>
      <c r="F1104" s="2">
        <v>173898</v>
      </c>
      <c r="G1104" s="2">
        <v>5321</v>
      </c>
      <c r="H1104" s="2">
        <v>2820.13</v>
      </c>
      <c r="I1104" s="2">
        <v>239</v>
      </c>
      <c r="J1104" s="2">
        <v>52181.09</v>
      </c>
    </row>
    <row r="1105" spans="1:10" x14ac:dyDescent="0.45">
      <c r="A1105" s="2" t="s">
        <v>246</v>
      </c>
      <c r="B1105" s="2" t="s">
        <v>15</v>
      </c>
      <c r="C1105" s="2" t="s">
        <v>38</v>
      </c>
      <c r="D1105" s="2" t="s">
        <v>29</v>
      </c>
      <c r="E1105" s="2" t="s">
        <v>33</v>
      </c>
      <c r="F1105" s="2">
        <v>117000</v>
      </c>
      <c r="G1105" s="2">
        <v>7979</v>
      </c>
      <c r="H1105" s="2">
        <v>11729.13</v>
      </c>
      <c r="I1105" s="2">
        <v>366</v>
      </c>
      <c r="J1105" s="2">
        <v>14373.81</v>
      </c>
    </row>
    <row r="1106" spans="1:10" x14ac:dyDescent="0.45">
      <c r="A1106" s="2" t="s">
        <v>179</v>
      </c>
      <c r="B1106" s="2" t="s">
        <v>35</v>
      </c>
      <c r="C1106" s="2" t="s">
        <v>28</v>
      </c>
      <c r="D1106" s="2" t="s">
        <v>29</v>
      </c>
      <c r="E1106" s="2" t="s">
        <v>22</v>
      </c>
      <c r="F1106" s="2">
        <v>55697</v>
      </c>
      <c r="G1106" s="2">
        <v>957</v>
      </c>
      <c r="H1106" s="2">
        <v>870.87</v>
      </c>
      <c r="I1106" s="2">
        <v>12</v>
      </c>
      <c r="J1106" s="2">
        <v>1673.31</v>
      </c>
    </row>
    <row r="1107" spans="1:10" x14ac:dyDescent="0.45">
      <c r="A1107" s="2" t="s">
        <v>280</v>
      </c>
      <c r="B1107" s="2" t="s">
        <v>15</v>
      </c>
      <c r="C1107" s="2" t="s">
        <v>38</v>
      </c>
      <c r="D1107" s="2" t="s">
        <v>17</v>
      </c>
      <c r="E1107" s="2" t="s">
        <v>22</v>
      </c>
      <c r="F1107" s="2">
        <v>46585</v>
      </c>
      <c r="G1107" s="2">
        <v>1504</v>
      </c>
      <c r="H1107" s="2">
        <v>3308.8</v>
      </c>
      <c r="I1107" s="2">
        <v>85</v>
      </c>
      <c r="J1107" s="2">
        <v>13372.82</v>
      </c>
    </row>
    <row r="1108" spans="1:10" x14ac:dyDescent="0.45">
      <c r="A1108" s="2" t="s">
        <v>34</v>
      </c>
      <c r="B1108" s="2" t="s">
        <v>20</v>
      </c>
      <c r="C1108" s="2" t="s">
        <v>16</v>
      </c>
      <c r="D1108" s="2" t="s">
        <v>41</v>
      </c>
      <c r="E1108" s="2" t="s">
        <v>30</v>
      </c>
      <c r="F1108" s="2">
        <v>97345</v>
      </c>
      <c r="G1108" s="2">
        <v>5178</v>
      </c>
      <c r="H1108" s="2">
        <v>3158.58</v>
      </c>
      <c r="I1108" s="2">
        <v>289</v>
      </c>
      <c r="J1108" s="2">
        <v>44113.49</v>
      </c>
    </row>
    <row r="1109" spans="1:10" x14ac:dyDescent="0.45">
      <c r="A1109" s="2" t="s">
        <v>330</v>
      </c>
      <c r="B1109" s="2" t="s">
        <v>20</v>
      </c>
      <c r="C1109" s="2" t="s">
        <v>24</v>
      </c>
      <c r="D1109" s="2" t="s">
        <v>41</v>
      </c>
      <c r="E1109" s="2" t="s">
        <v>51</v>
      </c>
      <c r="F1109" s="2">
        <v>143519</v>
      </c>
      <c r="G1109" s="2">
        <v>10519</v>
      </c>
      <c r="H1109" s="2">
        <v>9046.34</v>
      </c>
      <c r="I1109" s="2">
        <v>673</v>
      </c>
      <c r="J1109" s="2">
        <v>28878.71</v>
      </c>
    </row>
    <row r="1110" spans="1:10" x14ac:dyDescent="0.45">
      <c r="A1110" s="2" t="s">
        <v>140</v>
      </c>
      <c r="B1110" s="2" t="s">
        <v>35</v>
      </c>
      <c r="C1110" s="2" t="s">
        <v>38</v>
      </c>
      <c r="D1110" s="2" t="s">
        <v>41</v>
      </c>
      <c r="E1110" s="2" t="s">
        <v>33</v>
      </c>
      <c r="F1110" s="2">
        <v>68843</v>
      </c>
      <c r="G1110" s="2">
        <v>633</v>
      </c>
      <c r="H1110" s="2">
        <v>563.37</v>
      </c>
      <c r="I1110" s="2">
        <v>25</v>
      </c>
      <c r="J1110" s="2">
        <v>2441.19</v>
      </c>
    </row>
    <row r="1111" spans="1:10" x14ac:dyDescent="0.45">
      <c r="A1111" s="2" t="s">
        <v>137</v>
      </c>
      <c r="B1111" s="2" t="s">
        <v>15</v>
      </c>
      <c r="C1111" s="2" t="s">
        <v>38</v>
      </c>
      <c r="D1111" s="2" t="s">
        <v>17</v>
      </c>
      <c r="E1111" s="2" t="s">
        <v>26</v>
      </c>
      <c r="F1111" s="2">
        <v>129679</v>
      </c>
      <c r="G1111" s="2">
        <v>5848</v>
      </c>
      <c r="H1111" s="2">
        <v>8655.0400000000009</v>
      </c>
      <c r="I1111" s="2">
        <v>158</v>
      </c>
      <c r="J1111" s="2">
        <v>32419.87</v>
      </c>
    </row>
    <row r="1112" spans="1:10" x14ac:dyDescent="0.45">
      <c r="A1112" s="2" t="s">
        <v>344</v>
      </c>
      <c r="B1112" s="2" t="s">
        <v>35</v>
      </c>
      <c r="C1112" s="2" t="s">
        <v>16</v>
      </c>
      <c r="D1112" s="2" t="s">
        <v>17</v>
      </c>
      <c r="E1112" s="2" t="s">
        <v>22</v>
      </c>
      <c r="F1112" s="2">
        <v>153157</v>
      </c>
      <c r="G1112" s="2">
        <v>5498</v>
      </c>
      <c r="H1112" s="2">
        <v>9896.4</v>
      </c>
      <c r="I1112" s="2">
        <v>401</v>
      </c>
      <c r="J1112" s="2">
        <v>90694.52</v>
      </c>
    </row>
    <row r="1113" spans="1:10" x14ac:dyDescent="0.45">
      <c r="A1113" s="2" t="s">
        <v>309</v>
      </c>
      <c r="B1113" s="2" t="s">
        <v>35</v>
      </c>
      <c r="C1113" s="2" t="s">
        <v>38</v>
      </c>
      <c r="D1113" s="2" t="s">
        <v>41</v>
      </c>
      <c r="E1113" s="2" t="s">
        <v>33</v>
      </c>
      <c r="F1113" s="2">
        <v>138074</v>
      </c>
      <c r="G1113" s="2">
        <v>3313</v>
      </c>
      <c r="H1113" s="2">
        <v>6327.83</v>
      </c>
      <c r="I1113" s="2">
        <v>209</v>
      </c>
      <c r="J1113" s="2">
        <v>16533.53</v>
      </c>
    </row>
    <row r="1114" spans="1:10" x14ac:dyDescent="0.45">
      <c r="A1114" s="2" t="s">
        <v>61</v>
      </c>
      <c r="B1114" s="2" t="s">
        <v>15</v>
      </c>
      <c r="C1114" s="2" t="s">
        <v>28</v>
      </c>
      <c r="D1114" s="2" t="s">
        <v>29</v>
      </c>
      <c r="E1114" s="2" t="s">
        <v>30</v>
      </c>
      <c r="F1114" s="2">
        <v>119132</v>
      </c>
      <c r="G1114" s="2">
        <v>3466</v>
      </c>
      <c r="H1114" s="2">
        <v>7590.54</v>
      </c>
      <c r="I1114" s="2">
        <v>261</v>
      </c>
      <c r="J1114" s="2">
        <v>30598.06</v>
      </c>
    </row>
    <row r="1115" spans="1:10" x14ac:dyDescent="0.45">
      <c r="A1115" s="2" t="s">
        <v>164</v>
      </c>
      <c r="B1115" s="2" t="s">
        <v>15</v>
      </c>
      <c r="C1115" s="2" t="s">
        <v>24</v>
      </c>
      <c r="D1115" s="2" t="s">
        <v>41</v>
      </c>
      <c r="E1115" s="2" t="s">
        <v>33</v>
      </c>
      <c r="F1115" s="2">
        <v>43634</v>
      </c>
      <c r="G1115" s="2">
        <v>1937</v>
      </c>
      <c r="H1115" s="2">
        <v>4610.0600000000004</v>
      </c>
      <c r="I1115" s="2">
        <v>58</v>
      </c>
      <c r="J1115" s="2">
        <v>15065.19</v>
      </c>
    </row>
    <row r="1116" spans="1:10" x14ac:dyDescent="0.45">
      <c r="A1116" s="2" t="s">
        <v>255</v>
      </c>
      <c r="B1116" s="2" t="s">
        <v>35</v>
      </c>
      <c r="C1116" s="2" t="s">
        <v>28</v>
      </c>
      <c r="D1116" s="2" t="s">
        <v>17</v>
      </c>
      <c r="E1116" s="2" t="s">
        <v>26</v>
      </c>
      <c r="F1116" s="2">
        <v>198899</v>
      </c>
      <c r="G1116" s="2">
        <v>2923</v>
      </c>
      <c r="H1116" s="2">
        <v>5758.31</v>
      </c>
      <c r="I1116" s="2">
        <v>95</v>
      </c>
      <c r="J1116" s="2">
        <v>3750</v>
      </c>
    </row>
    <row r="1117" spans="1:10" x14ac:dyDescent="0.45">
      <c r="A1117" s="2" t="s">
        <v>317</v>
      </c>
      <c r="B1117" s="2" t="s">
        <v>35</v>
      </c>
      <c r="C1117" s="2" t="s">
        <v>24</v>
      </c>
      <c r="D1117" s="2" t="s">
        <v>29</v>
      </c>
      <c r="E1117" s="2" t="s">
        <v>30</v>
      </c>
      <c r="F1117" s="2">
        <v>143383</v>
      </c>
      <c r="G1117" s="2">
        <v>3412</v>
      </c>
      <c r="H1117" s="2">
        <v>3480.24</v>
      </c>
      <c r="I1117" s="2">
        <v>117</v>
      </c>
      <c r="J1117" s="2">
        <v>19100.2</v>
      </c>
    </row>
    <row r="1118" spans="1:10" x14ac:dyDescent="0.45">
      <c r="A1118" s="2" t="s">
        <v>347</v>
      </c>
      <c r="B1118" s="2" t="s">
        <v>35</v>
      </c>
      <c r="C1118" s="2" t="s">
        <v>24</v>
      </c>
      <c r="D1118" s="2" t="s">
        <v>41</v>
      </c>
      <c r="E1118" s="2" t="s">
        <v>18</v>
      </c>
      <c r="F1118" s="2">
        <v>92469</v>
      </c>
      <c r="G1118" s="2">
        <v>2487</v>
      </c>
      <c r="H1118" s="2">
        <v>1492.2</v>
      </c>
      <c r="I1118" s="2">
        <v>48</v>
      </c>
      <c r="J1118" s="2">
        <v>14164.35</v>
      </c>
    </row>
    <row r="1119" spans="1:10" x14ac:dyDescent="0.45">
      <c r="A1119" s="2" t="s">
        <v>135</v>
      </c>
      <c r="B1119" s="2" t="s">
        <v>15</v>
      </c>
      <c r="C1119" s="2" t="s">
        <v>28</v>
      </c>
      <c r="D1119" s="2" t="s">
        <v>29</v>
      </c>
      <c r="E1119" s="2" t="s">
        <v>30</v>
      </c>
      <c r="F1119" s="2">
        <v>30852</v>
      </c>
      <c r="G1119" s="2">
        <v>684</v>
      </c>
      <c r="H1119" s="2">
        <v>1087.56</v>
      </c>
      <c r="I1119" s="2">
        <v>11</v>
      </c>
      <c r="J1119" s="2">
        <v>2813.84</v>
      </c>
    </row>
    <row r="1120" spans="1:10" x14ac:dyDescent="0.45">
      <c r="A1120" s="2" t="s">
        <v>61</v>
      </c>
      <c r="B1120" s="2" t="s">
        <v>35</v>
      </c>
      <c r="C1120" s="2" t="s">
        <v>16</v>
      </c>
      <c r="D1120" s="2" t="s">
        <v>25</v>
      </c>
      <c r="E1120" s="2" t="s">
        <v>30</v>
      </c>
      <c r="F1120" s="2">
        <v>87565</v>
      </c>
      <c r="G1120" s="2">
        <v>3213</v>
      </c>
      <c r="H1120" s="2">
        <v>7068.6</v>
      </c>
      <c r="I1120" s="2">
        <v>106</v>
      </c>
      <c r="J1120" s="2">
        <v>13715.98</v>
      </c>
    </row>
    <row r="1121" spans="1:10" x14ac:dyDescent="0.45">
      <c r="A1121" s="2" t="s">
        <v>222</v>
      </c>
      <c r="B1121" s="2" t="s">
        <v>15</v>
      </c>
      <c r="C1121" s="2" t="s">
        <v>28</v>
      </c>
      <c r="D1121" s="2" t="s">
        <v>21</v>
      </c>
      <c r="E1121" s="2" t="s">
        <v>22</v>
      </c>
      <c r="F1121" s="2">
        <v>154058</v>
      </c>
      <c r="G1121" s="2">
        <v>3728</v>
      </c>
      <c r="H1121" s="2">
        <v>9170.8799999999992</v>
      </c>
      <c r="I1121" s="2">
        <v>125</v>
      </c>
      <c r="J1121" s="2">
        <v>7520.81</v>
      </c>
    </row>
    <row r="1122" spans="1:10" x14ac:dyDescent="0.45">
      <c r="A1122" s="2" t="s">
        <v>338</v>
      </c>
      <c r="B1122" s="2" t="s">
        <v>15</v>
      </c>
      <c r="C1122" s="2" t="s">
        <v>38</v>
      </c>
      <c r="D1122" s="2" t="s">
        <v>29</v>
      </c>
      <c r="E1122" s="2" t="s">
        <v>51</v>
      </c>
      <c r="F1122" s="2">
        <v>160579</v>
      </c>
      <c r="G1122" s="2">
        <v>7804</v>
      </c>
      <c r="H1122" s="2">
        <v>10613.44</v>
      </c>
      <c r="I1122" s="2">
        <v>193</v>
      </c>
      <c r="J1122" s="2">
        <v>9996.49</v>
      </c>
    </row>
    <row r="1123" spans="1:10" x14ac:dyDescent="0.45">
      <c r="A1123" s="2" t="s">
        <v>381</v>
      </c>
      <c r="B1123" s="2" t="s">
        <v>20</v>
      </c>
      <c r="C1123" s="2" t="s">
        <v>16</v>
      </c>
      <c r="D1123" s="2" t="s">
        <v>29</v>
      </c>
      <c r="E1123" s="2" t="s">
        <v>18</v>
      </c>
      <c r="F1123" s="2">
        <v>34076</v>
      </c>
      <c r="G1123" s="2">
        <v>1363</v>
      </c>
      <c r="H1123" s="2">
        <v>1553.82</v>
      </c>
      <c r="I1123" s="2">
        <v>16</v>
      </c>
      <c r="J1123" s="2">
        <v>2219.67</v>
      </c>
    </row>
    <row r="1124" spans="1:10" x14ac:dyDescent="0.45">
      <c r="A1124" s="2" t="s">
        <v>382</v>
      </c>
      <c r="B1124" s="2" t="s">
        <v>20</v>
      </c>
      <c r="C1124" s="2" t="s">
        <v>28</v>
      </c>
      <c r="D1124" s="2" t="s">
        <v>25</v>
      </c>
      <c r="E1124" s="2" t="s">
        <v>30</v>
      </c>
      <c r="F1124" s="2">
        <v>37261</v>
      </c>
      <c r="G1124" s="2">
        <v>1591</v>
      </c>
      <c r="H1124" s="2">
        <v>1718.28</v>
      </c>
      <c r="I1124" s="2">
        <v>40</v>
      </c>
      <c r="J1124" s="2">
        <v>8930.0400000000009</v>
      </c>
    </row>
    <row r="1125" spans="1:10" x14ac:dyDescent="0.45">
      <c r="A1125" s="2" t="s">
        <v>346</v>
      </c>
      <c r="B1125" s="2" t="s">
        <v>35</v>
      </c>
      <c r="C1125" s="2" t="s">
        <v>28</v>
      </c>
      <c r="D1125" s="2" t="s">
        <v>17</v>
      </c>
      <c r="E1125" s="2" t="s">
        <v>26</v>
      </c>
      <c r="F1125" s="2">
        <v>178553</v>
      </c>
      <c r="G1125" s="2">
        <v>7213</v>
      </c>
      <c r="H1125" s="2">
        <v>16445.64</v>
      </c>
      <c r="I1125" s="2">
        <v>556</v>
      </c>
      <c r="J1125" s="2">
        <v>50559.85</v>
      </c>
    </row>
    <row r="1126" spans="1:10" x14ac:dyDescent="0.45">
      <c r="A1126" s="2" t="s">
        <v>69</v>
      </c>
      <c r="B1126" s="2" t="s">
        <v>35</v>
      </c>
      <c r="C1126" s="2" t="s">
        <v>16</v>
      </c>
      <c r="D1126" s="2" t="s">
        <v>25</v>
      </c>
      <c r="E1126" s="2" t="s">
        <v>54</v>
      </c>
      <c r="F1126" s="2">
        <v>132390</v>
      </c>
      <c r="G1126" s="2">
        <v>2780</v>
      </c>
      <c r="H1126" s="2">
        <v>2807.8</v>
      </c>
      <c r="I1126" s="2">
        <v>133</v>
      </c>
      <c r="J1126" s="2">
        <v>39444.5</v>
      </c>
    </row>
    <row r="1127" spans="1:10" x14ac:dyDescent="0.45">
      <c r="A1127" s="2" t="s">
        <v>223</v>
      </c>
      <c r="B1127" s="2" t="s">
        <v>20</v>
      </c>
      <c r="C1127" s="2" t="s">
        <v>16</v>
      </c>
      <c r="D1127" s="2" t="s">
        <v>25</v>
      </c>
      <c r="E1127" s="2" t="s">
        <v>54</v>
      </c>
      <c r="F1127" s="2">
        <v>166446</v>
      </c>
      <c r="G1127" s="2">
        <v>7822</v>
      </c>
      <c r="H1127" s="2">
        <v>8995.2999999999993</v>
      </c>
      <c r="I1127" s="2">
        <v>218</v>
      </c>
      <c r="J1127" s="2">
        <v>21100.54</v>
      </c>
    </row>
    <row r="1128" spans="1:10" x14ac:dyDescent="0.45">
      <c r="A1128" s="2" t="s">
        <v>359</v>
      </c>
      <c r="B1128" s="2" t="s">
        <v>20</v>
      </c>
      <c r="C1128" s="2" t="s">
        <v>28</v>
      </c>
      <c r="D1128" s="2" t="s">
        <v>21</v>
      </c>
      <c r="E1128" s="2" t="s">
        <v>30</v>
      </c>
      <c r="F1128" s="2">
        <v>158807</v>
      </c>
      <c r="G1128" s="2">
        <v>5859</v>
      </c>
      <c r="H1128" s="2">
        <v>3339.63</v>
      </c>
      <c r="I1128" s="2">
        <v>73</v>
      </c>
      <c r="J1128" s="2">
        <v>7304.51</v>
      </c>
    </row>
    <row r="1129" spans="1:10" x14ac:dyDescent="0.45">
      <c r="A1129" s="2" t="s">
        <v>296</v>
      </c>
      <c r="B1129" s="2" t="s">
        <v>35</v>
      </c>
      <c r="C1129" s="2" t="s">
        <v>24</v>
      </c>
      <c r="D1129" s="2" t="s">
        <v>21</v>
      </c>
      <c r="E1129" s="2" t="s">
        <v>54</v>
      </c>
      <c r="F1129" s="2">
        <v>66265</v>
      </c>
      <c r="G1129" s="2">
        <v>1881</v>
      </c>
      <c r="H1129" s="2">
        <v>3837.24</v>
      </c>
      <c r="I1129" s="2">
        <v>76</v>
      </c>
      <c r="J1129" s="2">
        <v>2782.02</v>
      </c>
    </row>
    <row r="1130" spans="1:10" x14ac:dyDescent="0.45">
      <c r="A1130" s="2" t="s">
        <v>339</v>
      </c>
      <c r="B1130" s="2" t="s">
        <v>15</v>
      </c>
      <c r="C1130" s="2" t="s">
        <v>16</v>
      </c>
      <c r="D1130" s="2" t="s">
        <v>29</v>
      </c>
      <c r="E1130" s="2" t="s">
        <v>22</v>
      </c>
      <c r="F1130" s="2">
        <v>137156</v>
      </c>
      <c r="G1130" s="2">
        <v>5253</v>
      </c>
      <c r="H1130" s="2">
        <v>11293.95</v>
      </c>
      <c r="I1130" s="2">
        <v>280</v>
      </c>
      <c r="J1130" s="2">
        <v>75085.66</v>
      </c>
    </row>
    <row r="1131" spans="1:10" x14ac:dyDescent="0.45">
      <c r="A1131" s="2" t="s">
        <v>82</v>
      </c>
      <c r="B1131" s="2" t="s">
        <v>15</v>
      </c>
      <c r="C1131" s="2" t="s">
        <v>28</v>
      </c>
      <c r="D1131" s="2" t="s">
        <v>17</v>
      </c>
      <c r="E1131" s="2" t="s">
        <v>51</v>
      </c>
      <c r="F1131" s="2">
        <v>123292</v>
      </c>
      <c r="G1131" s="2">
        <v>2527</v>
      </c>
      <c r="H1131" s="2">
        <v>8970.85</v>
      </c>
      <c r="I1131" s="2">
        <v>179</v>
      </c>
      <c r="J1131" s="2">
        <v>36566.559999999998</v>
      </c>
    </row>
    <row r="1132" spans="1:10" x14ac:dyDescent="0.45">
      <c r="A1132" s="2" t="s">
        <v>268</v>
      </c>
      <c r="B1132" s="2" t="s">
        <v>20</v>
      </c>
      <c r="C1132" s="2" t="s">
        <v>38</v>
      </c>
      <c r="D1132" s="2" t="s">
        <v>17</v>
      </c>
      <c r="E1132" s="2" t="s">
        <v>22</v>
      </c>
      <c r="F1132" s="2">
        <v>68642</v>
      </c>
      <c r="G1132" s="2">
        <v>3363</v>
      </c>
      <c r="H1132" s="2">
        <v>1244.31</v>
      </c>
      <c r="I1132" s="2">
        <v>37</v>
      </c>
      <c r="J1132" s="2">
        <v>8887.57</v>
      </c>
    </row>
    <row r="1133" spans="1:10" x14ac:dyDescent="0.45">
      <c r="A1133" s="2" t="s">
        <v>83</v>
      </c>
      <c r="B1133" s="2" t="s">
        <v>15</v>
      </c>
      <c r="C1133" s="2" t="s">
        <v>28</v>
      </c>
      <c r="D1133" s="2" t="s">
        <v>29</v>
      </c>
      <c r="E1133" s="2" t="s">
        <v>33</v>
      </c>
      <c r="F1133" s="2">
        <v>147727</v>
      </c>
      <c r="G1133" s="2">
        <v>7534</v>
      </c>
      <c r="H1133" s="2">
        <v>17554.22</v>
      </c>
      <c r="I1133" s="2">
        <v>206</v>
      </c>
      <c r="J1133" s="2">
        <v>23788.98</v>
      </c>
    </row>
    <row r="1134" spans="1:10" x14ac:dyDescent="0.45">
      <c r="A1134" s="2" t="s">
        <v>227</v>
      </c>
      <c r="B1134" s="2" t="s">
        <v>20</v>
      </c>
      <c r="C1134" s="2" t="s">
        <v>16</v>
      </c>
      <c r="D1134" s="2" t="s">
        <v>41</v>
      </c>
      <c r="E1134" s="2" t="s">
        <v>54</v>
      </c>
      <c r="F1134" s="2">
        <v>179818</v>
      </c>
      <c r="G1134" s="2">
        <v>11724</v>
      </c>
      <c r="H1134" s="2">
        <v>12075.72</v>
      </c>
      <c r="I1134" s="2">
        <v>880</v>
      </c>
      <c r="J1134" s="2">
        <v>242039.99</v>
      </c>
    </row>
    <row r="1135" spans="1:10" x14ac:dyDescent="0.45">
      <c r="A1135" s="2" t="s">
        <v>179</v>
      </c>
      <c r="B1135" s="2" t="s">
        <v>15</v>
      </c>
      <c r="C1135" s="2" t="s">
        <v>38</v>
      </c>
      <c r="D1135" s="2" t="s">
        <v>17</v>
      </c>
      <c r="E1135" s="2" t="s">
        <v>54</v>
      </c>
      <c r="F1135" s="2">
        <v>158481</v>
      </c>
      <c r="G1135" s="2">
        <v>6053</v>
      </c>
      <c r="H1135" s="2">
        <v>9866.39</v>
      </c>
      <c r="I1135" s="2">
        <v>116</v>
      </c>
      <c r="J1135" s="2">
        <v>30091.81</v>
      </c>
    </row>
    <row r="1136" spans="1:10" x14ac:dyDescent="0.45">
      <c r="A1136" s="2" t="s">
        <v>171</v>
      </c>
      <c r="B1136" s="2" t="s">
        <v>20</v>
      </c>
      <c r="C1136" s="2" t="s">
        <v>16</v>
      </c>
      <c r="D1136" s="2" t="s">
        <v>17</v>
      </c>
      <c r="E1136" s="2" t="s">
        <v>51</v>
      </c>
      <c r="F1136" s="2">
        <v>12784</v>
      </c>
      <c r="G1136" s="2">
        <v>1055</v>
      </c>
      <c r="H1136" s="2">
        <v>400.9</v>
      </c>
      <c r="I1136" s="2">
        <v>67</v>
      </c>
      <c r="J1136" s="2">
        <v>12031.35</v>
      </c>
    </row>
    <row r="1137" spans="1:10" x14ac:dyDescent="0.45">
      <c r="A1137" s="2" t="s">
        <v>222</v>
      </c>
      <c r="B1137" s="2" t="s">
        <v>35</v>
      </c>
      <c r="C1137" s="2" t="s">
        <v>24</v>
      </c>
      <c r="D1137" s="2" t="s">
        <v>21</v>
      </c>
      <c r="E1137" s="2" t="s">
        <v>54</v>
      </c>
      <c r="F1137" s="2">
        <v>117169</v>
      </c>
      <c r="G1137" s="2">
        <v>3304</v>
      </c>
      <c r="H1137" s="2">
        <v>4196.08</v>
      </c>
      <c r="I1137" s="2">
        <v>83</v>
      </c>
      <c r="J1137" s="2">
        <v>20949.79</v>
      </c>
    </row>
    <row r="1138" spans="1:10" x14ac:dyDescent="0.45">
      <c r="A1138" s="2" t="s">
        <v>181</v>
      </c>
      <c r="B1138" s="2" t="s">
        <v>35</v>
      </c>
      <c r="C1138" s="2" t="s">
        <v>24</v>
      </c>
      <c r="D1138" s="2" t="s">
        <v>21</v>
      </c>
      <c r="E1138" s="2" t="s">
        <v>30</v>
      </c>
      <c r="F1138" s="2">
        <v>190928</v>
      </c>
      <c r="G1138" s="2">
        <v>5078</v>
      </c>
      <c r="H1138" s="2">
        <v>7363.1</v>
      </c>
      <c r="I1138" s="2">
        <v>186</v>
      </c>
      <c r="J1138" s="2">
        <v>47430.11</v>
      </c>
    </row>
    <row r="1139" spans="1:10" x14ac:dyDescent="0.45">
      <c r="A1139" s="2" t="s">
        <v>308</v>
      </c>
      <c r="B1139" s="2" t="s">
        <v>15</v>
      </c>
      <c r="C1139" s="2" t="s">
        <v>16</v>
      </c>
      <c r="D1139" s="2" t="s">
        <v>41</v>
      </c>
      <c r="E1139" s="2" t="s">
        <v>51</v>
      </c>
      <c r="F1139" s="2">
        <v>38512</v>
      </c>
      <c r="G1139" s="2">
        <v>1840</v>
      </c>
      <c r="H1139" s="2">
        <v>2465.6</v>
      </c>
      <c r="I1139" s="2">
        <v>53</v>
      </c>
      <c r="J1139" s="2">
        <v>3324.76</v>
      </c>
    </row>
    <row r="1140" spans="1:10" x14ac:dyDescent="0.45">
      <c r="A1140" s="2" t="s">
        <v>339</v>
      </c>
      <c r="B1140" s="2" t="s">
        <v>35</v>
      </c>
      <c r="C1140" s="2" t="s">
        <v>24</v>
      </c>
      <c r="D1140" s="2" t="s">
        <v>29</v>
      </c>
      <c r="E1140" s="2" t="s">
        <v>18</v>
      </c>
      <c r="F1140" s="2">
        <v>92986</v>
      </c>
      <c r="G1140" s="2">
        <v>2082</v>
      </c>
      <c r="H1140" s="2">
        <v>3601.86</v>
      </c>
      <c r="I1140" s="2">
        <v>108</v>
      </c>
      <c r="J1140" s="2">
        <v>6838.55</v>
      </c>
    </row>
    <row r="1141" spans="1:10" x14ac:dyDescent="0.45">
      <c r="A1141" s="2" t="s">
        <v>90</v>
      </c>
      <c r="B1141" s="2" t="s">
        <v>35</v>
      </c>
      <c r="C1141" s="2" t="s">
        <v>16</v>
      </c>
      <c r="D1141" s="2" t="s">
        <v>25</v>
      </c>
      <c r="E1141" s="2" t="s">
        <v>18</v>
      </c>
      <c r="F1141" s="2">
        <v>80589</v>
      </c>
      <c r="G1141" s="2">
        <v>1160</v>
      </c>
      <c r="H1141" s="2">
        <v>1102</v>
      </c>
      <c r="I1141" s="2">
        <v>75</v>
      </c>
      <c r="J1141" s="2">
        <v>21781.43</v>
      </c>
    </row>
    <row r="1142" spans="1:10" x14ac:dyDescent="0.45">
      <c r="A1142" s="2" t="s">
        <v>161</v>
      </c>
      <c r="B1142" s="2" t="s">
        <v>35</v>
      </c>
      <c r="C1142" s="2" t="s">
        <v>38</v>
      </c>
      <c r="D1142" s="2" t="s">
        <v>21</v>
      </c>
      <c r="E1142" s="2" t="s">
        <v>51</v>
      </c>
      <c r="F1142" s="2">
        <v>140475</v>
      </c>
      <c r="G1142" s="2">
        <v>5043</v>
      </c>
      <c r="H1142" s="2">
        <v>10287.719999999999</v>
      </c>
      <c r="I1142" s="2">
        <v>327</v>
      </c>
      <c r="J1142" s="2">
        <v>96504.49</v>
      </c>
    </row>
    <row r="1143" spans="1:10" x14ac:dyDescent="0.45">
      <c r="A1143" s="2" t="s">
        <v>383</v>
      </c>
      <c r="B1143" s="2" t="s">
        <v>15</v>
      </c>
      <c r="C1143" s="2" t="s">
        <v>24</v>
      </c>
      <c r="D1143" s="2" t="s">
        <v>41</v>
      </c>
      <c r="E1143" s="2" t="s">
        <v>33</v>
      </c>
      <c r="F1143" s="2">
        <v>103348</v>
      </c>
      <c r="G1143" s="2">
        <v>1891</v>
      </c>
      <c r="H1143" s="2">
        <v>2912.14</v>
      </c>
      <c r="I1143" s="2">
        <v>30</v>
      </c>
      <c r="J1143" s="2">
        <v>1064.02</v>
      </c>
    </row>
    <row r="1144" spans="1:10" x14ac:dyDescent="0.45">
      <c r="A1144" s="2" t="s">
        <v>181</v>
      </c>
      <c r="B1144" s="2" t="s">
        <v>35</v>
      </c>
      <c r="C1144" s="2" t="s">
        <v>16</v>
      </c>
      <c r="D1144" s="2" t="s">
        <v>21</v>
      </c>
      <c r="E1144" s="2" t="s">
        <v>54</v>
      </c>
      <c r="F1144" s="2">
        <v>100343</v>
      </c>
      <c r="G1144" s="2">
        <v>3461</v>
      </c>
      <c r="H1144" s="2">
        <v>3737.88</v>
      </c>
      <c r="I1144" s="2">
        <v>259</v>
      </c>
      <c r="J1144" s="2">
        <v>51755.16</v>
      </c>
    </row>
    <row r="1145" spans="1:10" x14ac:dyDescent="0.45">
      <c r="A1145" s="2" t="s">
        <v>293</v>
      </c>
      <c r="B1145" s="2" t="s">
        <v>20</v>
      </c>
      <c r="C1145" s="2" t="s">
        <v>38</v>
      </c>
      <c r="D1145" s="2" t="s">
        <v>29</v>
      </c>
      <c r="E1145" s="2" t="s">
        <v>18</v>
      </c>
      <c r="F1145" s="2">
        <v>179039</v>
      </c>
      <c r="G1145" s="2">
        <v>14663</v>
      </c>
      <c r="H1145" s="2">
        <v>19941.68</v>
      </c>
      <c r="I1145" s="2">
        <v>1151</v>
      </c>
      <c r="J1145" s="2">
        <v>281693.26</v>
      </c>
    </row>
    <row r="1146" spans="1:10" x14ac:dyDescent="0.45">
      <c r="A1146" s="2" t="s">
        <v>355</v>
      </c>
      <c r="B1146" s="2" t="s">
        <v>35</v>
      </c>
      <c r="C1146" s="2" t="s">
        <v>38</v>
      </c>
      <c r="D1146" s="2" t="s">
        <v>29</v>
      </c>
      <c r="E1146" s="2" t="s">
        <v>22</v>
      </c>
      <c r="F1146" s="2">
        <v>13100</v>
      </c>
      <c r="G1146" s="2">
        <v>186</v>
      </c>
      <c r="H1146" s="2">
        <v>279</v>
      </c>
      <c r="I1146" s="2">
        <v>10</v>
      </c>
      <c r="J1146" s="2">
        <v>1347.41</v>
      </c>
    </row>
    <row r="1147" spans="1:10" x14ac:dyDescent="0.45">
      <c r="A1147" s="2" t="s">
        <v>343</v>
      </c>
      <c r="B1147" s="2" t="s">
        <v>15</v>
      </c>
      <c r="C1147" s="2" t="s">
        <v>16</v>
      </c>
      <c r="D1147" s="2" t="s">
        <v>21</v>
      </c>
      <c r="E1147" s="2" t="s">
        <v>18</v>
      </c>
      <c r="F1147" s="2">
        <v>167198</v>
      </c>
      <c r="G1147" s="2">
        <v>5132</v>
      </c>
      <c r="H1147" s="2">
        <v>11854.92</v>
      </c>
      <c r="I1147" s="2">
        <v>120</v>
      </c>
      <c r="J1147" s="2">
        <v>19874.34</v>
      </c>
    </row>
    <row r="1148" spans="1:10" x14ac:dyDescent="0.45">
      <c r="A1148" s="2" t="s">
        <v>375</v>
      </c>
      <c r="B1148" s="2" t="s">
        <v>35</v>
      </c>
      <c r="C1148" s="2" t="s">
        <v>24</v>
      </c>
      <c r="D1148" s="2" t="s">
        <v>41</v>
      </c>
      <c r="E1148" s="2" t="s">
        <v>22</v>
      </c>
      <c r="F1148" s="2">
        <v>35755</v>
      </c>
      <c r="G1148" s="2">
        <v>672</v>
      </c>
      <c r="H1148" s="2">
        <v>1350.72</v>
      </c>
      <c r="I1148" s="2">
        <v>39</v>
      </c>
      <c r="J1148" s="2">
        <v>1411.24</v>
      </c>
    </row>
    <row r="1149" spans="1:10" x14ac:dyDescent="0.45">
      <c r="A1149" s="2" t="s">
        <v>37</v>
      </c>
      <c r="B1149" s="2" t="s">
        <v>15</v>
      </c>
      <c r="C1149" s="2" t="s">
        <v>38</v>
      </c>
      <c r="D1149" s="2" t="s">
        <v>41</v>
      </c>
      <c r="E1149" s="2" t="s">
        <v>30</v>
      </c>
      <c r="F1149" s="2">
        <v>177420</v>
      </c>
      <c r="G1149" s="2">
        <v>7646</v>
      </c>
      <c r="H1149" s="2">
        <v>18503.32</v>
      </c>
      <c r="I1149" s="2">
        <v>478</v>
      </c>
      <c r="J1149" s="2">
        <v>110744.54</v>
      </c>
    </row>
    <row r="1150" spans="1:10" x14ac:dyDescent="0.45">
      <c r="A1150" s="2" t="s">
        <v>361</v>
      </c>
      <c r="B1150" s="2" t="s">
        <v>15</v>
      </c>
      <c r="C1150" s="2" t="s">
        <v>16</v>
      </c>
      <c r="D1150" s="2" t="s">
        <v>29</v>
      </c>
      <c r="E1150" s="2" t="s">
        <v>18</v>
      </c>
      <c r="F1150" s="2">
        <v>195067</v>
      </c>
      <c r="G1150" s="2">
        <v>9129</v>
      </c>
      <c r="H1150" s="2">
        <v>8672.5499999999993</v>
      </c>
      <c r="I1150" s="2">
        <v>128</v>
      </c>
      <c r="J1150" s="2">
        <v>24006.78</v>
      </c>
    </row>
    <row r="1151" spans="1:10" x14ac:dyDescent="0.45">
      <c r="A1151" s="2" t="s">
        <v>336</v>
      </c>
      <c r="B1151" s="2" t="s">
        <v>15</v>
      </c>
      <c r="C1151" s="2" t="s">
        <v>38</v>
      </c>
      <c r="D1151" s="2" t="s">
        <v>21</v>
      </c>
      <c r="E1151" s="2" t="s">
        <v>26</v>
      </c>
      <c r="F1151" s="2">
        <v>44435</v>
      </c>
      <c r="G1151" s="2">
        <v>1453</v>
      </c>
      <c r="H1151" s="2">
        <v>3894.04</v>
      </c>
      <c r="I1151" s="2">
        <v>48</v>
      </c>
      <c r="J1151" s="2">
        <v>6345.04</v>
      </c>
    </row>
    <row r="1152" spans="1:10" x14ac:dyDescent="0.45">
      <c r="A1152" s="2" t="s">
        <v>109</v>
      </c>
      <c r="B1152" s="2" t="s">
        <v>20</v>
      </c>
      <c r="C1152" s="2" t="s">
        <v>16</v>
      </c>
      <c r="D1152" s="2" t="s">
        <v>29</v>
      </c>
      <c r="E1152" s="2" t="s">
        <v>18</v>
      </c>
      <c r="F1152" s="2">
        <v>57448</v>
      </c>
      <c r="G1152" s="2">
        <v>2338</v>
      </c>
      <c r="H1152" s="2">
        <v>1169</v>
      </c>
      <c r="I1152" s="2">
        <v>143</v>
      </c>
      <c r="J1152" s="2">
        <v>25654.560000000001</v>
      </c>
    </row>
    <row r="1153" spans="1:10" x14ac:dyDescent="0.45">
      <c r="A1153" s="2" t="s">
        <v>67</v>
      </c>
      <c r="B1153" s="2" t="s">
        <v>15</v>
      </c>
      <c r="C1153" s="2" t="s">
        <v>24</v>
      </c>
      <c r="D1153" s="2" t="s">
        <v>41</v>
      </c>
      <c r="E1153" s="2" t="s">
        <v>22</v>
      </c>
      <c r="F1153" s="2">
        <v>139158</v>
      </c>
      <c r="G1153" s="2">
        <v>3061</v>
      </c>
      <c r="H1153" s="2">
        <v>3887.47</v>
      </c>
      <c r="I1153" s="2">
        <v>118</v>
      </c>
      <c r="J1153" s="2">
        <v>15835.46</v>
      </c>
    </row>
    <row r="1154" spans="1:10" x14ac:dyDescent="0.45">
      <c r="A1154" s="2" t="s">
        <v>44</v>
      </c>
      <c r="B1154" s="2" t="s">
        <v>35</v>
      </c>
      <c r="C1154" s="2" t="s">
        <v>38</v>
      </c>
      <c r="D1154" s="2" t="s">
        <v>25</v>
      </c>
      <c r="E1154" s="2" t="s">
        <v>30</v>
      </c>
      <c r="F1154" s="2">
        <v>148463</v>
      </c>
      <c r="G1154" s="2">
        <v>4810</v>
      </c>
      <c r="H1154" s="2">
        <v>10149.1</v>
      </c>
      <c r="I1154" s="2">
        <v>286</v>
      </c>
      <c r="J1154" s="2">
        <v>68709.259999999995</v>
      </c>
    </row>
    <row r="1155" spans="1:10" x14ac:dyDescent="0.45">
      <c r="A1155" s="2" t="s">
        <v>265</v>
      </c>
      <c r="B1155" s="2" t="s">
        <v>35</v>
      </c>
      <c r="C1155" s="2" t="s">
        <v>16</v>
      </c>
      <c r="D1155" s="2" t="s">
        <v>41</v>
      </c>
      <c r="E1155" s="2" t="s">
        <v>54</v>
      </c>
      <c r="F1155" s="2">
        <v>30123</v>
      </c>
      <c r="G1155" s="2">
        <v>554</v>
      </c>
      <c r="H1155" s="2">
        <v>986.12</v>
      </c>
      <c r="I1155" s="2">
        <v>15</v>
      </c>
      <c r="J1155" s="2">
        <v>2874.83</v>
      </c>
    </row>
    <row r="1156" spans="1:10" x14ac:dyDescent="0.45">
      <c r="A1156" s="2" t="s">
        <v>66</v>
      </c>
      <c r="B1156" s="2" t="s">
        <v>35</v>
      </c>
      <c r="C1156" s="2" t="s">
        <v>28</v>
      </c>
      <c r="D1156" s="2" t="s">
        <v>41</v>
      </c>
      <c r="E1156" s="2" t="s">
        <v>26</v>
      </c>
      <c r="F1156" s="2">
        <v>139257</v>
      </c>
      <c r="G1156" s="2">
        <v>2631</v>
      </c>
      <c r="H1156" s="2">
        <v>4235.91</v>
      </c>
      <c r="I1156" s="2">
        <v>99</v>
      </c>
      <c r="J1156" s="2">
        <v>9781.2800000000007</v>
      </c>
    </row>
    <row r="1157" spans="1:10" x14ac:dyDescent="0.45">
      <c r="A1157" s="2" t="s">
        <v>241</v>
      </c>
      <c r="B1157" s="2" t="s">
        <v>15</v>
      </c>
      <c r="C1157" s="2" t="s">
        <v>16</v>
      </c>
      <c r="D1157" s="2" t="s">
        <v>25</v>
      </c>
      <c r="E1157" s="2" t="s">
        <v>30</v>
      </c>
      <c r="F1157" s="2">
        <v>103053</v>
      </c>
      <c r="G1157" s="2">
        <v>2607</v>
      </c>
      <c r="H1157" s="2">
        <v>5709.33</v>
      </c>
      <c r="I1157" s="2">
        <v>194</v>
      </c>
      <c r="J1157" s="2">
        <v>39533.49</v>
      </c>
    </row>
    <row r="1158" spans="1:10" x14ac:dyDescent="0.45">
      <c r="A1158" s="2" t="s">
        <v>44</v>
      </c>
      <c r="B1158" s="2" t="s">
        <v>15</v>
      </c>
      <c r="C1158" s="2" t="s">
        <v>38</v>
      </c>
      <c r="D1158" s="2" t="s">
        <v>17</v>
      </c>
      <c r="E1158" s="2" t="s">
        <v>33</v>
      </c>
      <c r="F1158" s="2">
        <v>44140</v>
      </c>
      <c r="G1158" s="2">
        <v>2101</v>
      </c>
      <c r="H1158" s="2">
        <v>2206.0500000000002</v>
      </c>
      <c r="I1158" s="2">
        <v>55</v>
      </c>
      <c r="J1158" s="2">
        <v>6735.72</v>
      </c>
    </row>
    <row r="1159" spans="1:10" x14ac:dyDescent="0.45">
      <c r="A1159" s="2" t="s">
        <v>49</v>
      </c>
      <c r="B1159" s="2" t="s">
        <v>35</v>
      </c>
      <c r="C1159" s="2" t="s">
        <v>38</v>
      </c>
      <c r="D1159" s="2" t="s">
        <v>29</v>
      </c>
      <c r="E1159" s="2" t="s">
        <v>51</v>
      </c>
      <c r="F1159" s="2">
        <v>88698</v>
      </c>
      <c r="G1159" s="2">
        <v>1073</v>
      </c>
      <c r="H1159" s="2">
        <v>987.16</v>
      </c>
      <c r="I1159" s="2">
        <v>43</v>
      </c>
      <c r="J1159" s="2">
        <v>5727.99</v>
      </c>
    </row>
    <row r="1160" spans="1:10" x14ac:dyDescent="0.45">
      <c r="A1160" s="2" t="s">
        <v>64</v>
      </c>
      <c r="B1160" s="2" t="s">
        <v>35</v>
      </c>
      <c r="C1160" s="2" t="s">
        <v>38</v>
      </c>
      <c r="D1160" s="2" t="s">
        <v>21</v>
      </c>
      <c r="E1160" s="2" t="s">
        <v>33</v>
      </c>
      <c r="F1160" s="2">
        <v>182011</v>
      </c>
      <c r="G1160" s="2">
        <v>1911</v>
      </c>
      <c r="H1160" s="2">
        <v>1051.05</v>
      </c>
      <c r="I1160" s="2">
        <v>35</v>
      </c>
      <c r="J1160" s="2">
        <v>3848.31</v>
      </c>
    </row>
    <row r="1161" spans="1:10" x14ac:dyDescent="0.45">
      <c r="A1161" s="2" t="s">
        <v>142</v>
      </c>
      <c r="B1161" s="2" t="s">
        <v>20</v>
      </c>
      <c r="C1161" s="2" t="s">
        <v>38</v>
      </c>
      <c r="D1161" s="2" t="s">
        <v>17</v>
      </c>
      <c r="E1161" s="2" t="s">
        <v>51</v>
      </c>
      <c r="F1161" s="2">
        <v>29180</v>
      </c>
      <c r="G1161" s="2">
        <v>1464</v>
      </c>
      <c r="H1161" s="2">
        <v>775.92</v>
      </c>
      <c r="I1161" s="2">
        <v>59</v>
      </c>
      <c r="J1161" s="2">
        <v>11729.57</v>
      </c>
    </row>
    <row r="1162" spans="1:10" x14ac:dyDescent="0.45">
      <c r="A1162" s="2" t="s">
        <v>208</v>
      </c>
      <c r="B1162" s="2" t="s">
        <v>35</v>
      </c>
      <c r="C1162" s="2" t="s">
        <v>24</v>
      </c>
      <c r="D1162" s="2" t="s">
        <v>41</v>
      </c>
      <c r="E1162" s="2" t="s">
        <v>22</v>
      </c>
      <c r="F1162" s="2">
        <v>138686</v>
      </c>
      <c r="G1162" s="2">
        <v>2621</v>
      </c>
      <c r="H1162" s="2">
        <v>3983.92</v>
      </c>
      <c r="I1162" s="2">
        <v>195</v>
      </c>
      <c r="J1162" s="2">
        <v>52398.49</v>
      </c>
    </row>
    <row r="1163" spans="1:10" x14ac:dyDescent="0.45">
      <c r="A1163" s="2" t="s">
        <v>117</v>
      </c>
      <c r="B1163" s="2" t="s">
        <v>15</v>
      </c>
      <c r="C1163" s="2" t="s">
        <v>16</v>
      </c>
      <c r="D1163" s="2" t="s">
        <v>17</v>
      </c>
      <c r="E1163" s="2" t="s">
        <v>51</v>
      </c>
      <c r="F1163" s="2">
        <v>181976</v>
      </c>
      <c r="G1163" s="2">
        <v>7752</v>
      </c>
      <c r="H1163" s="2">
        <v>13333.44</v>
      </c>
      <c r="I1163" s="2">
        <v>255</v>
      </c>
      <c r="J1163" s="2">
        <v>75491.87</v>
      </c>
    </row>
    <row r="1164" spans="1:10" x14ac:dyDescent="0.45">
      <c r="A1164" s="2" t="s">
        <v>348</v>
      </c>
      <c r="B1164" s="2" t="s">
        <v>15</v>
      </c>
      <c r="C1164" s="2" t="s">
        <v>28</v>
      </c>
      <c r="D1164" s="2" t="s">
        <v>25</v>
      </c>
      <c r="E1164" s="2" t="s">
        <v>22</v>
      </c>
      <c r="F1164" s="2">
        <v>103902</v>
      </c>
      <c r="G1164" s="2">
        <v>3927</v>
      </c>
      <c r="H1164" s="2">
        <v>4555.32</v>
      </c>
      <c r="I1164" s="2">
        <v>215</v>
      </c>
      <c r="J1164" s="2">
        <v>37434.379999999997</v>
      </c>
    </row>
    <row r="1165" spans="1:10" x14ac:dyDescent="0.45">
      <c r="A1165" s="2" t="s">
        <v>36</v>
      </c>
      <c r="B1165" s="2" t="s">
        <v>20</v>
      </c>
      <c r="C1165" s="2" t="s">
        <v>38</v>
      </c>
      <c r="D1165" s="2" t="s">
        <v>29</v>
      </c>
      <c r="E1165" s="2" t="s">
        <v>33</v>
      </c>
      <c r="F1165" s="2">
        <v>132081</v>
      </c>
      <c r="G1165" s="2">
        <v>10051</v>
      </c>
      <c r="H1165" s="2">
        <v>7136.21</v>
      </c>
      <c r="I1165" s="2">
        <v>229</v>
      </c>
      <c r="J1165" s="2">
        <v>62261.45</v>
      </c>
    </row>
    <row r="1166" spans="1:10" x14ac:dyDescent="0.45">
      <c r="A1166" s="2" t="s">
        <v>300</v>
      </c>
      <c r="B1166" s="2" t="s">
        <v>35</v>
      </c>
      <c r="C1166" s="2" t="s">
        <v>24</v>
      </c>
      <c r="D1166" s="2" t="s">
        <v>41</v>
      </c>
      <c r="E1166" s="2" t="s">
        <v>22</v>
      </c>
      <c r="F1166" s="2">
        <v>25077</v>
      </c>
      <c r="G1166" s="2">
        <v>341</v>
      </c>
      <c r="H1166" s="2">
        <v>143.22</v>
      </c>
      <c r="I1166" s="2">
        <v>5</v>
      </c>
      <c r="J1166" s="2">
        <v>779.52</v>
      </c>
    </row>
    <row r="1167" spans="1:10" x14ac:dyDescent="0.45">
      <c r="A1167" s="2" t="s">
        <v>229</v>
      </c>
      <c r="B1167" s="2" t="s">
        <v>35</v>
      </c>
      <c r="C1167" s="2" t="s">
        <v>24</v>
      </c>
      <c r="D1167" s="2" t="s">
        <v>41</v>
      </c>
      <c r="E1167" s="2" t="s">
        <v>18</v>
      </c>
      <c r="F1167" s="2">
        <v>113987</v>
      </c>
      <c r="G1167" s="2">
        <v>3579</v>
      </c>
      <c r="H1167" s="2">
        <v>2720.04</v>
      </c>
      <c r="I1167" s="2">
        <v>229</v>
      </c>
      <c r="J1167" s="2">
        <v>31787.48</v>
      </c>
    </row>
    <row r="1168" spans="1:10" x14ac:dyDescent="0.45">
      <c r="A1168" s="2" t="s">
        <v>384</v>
      </c>
      <c r="B1168" s="2" t="s">
        <v>35</v>
      </c>
      <c r="C1168" s="2" t="s">
        <v>28</v>
      </c>
      <c r="D1168" s="2" t="s">
        <v>17</v>
      </c>
      <c r="E1168" s="2" t="s">
        <v>33</v>
      </c>
      <c r="F1168" s="2">
        <v>14705</v>
      </c>
      <c r="G1168" s="2">
        <v>363</v>
      </c>
      <c r="H1168" s="2">
        <v>341.22</v>
      </c>
      <c r="I1168" s="2">
        <v>4</v>
      </c>
      <c r="J1168" s="2">
        <v>738.37</v>
      </c>
    </row>
    <row r="1169" spans="1:10" x14ac:dyDescent="0.45">
      <c r="A1169" s="2" t="s">
        <v>152</v>
      </c>
      <c r="B1169" s="2" t="s">
        <v>15</v>
      </c>
      <c r="C1169" s="2" t="s">
        <v>16</v>
      </c>
      <c r="D1169" s="2" t="s">
        <v>21</v>
      </c>
      <c r="E1169" s="2" t="s">
        <v>26</v>
      </c>
      <c r="F1169" s="2">
        <v>16955</v>
      </c>
      <c r="G1169" s="2">
        <v>440</v>
      </c>
      <c r="H1169" s="2">
        <v>800.8</v>
      </c>
      <c r="I1169" s="2">
        <v>30</v>
      </c>
      <c r="J1169" s="2">
        <v>3274.44</v>
      </c>
    </row>
    <row r="1170" spans="1:10" x14ac:dyDescent="0.45">
      <c r="A1170" s="2" t="s">
        <v>117</v>
      </c>
      <c r="B1170" s="2" t="s">
        <v>35</v>
      </c>
      <c r="C1170" s="2" t="s">
        <v>38</v>
      </c>
      <c r="D1170" s="2" t="s">
        <v>41</v>
      </c>
      <c r="E1170" s="2" t="s">
        <v>51</v>
      </c>
      <c r="F1170" s="2">
        <v>127082</v>
      </c>
      <c r="G1170" s="2">
        <v>2452</v>
      </c>
      <c r="H1170" s="2">
        <v>5345.36</v>
      </c>
      <c r="I1170" s="2">
        <v>53</v>
      </c>
      <c r="J1170" s="2">
        <v>8408.4500000000007</v>
      </c>
    </row>
    <row r="1171" spans="1:10" x14ac:dyDescent="0.45">
      <c r="A1171" s="2" t="s">
        <v>305</v>
      </c>
      <c r="B1171" s="2" t="s">
        <v>35</v>
      </c>
      <c r="C1171" s="2" t="s">
        <v>24</v>
      </c>
      <c r="D1171" s="2" t="s">
        <v>41</v>
      </c>
      <c r="E1171" s="2" t="s">
        <v>51</v>
      </c>
      <c r="F1171" s="2">
        <v>57299</v>
      </c>
      <c r="G1171" s="2">
        <v>1186</v>
      </c>
      <c r="H1171" s="2">
        <v>1601.1</v>
      </c>
      <c r="I1171" s="2">
        <v>25</v>
      </c>
      <c r="J1171" s="2">
        <v>5383.27</v>
      </c>
    </row>
    <row r="1172" spans="1:10" x14ac:dyDescent="0.45">
      <c r="A1172" s="2" t="s">
        <v>270</v>
      </c>
      <c r="B1172" s="2" t="s">
        <v>35</v>
      </c>
      <c r="C1172" s="2" t="s">
        <v>28</v>
      </c>
      <c r="D1172" s="2" t="s">
        <v>17</v>
      </c>
      <c r="E1172" s="2" t="s">
        <v>54</v>
      </c>
      <c r="F1172" s="2">
        <v>134986</v>
      </c>
      <c r="G1172" s="2">
        <v>4346</v>
      </c>
      <c r="H1172" s="2">
        <v>7083.98</v>
      </c>
      <c r="I1172" s="2">
        <v>149</v>
      </c>
      <c r="J1172" s="2">
        <v>28100.44</v>
      </c>
    </row>
    <row r="1173" spans="1:10" x14ac:dyDescent="0.45">
      <c r="A1173" s="2" t="s">
        <v>298</v>
      </c>
      <c r="B1173" s="2" t="s">
        <v>15</v>
      </c>
      <c r="C1173" s="2" t="s">
        <v>38</v>
      </c>
      <c r="D1173" s="2" t="s">
        <v>41</v>
      </c>
      <c r="E1173" s="2" t="s">
        <v>54</v>
      </c>
      <c r="F1173" s="2">
        <v>12546</v>
      </c>
      <c r="G1173" s="2">
        <v>725</v>
      </c>
      <c r="H1173" s="2">
        <v>1051.25</v>
      </c>
      <c r="I1173" s="2">
        <v>43</v>
      </c>
      <c r="J1173" s="2">
        <v>2269.7800000000002</v>
      </c>
    </row>
    <row r="1174" spans="1:10" x14ac:dyDescent="0.45">
      <c r="A1174" s="2" t="s">
        <v>191</v>
      </c>
      <c r="B1174" s="2" t="s">
        <v>15</v>
      </c>
      <c r="C1174" s="2" t="s">
        <v>16</v>
      </c>
      <c r="D1174" s="2" t="s">
        <v>17</v>
      </c>
      <c r="E1174" s="2" t="s">
        <v>33</v>
      </c>
      <c r="F1174" s="2">
        <v>161554</v>
      </c>
      <c r="G1174" s="2">
        <v>6252</v>
      </c>
      <c r="H1174" s="2">
        <v>19068.599999999999</v>
      </c>
      <c r="I1174" s="2">
        <v>361</v>
      </c>
      <c r="J1174" s="2">
        <v>57767.01</v>
      </c>
    </row>
    <row r="1175" spans="1:10" x14ac:dyDescent="0.45">
      <c r="A1175" s="2" t="s">
        <v>131</v>
      </c>
      <c r="B1175" s="2" t="s">
        <v>35</v>
      </c>
      <c r="C1175" s="2" t="s">
        <v>16</v>
      </c>
      <c r="D1175" s="2" t="s">
        <v>25</v>
      </c>
      <c r="E1175" s="2" t="s">
        <v>51</v>
      </c>
      <c r="F1175" s="2">
        <v>27499</v>
      </c>
      <c r="G1175" s="2">
        <v>728</v>
      </c>
      <c r="H1175" s="2">
        <v>778.96</v>
      </c>
      <c r="I1175" s="2">
        <v>17</v>
      </c>
      <c r="J1175" s="2">
        <v>3860.75</v>
      </c>
    </row>
    <row r="1176" spans="1:10" x14ac:dyDescent="0.45">
      <c r="A1176" s="2" t="s">
        <v>173</v>
      </c>
      <c r="B1176" s="2" t="s">
        <v>20</v>
      </c>
      <c r="C1176" s="2" t="s">
        <v>38</v>
      </c>
      <c r="D1176" s="2" t="s">
        <v>21</v>
      </c>
      <c r="E1176" s="2" t="s">
        <v>51</v>
      </c>
      <c r="F1176" s="2">
        <v>153936</v>
      </c>
      <c r="G1176" s="2">
        <v>5895</v>
      </c>
      <c r="H1176" s="2">
        <v>5246.55</v>
      </c>
      <c r="I1176" s="2">
        <v>373</v>
      </c>
      <c r="J1176" s="2">
        <v>85268.07</v>
      </c>
    </row>
    <row r="1177" spans="1:10" x14ac:dyDescent="0.45">
      <c r="A1177" s="2" t="s">
        <v>91</v>
      </c>
      <c r="B1177" s="2" t="s">
        <v>20</v>
      </c>
      <c r="C1177" s="2" t="s">
        <v>38</v>
      </c>
      <c r="D1177" s="2" t="s">
        <v>41</v>
      </c>
      <c r="E1177" s="2" t="s">
        <v>30</v>
      </c>
      <c r="F1177" s="2">
        <v>41232</v>
      </c>
      <c r="G1177" s="2">
        <v>1859</v>
      </c>
      <c r="H1177" s="2">
        <v>1970.54</v>
      </c>
      <c r="I1177" s="2">
        <v>126</v>
      </c>
      <c r="J1177" s="2">
        <v>22069.99</v>
      </c>
    </row>
    <row r="1178" spans="1:10" x14ac:dyDescent="0.45">
      <c r="A1178" s="2" t="s">
        <v>346</v>
      </c>
      <c r="B1178" s="2" t="s">
        <v>35</v>
      </c>
      <c r="C1178" s="2" t="s">
        <v>24</v>
      </c>
      <c r="D1178" s="2" t="s">
        <v>25</v>
      </c>
      <c r="E1178" s="2" t="s">
        <v>33</v>
      </c>
      <c r="F1178" s="2">
        <v>133088</v>
      </c>
      <c r="G1178" s="2">
        <v>5243</v>
      </c>
      <c r="H1178" s="2">
        <v>8808.24</v>
      </c>
      <c r="I1178" s="2">
        <v>226</v>
      </c>
      <c r="J1178" s="2">
        <v>48389.85</v>
      </c>
    </row>
    <row r="1179" spans="1:10" x14ac:dyDescent="0.45">
      <c r="A1179" s="2" t="s">
        <v>174</v>
      </c>
      <c r="B1179" s="2" t="s">
        <v>35</v>
      </c>
      <c r="C1179" s="2" t="s">
        <v>16</v>
      </c>
      <c r="D1179" s="2" t="s">
        <v>29</v>
      </c>
      <c r="E1179" s="2" t="s">
        <v>54</v>
      </c>
      <c r="F1179" s="2">
        <v>33082</v>
      </c>
      <c r="G1179" s="2">
        <v>340</v>
      </c>
      <c r="H1179" s="2">
        <v>632.4</v>
      </c>
      <c r="I1179" s="2">
        <v>9</v>
      </c>
      <c r="J1179" s="2">
        <v>2116.06</v>
      </c>
    </row>
    <row r="1180" spans="1:10" x14ac:dyDescent="0.45">
      <c r="A1180" s="2" t="s">
        <v>229</v>
      </c>
      <c r="B1180" s="2" t="s">
        <v>35</v>
      </c>
      <c r="C1180" s="2" t="s">
        <v>38</v>
      </c>
      <c r="D1180" s="2" t="s">
        <v>17</v>
      </c>
      <c r="E1180" s="2" t="s">
        <v>30</v>
      </c>
      <c r="F1180" s="2">
        <v>179504</v>
      </c>
      <c r="G1180" s="2">
        <v>5026</v>
      </c>
      <c r="H1180" s="2">
        <v>5578.86</v>
      </c>
      <c r="I1180" s="2">
        <v>203</v>
      </c>
      <c r="J1180" s="2">
        <v>10121.879999999999</v>
      </c>
    </row>
    <row r="1181" spans="1:10" x14ac:dyDescent="0.45">
      <c r="A1181" s="2" t="s">
        <v>371</v>
      </c>
      <c r="B1181" s="2" t="s">
        <v>35</v>
      </c>
      <c r="C1181" s="2" t="s">
        <v>28</v>
      </c>
      <c r="D1181" s="2" t="s">
        <v>25</v>
      </c>
      <c r="E1181" s="2" t="s">
        <v>26</v>
      </c>
      <c r="F1181" s="2">
        <v>16344</v>
      </c>
      <c r="G1181" s="2">
        <v>534</v>
      </c>
      <c r="H1181" s="2">
        <v>480.6</v>
      </c>
      <c r="I1181" s="2">
        <v>11</v>
      </c>
      <c r="J1181" s="2">
        <v>465.35</v>
      </c>
    </row>
    <row r="1182" spans="1:10" x14ac:dyDescent="0.45">
      <c r="A1182" s="2" t="s">
        <v>192</v>
      </c>
      <c r="B1182" s="2" t="s">
        <v>20</v>
      </c>
      <c r="C1182" s="2" t="s">
        <v>38</v>
      </c>
      <c r="D1182" s="2" t="s">
        <v>41</v>
      </c>
      <c r="E1182" s="2" t="s">
        <v>33</v>
      </c>
      <c r="F1182" s="2">
        <v>196312</v>
      </c>
      <c r="G1182" s="2">
        <v>12642</v>
      </c>
      <c r="H1182" s="2">
        <v>16181.76</v>
      </c>
      <c r="I1182" s="2">
        <v>584</v>
      </c>
      <c r="J1182" s="2">
        <v>148695.91</v>
      </c>
    </row>
    <row r="1183" spans="1:10" x14ac:dyDescent="0.45">
      <c r="A1183" s="2" t="s">
        <v>276</v>
      </c>
      <c r="B1183" s="2" t="s">
        <v>20</v>
      </c>
      <c r="C1183" s="2" t="s">
        <v>28</v>
      </c>
      <c r="D1183" s="2" t="s">
        <v>41</v>
      </c>
      <c r="E1183" s="2" t="s">
        <v>26</v>
      </c>
      <c r="F1183" s="2">
        <v>17626</v>
      </c>
      <c r="G1183" s="2">
        <v>1113</v>
      </c>
      <c r="H1183" s="2">
        <v>601.02</v>
      </c>
      <c r="I1183" s="2">
        <v>50</v>
      </c>
      <c r="J1183" s="2">
        <v>2568.5100000000002</v>
      </c>
    </row>
    <row r="1184" spans="1:10" x14ac:dyDescent="0.45">
      <c r="A1184" s="2" t="s">
        <v>148</v>
      </c>
      <c r="B1184" s="2" t="s">
        <v>35</v>
      </c>
      <c r="C1184" s="2" t="s">
        <v>28</v>
      </c>
      <c r="D1184" s="2" t="s">
        <v>29</v>
      </c>
      <c r="E1184" s="2" t="s">
        <v>30</v>
      </c>
      <c r="F1184" s="2">
        <v>46603</v>
      </c>
      <c r="G1184" s="2">
        <v>955</v>
      </c>
      <c r="H1184" s="2">
        <v>658.95</v>
      </c>
      <c r="I1184" s="2">
        <v>23</v>
      </c>
      <c r="J1184" s="2">
        <v>2614.4899999999998</v>
      </c>
    </row>
    <row r="1185" spans="1:10" x14ac:dyDescent="0.45">
      <c r="A1185" s="2" t="s">
        <v>138</v>
      </c>
      <c r="B1185" s="2" t="s">
        <v>35</v>
      </c>
      <c r="C1185" s="2" t="s">
        <v>16</v>
      </c>
      <c r="D1185" s="2" t="s">
        <v>21</v>
      </c>
      <c r="E1185" s="2" t="s">
        <v>18</v>
      </c>
      <c r="F1185" s="2">
        <v>113878</v>
      </c>
      <c r="G1185" s="2">
        <v>3678</v>
      </c>
      <c r="H1185" s="2">
        <v>3383.76</v>
      </c>
      <c r="I1185" s="2">
        <v>216</v>
      </c>
      <c r="J1185" s="2">
        <v>62162.63</v>
      </c>
    </row>
    <row r="1186" spans="1:10" x14ac:dyDescent="0.45">
      <c r="A1186" s="2" t="s">
        <v>65</v>
      </c>
      <c r="B1186" s="2" t="s">
        <v>35</v>
      </c>
      <c r="C1186" s="2" t="s">
        <v>38</v>
      </c>
      <c r="D1186" s="2" t="s">
        <v>41</v>
      </c>
      <c r="E1186" s="2" t="s">
        <v>33</v>
      </c>
      <c r="F1186" s="2">
        <v>196354</v>
      </c>
      <c r="G1186" s="2">
        <v>2945</v>
      </c>
      <c r="H1186" s="2">
        <v>3268.95</v>
      </c>
      <c r="I1186" s="2">
        <v>177</v>
      </c>
      <c r="J1186" s="2">
        <v>7478.3</v>
      </c>
    </row>
    <row r="1187" spans="1:10" x14ac:dyDescent="0.45">
      <c r="A1187" s="2" t="s">
        <v>118</v>
      </c>
      <c r="B1187" s="2" t="s">
        <v>35</v>
      </c>
      <c r="C1187" s="2" t="s">
        <v>24</v>
      </c>
      <c r="D1187" s="2" t="s">
        <v>21</v>
      </c>
      <c r="E1187" s="2" t="s">
        <v>54</v>
      </c>
      <c r="F1187" s="2">
        <v>62194</v>
      </c>
      <c r="G1187" s="2">
        <v>2039</v>
      </c>
      <c r="H1187" s="2">
        <v>3751.76</v>
      </c>
      <c r="I1187" s="2">
        <v>129</v>
      </c>
      <c r="J1187" s="2">
        <v>23854.38</v>
      </c>
    </row>
    <row r="1188" spans="1:10" x14ac:dyDescent="0.45">
      <c r="A1188" s="2" t="s">
        <v>366</v>
      </c>
      <c r="B1188" s="2" t="s">
        <v>20</v>
      </c>
      <c r="C1188" s="2" t="s">
        <v>28</v>
      </c>
      <c r="D1188" s="2" t="s">
        <v>25</v>
      </c>
      <c r="E1188" s="2" t="s">
        <v>30</v>
      </c>
      <c r="F1188" s="2">
        <v>56069</v>
      </c>
      <c r="G1188" s="2">
        <v>2949</v>
      </c>
      <c r="H1188" s="2">
        <v>2506.65</v>
      </c>
      <c r="I1188" s="2">
        <v>150</v>
      </c>
      <c r="J1188" s="2">
        <v>29064.28</v>
      </c>
    </row>
    <row r="1189" spans="1:10" x14ac:dyDescent="0.45">
      <c r="A1189" s="2" t="s">
        <v>216</v>
      </c>
      <c r="B1189" s="2" t="s">
        <v>35</v>
      </c>
      <c r="C1189" s="2" t="s">
        <v>16</v>
      </c>
      <c r="D1189" s="2" t="s">
        <v>21</v>
      </c>
      <c r="E1189" s="2" t="s">
        <v>18</v>
      </c>
      <c r="F1189" s="2">
        <v>18706</v>
      </c>
      <c r="G1189" s="2">
        <v>458</v>
      </c>
      <c r="H1189" s="2">
        <v>201.52</v>
      </c>
      <c r="I1189" s="2">
        <v>35</v>
      </c>
      <c r="J1189" s="2">
        <v>7330.28</v>
      </c>
    </row>
    <row r="1190" spans="1:10" x14ac:dyDescent="0.45">
      <c r="A1190" s="2" t="s">
        <v>160</v>
      </c>
      <c r="B1190" s="2" t="s">
        <v>20</v>
      </c>
      <c r="C1190" s="2" t="s">
        <v>24</v>
      </c>
      <c r="D1190" s="2" t="s">
        <v>29</v>
      </c>
      <c r="E1190" s="2" t="s">
        <v>33</v>
      </c>
      <c r="F1190" s="2">
        <v>49390</v>
      </c>
      <c r="G1190" s="2">
        <v>3368</v>
      </c>
      <c r="H1190" s="2">
        <v>5557.2</v>
      </c>
      <c r="I1190" s="2">
        <v>195</v>
      </c>
      <c r="J1190" s="2">
        <v>57395.9</v>
      </c>
    </row>
    <row r="1191" spans="1:10" x14ac:dyDescent="0.45">
      <c r="A1191" s="2" t="s">
        <v>161</v>
      </c>
      <c r="B1191" s="2" t="s">
        <v>15</v>
      </c>
      <c r="C1191" s="2" t="s">
        <v>28</v>
      </c>
      <c r="D1191" s="2" t="s">
        <v>17</v>
      </c>
      <c r="E1191" s="2" t="s">
        <v>51</v>
      </c>
      <c r="F1191" s="2">
        <v>23773</v>
      </c>
      <c r="G1191" s="2">
        <v>461</v>
      </c>
      <c r="H1191" s="2">
        <v>737.6</v>
      </c>
      <c r="I1191" s="2">
        <v>5</v>
      </c>
      <c r="J1191" s="2">
        <v>642.97</v>
      </c>
    </row>
    <row r="1192" spans="1:10" x14ac:dyDescent="0.45">
      <c r="A1192" s="2" t="s">
        <v>321</v>
      </c>
      <c r="B1192" s="2" t="s">
        <v>35</v>
      </c>
      <c r="C1192" s="2" t="s">
        <v>16</v>
      </c>
      <c r="D1192" s="2" t="s">
        <v>41</v>
      </c>
      <c r="E1192" s="2" t="s">
        <v>33</v>
      </c>
      <c r="F1192" s="2">
        <v>19959</v>
      </c>
      <c r="G1192" s="2">
        <v>586</v>
      </c>
      <c r="H1192" s="2">
        <v>1166.1400000000001</v>
      </c>
      <c r="I1192" s="2">
        <v>17</v>
      </c>
      <c r="J1192" s="2">
        <v>4432.12</v>
      </c>
    </row>
    <row r="1193" spans="1:10" x14ac:dyDescent="0.45">
      <c r="A1193" s="2" t="s">
        <v>336</v>
      </c>
      <c r="B1193" s="2" t="s">
        <v>35</v>
      </c>
      <c r="C1193" s="2" t="s">
        <v>38</v>
      </c>
      <c r="D1193" s="2" t="s">
        <v>17</v>
      </c>
      <c r="E1193" s="2" t="s">
        <v>18</v>
      </c>
      <c r="F1193" s="2">
        <v>166155</v>
      </c>
      <c r="G1193" s="2">
        <v>6048</v>
      </c>
      <c r="H1193" s="2">
        <v>8830.08</v>
      </c>
      <c r="I1193" s="2">
        <v>260</v>
      </c>
      <c r="J1193" s="2">
        <v>28494.38</v>
      </c>
    </row>
    <row r="1194" spans="1:10" x14ac:dyDescent="0.45">
      <c r="A1194" s="2" t="s">
        <v>99</v>
      </c>
      <c r="B1194" s="2" t="s">
        <v>20</v>
      </c>
      <c r="C1194" s="2" t="s">
        <v>28</v>
      </c>
      <c r="D1194" s="2" t="s">
        <v>29</v>
      </c>
      <c r="E1194" s="2" t="s">
        <v>18</v>
      </c>
      <c r="F1194" s="2">
        <v>50819</v>
      </c>
      <c r="G1194" s="2">
        <v>3206</v>
      </c>
      <c r="H1194" s="2">
        <v>3045.7</v>
      </c>
      <c r="I1194" s="2">
        <v>222</v>
      </c>
      <c r="J1194" s="2">
        <v>24319.42</v>
      </c>
    </row>
    <row r="1195" spans="1:10" x14ac:dyDescent="0.45">
      <c r="A1195" s="2" t="s">
        <v>170</v>
      </c>
      <c r="B1195" s="2" t="s">
        <v>15</v>
      </c>
      <c r="C1195" s="2" t="s">
        <v>38</v>
      </c>
      <c r="D1195" s="2" t="s">
        <v>25</v>
      </c>
      <c r="E1195" s="2" t="s">
        <v>22</v>
      </c>
      <c r="F1195" s="2">
        <v>15796</v>
      </c>
      <c r="G1195" s="2">
        <v>301</v>
      </c>
      <c r="H1195" s="2">
        <v>574.91</v>
      </c>
      <c r="I1195" s="2">
        <v>17</v>
      </c>
      <c r="J1195" s="2">
        <v>1137.71</v>
      </c>
    </row>
    <row r="1196" spans="1:10" x14ac:dyDescent="0.45">
      <c r="A1196" s="2" t="s">
        <v>113</v>
      </c>
      <c r="B1196" s="2" t="s">
        <v>20</v>
      </c>
      <c r="C1196" s="2" t="s">
        <v>38</v>
      </c>
      <c r="D1196" s="2" t="s">
        <v>41</v>
      </c>
      <c r="E1196" s="2" t="s">
        <v>51</v>
      </c>
      <c r="F1196" s="2">
        <v>133422</v>
      </c>
      <c r="G1196" s="2">
        <v>8458</v>
      </c>
      <c r="H1196" s="2">
        <v>6935.56</v>
      </c>
      <c r="I1196" s="2">
        <v>663</v>
      </c>
      <c r="J1196" s="2">
        <v>111531.65</v>
      </c>
    </row>
    <row r="1197" spans="1:10" x14ac:dyDescent="0.45">
      <c r="A1197" s="2" t="s">
        <v>239</v>
      </c>
      <c r="B1197" s="2" t="s">
        <v>35</v>
      </c>
      <c r="C1197" s="2" t="s">
        <v>24</v>
      </c>
      <c r="D1197" s="2" t="s">
        <v>21</v>
      </c>
      <c r="E1197" s="2" t="s">
        <v>30</v>
      </c>
      <c r="F1197" s="2">
        <v>181026</v>
      </c>
      <c r="G1197" s="2">
        <v>2769</v>
      </c>
      <c r="H1197" s="2">
        <v>2935.14</v>
      </c>
      <c r="I1197" s="2">
        <v>155</v>
      </c>
      <c r="J1197" s="2">
        <v>18246.009999999998</v>
      </c>
    </row>
    <row r="1198" spans="1:10" x14ac:dyDescent="0.45">
      <c r="A1198" s="2" t="s">
        <v>213</v>
      </c>
      <c r="B1198" s="2" t="s">
        <v>35</v>
      </c>
      <c r="C1198" s="2" t="s">
        <v>28</v>
      </c>
      <c r="D1198" s="2" t="s">
        <v>41</v>
      </c>
      <c r="E1198" s="2" t="s">
        <v>30</v>
      </c>
      <c r="F1198" s="2">
        <v>57784</v>
      </c>
      <c r="G1198" s="2">
        <v>907</v>
      </c>
      <c r="H1198" s="2">
        <v>1097.47</v>
      </c>
      <c r="I1198" s="2">
        <v>54</v>
      </c>
      <c r="J1198" s="2">
        <v>2856.1</v>
      </c>
    </row>
    <row r="1199" spans="1:10" x14ac:dyDescent="0.45">
      <c r="A1199" s="2" t="s">
        <v>385</v>
      </c>
      <c r="B1199" s="2" t="s">
        <v>35</v>
      </c>
      <c r="C1199" s="2" t="s">
        <v>16</v>
      </c>
      <c r="D1199" s="2" t="s">
        <v>41</v>
      </c>
      <c r="E1199" s="2" t="s">
        <v>51</v>
      </c>
      <c r="F1199" s="2">
        <v>81023</v>
      </c>
      <c r="G1199" s="2">
        <v>1944</v>
      </c>
      <c r="H1199" s="2">
        <v>2546.64</v>
      </c>
      <c r="I1199" s="2">
        <v>146</v>
      </c>
      <c r="J1199" s="2">
        <v>32752.99</v>
      </c>
    </row>
    <row r="1200" spans="1:10" x14ac:dyDescent="0.45">
      <c r="A1200" s="2" t="s">
        <v>158</v>
      </c>
      <c r="B1200" s="2" t="s">
        <v>15</v>
      </c>
      <c r="C1200" s="2" t="s">
        <v>28</v>
      </c>
      <c r="D1200" s="2" t="s">
        <v>21</v>
      </c>
      <c r="E1200" s="2" t="s">
        <v>26</v>
      </c>
      <c r="F1200" s="2">
        <v>93623</v>
      </c>
      <c r="G1200" s="2">
        <v>6319</v>
      </c>
      <c r="H1200" s="2">
        <v>7898.75</v>
      </c>
      <c r="I1200" s="2">
        <v>83</v>
      </c>
      <c r="J1200" s="2">
        <v>20925.73</v>
      </c>
    </row>
    <row r="1201" spans="1:10" x14ac:dyDescent="0.45">
      <c r="A1201" s="2" t="s">
        <v>269</v>
      </c>
      <c r="B1201" s="2" t="s">
        <v>20</v>
      </c>
      <c r="C1201" s="2" t="s">
        <v>16</v>
      </c>
      <c r="D1201" s="2" t="s">
        <v>21</v>
      </c>
      <c r="E1201" s="2" t="s">
        <v>30</v>
      </c>
      <c r="F1201" s="2">
        <v>118483</v>
      </c>
      <c r="G1201" s="2">
        <v>8826</v>
      </c>
      <c r="H1201" s="2">
        <v>14915.94</v>
      </c>
      <c r="I1201" s="2">
        <v>570</v>
      </c>
      <c r="J1201" s="2">
        <v>139364.5</v>
      </c>
    </row>
    <row r="1202" spans="1:10" x14ac:dyDescent="0.45">
      <c r="A1202" s="2" t="s">
        <v>335</v>
      </c>
      <c r="B1202" s="2" t="s">
        <v>15</v>
      </c>
      <c r="C1202" s="2" t="s">
        <v>28</v>
      </c>
      <c r="D1202" s="2" t="s">
        <v>25</v>
      </c>
      <c r="E1202" s="2" t="s">
        <v>18</v>
      </c>
      <c r="F1202" s="2">
        <v>155018</v>
      </c>
      <c r="G1202" s="2">
        <v>9146</v>
      </c>
      <c r="H1202" s="2">
        <v>27072.16</v>
      </c>
      <c r="I1202" s="2">
        <v>495</v>
      </c>
      <c r="J1202" s="2">
        <v>33297.83</v>
      </c>
    </row>
    <row r="1203" spans="1:10" x14ac:dyDescent="0.45">
      <c r="A1203" s="2" t="s">
        <v>249</v>
      </c>
      <c r="B1203" s="2" t="s">
        <v>15</v>
      </c>
      <c r="C1203" s="2" t="s">
        <v>16</v>
      </c>
      <c r="D1203" s="2" t="s">
        <v>21</v>
      </c>
      <c r="E1203" s="2" t="s">
        <v>33</v>
      </c>
      <c r="F1203" s="2">
        <v>13614</v>
      </c>
      <c r="G1203" s="2">
        <v>744</v>
      </c>
      <c r="H1203" s="2">
        <v>2209.6799999999998</v>
      </c>
      <c r="I1203" s="2">
        <v>54</v>
      </c>
      <c r="J1203" s="2">
        <v>11111.12</v>
      </c>
    </row>
    <row r="1204" spans="1:10" x14ac:dyDescent="0.45">
      <c r="A1204" s="2" t="s">
        <v>204</v>
      </c>
      <c r="B1204" s="2" t="s">
        <v>15</v>
      </c>
      <c r="C1204" s="2" t="s">
        <v>38</v>
      </c>
      <c r="D1204" s="2" t="s">
        <v>29</v>
      </c>
      <c r="E1204" s="2" t="s">
        <v>54</v>
      </c>
      <c r="F1204" s="2">
        <v>7594</v>
      </c>
      <c r="G1204" s="2">
        <v>225</v>
      </c>
      <c r="H1204" s="2">
        <v>267.75</v>
      </c>
      <c r="I1204" s="2">
        <v>7</v>
      </c>
      <c r="J1204" s="2">
        <v>1275.1099999999999</v>
      </c>
    </row>
    <row r="1205" spans="1:10" x14ac:dyDescent="0.45">
      <c r="A1205" s="2" t="s">
        <v>74</v>
      </c>
      <c r="B1205" s="2" t="s">
        <v>20</v>
      </c>
      <c r="C1205" s="2" t="s">
        <v>16</v>
      </c>
      <c r="D1205" s="2" t="s">
        <v>41</v>
      </c>
      <c r="E1205" s="2" t="s">
        <v>54</v>
      </c>
      <c r="F1205" s="2">
        <v>161640</v>
      </c>
      <c r="G1205" s="2">
        <v>5916</v>
      </c>
      <c r="H1205" s="2">
        <v>2721.36</v>
      </c>
      <c r="I1205" s="2">
        <v>445</v>
      </c>
      <c r="J1205" s="2">
        <v>30797.18</v>
      </c>
    </row>
    <row r="1206" spans="1:10" x14ac:dyDescent="0.45">
      <c r="A1206" s="2" t="s">
        <v>195</v>
      </c>
      <c r="B1206" s="2" t="s">
        <v>15</v>
      </c>
      <c r="C1206" s="2" t="s">
        <v>24</v>
      </c>
      <c r="D1206" s="2" t="s">
        <v>41</v>
      </c>
      <c r="E1206" s="2" t="s">
        <v>18</v>
      </c>
      <c r="F1206" s="2">
        <v>83845</v>
      </c>
      <c r="G1206" s="2">
        <v>2599</v>
      </c>
      <c r="H1206" s="2">
        <v>6991.31</v>
      </c>
      <c r="I1206" s="2">
        <v>137</v>
      </c>
      <c r="J1206" s="2">
        <v>29891.75</v>
      </c>
    </row>
    <row r="1207" spans="1:10" x14ac:dyDescent="0.45">
      <c r="A1207" s="2" t="s">
        <v>77</v>
      </c>
      <c r="B1207" s="2" t="s">
        <v>15</v>
      </c>
      <c r="C1207" s="2" t="s">
        <v>38</v>
      </c>
      <c r="D1207" s="2" t="s">
        <v>25</v>
      </c>
      <c r="E1207" s="2" t="s">
        <v>30</v>
      </c>
      <c r="F1207" s="2">
        <v>195610</v>
      </c>
      <c r="G1207" s="2">
        <v>9956</v>
      </c>
      <c r="H1207" s="2">
        <v>23595.72</v>
      </c>
      <c r="I1207" s="2">
        <v>401</v>
      </c>
      <c r="J1207" s="2">
        <v>116291.87</v>
      </c>
    </row>
    <row r="1208" spans="1:10" x14ac:dyDescent="0.45">
      <c r="A1208" s="2" t="s">
        <v>196</v>
      </c>
      <c r="B1208" s="2" t="s">
        <v>15</v>
      </c>
      <c r="C1208" s="2" t="s">
        <v>38</v>
      </c>
      <c r="D1208" s="2" t="s">
        <v>25</v>
      </c>
      <c r="E1208" s="2" t="s">
        <v>18</v>
      </c>
      <c r="F1208" s="2">
        <v>63812</v>
      </c>
      <c r="G1208" s="2">
        <v>2686</v>
      </c>
      <c r="H1208" s="2">
        <v>8004.28</v>
      </c>
      <c r="I1208" s="2">
        <v>84</v>
      </c>
      <c r="J1208" s="2">
        <v>6979.61</v>
      </c>
    </row>
    <row r="1209" spans="1:10" x14ac:dyDescent="0.45">
      <c r="A1209" s="2" t="s">
        <v>170</v>
      </c>
      <c r="B1209" s="2" t="s">
        <v>15</v>
      </c>
      <c r="C1209" s="2" t="s">
        <v>24</v>
      </c>
      <c r="D1209" s="2" t="s">
        <v>17</v>
      </c>
      <c r="E1209" s="2" t="s">
        <v>18</v>
      </c>
      <c r="F1209" s="2">
        <v>33794</v>
      </c>
      <c r="G1209" s="2">
        <v>1030</v>
      </c>
      <c r="H1209" s="2">
        <v>1802.5</v>
      </c>
      <c r="I1209" s="2">
        <v>25</v>
      </c>
      <c r="J1209" s="2">
        <v>1849.39</v>
      </c>
    </row>
    <row r="1210" spans="1:10" x14ac:dyDescent="0.45">
      <c r="A1210" s="2" t="s">
        <v>23</v>
      </c>
      <c r="B1210" s="2" t="s">
        <v>35</v>
      </c>
      <c r="C1210" s="2" t="s">
        <v>28</v>
      </c>
      <c r="D1210" s="2" t="s">
        <v>17</v>
      </c>
      <c r="E1210" s="2" t="s">
        <v>51</v>
      </c>
      <c r="F1210" s="2">
        <v>130056</v>
      </c>
      <c r="G1210" s="2">
        <v>3537</v>
      </c>
      <c r="H1210" s="2">
        <v>2051.46</v>
      </c>
      <c r="I1210" s="2">
        <v>207</v>
      </c>
      <c r="J1210" s="2">
        <v>27550.99</v>
      </c>
    </row>
    <row r="1211" spans="1:10" x14ac:dyDescent="0.45">
      <c r="A1211" s="2" t="s">
        <v>353</v>
      </c>
      <c r="B1211" s="2" t="s">
        <v>15</v>
      </c>
      <c r="C1211" s="2" t="s">
        <v>28</v>
      </c>
      <c r="D1211" s="2" t="s">
        <v>29</v>
      </c>
      <c r="E1211" s="2" t="s">
        <v>33</v>
      </c>
      <c r="F1211" s="2">
        <v>149438</v>
      </c>
      <c r="G1211" s="2">
        <v>3287</v>
      </c>
      <c r="H1211" s="2">
        <v>12260.51</v>
      </c>
      <c r="I1211" s="2">
        <v>153</v>
      </c>
      <c r="J1211" s="2">
        <v>8351.9500000000007</v>
      </c>
    </row>
    <row r="1212" spans="1:10" x14ac:dyDescent="0.45">
      <c r="A1212" s="2" t="s">
        <v>181</v>
      </c>
      <c r="B1212" s="2" t="s">
        <v>35</v>
      </c>
      <c r="C1212" s="2" t="s">
        <v>28</v>
      </c>
      <c r="D1212" s="2" t="s">
        <v>25</v>
      </c>
      <c r="E1212" s="2" t="s">
        <v>33</v>
      </c>
      <c r="F1212" s="2">
        <v>185750</v>
      </c>
      <c r="G1212" s="2">
        <v>1653</v>
      </c>
      <c r="H1212" s="2">
        <v>2148.9</v>
      </c>
      <c r="I1212" s="2">
        <v>34</v>
      </c>
      <c r="J1212" s="2">
        <v>2916.11</v>
      </c>
    </row>
    <row r="1213" spans="1:10" x14ac:dyDescent="0.45">
      <c r="A1213" s="2" t="s">
        <v>356</v>
      </c>
      <c r="B1213" s="2" t="s">
        <v>35</v>
      </c>
      <c r="C1213" s="2" t="s">
        <v>24</v>
      </c>
      <c r="D1213" s="2" t="s">
        <v>29</v>
      </c>
      <c r="E1213" s="2" t="s">
        <v>51</v>
      </c>
      <c r="F1213" s="2">
        <v>24750</v>
      </c>
      <c r="G1213" s="2">
        <v>747</v>
      </c>
      <c r="H1213" s="2">
        <v>888.93</v>
      </c>
      <c r="I1213" s="2">
        <v>48</v>
      </c>
      <c r="J1213" s="2">
        <v>1738.76</v>
      </c>
    </row>
    <row r="1214" spans="1:10" x14ac:dyDescent="0.45">
      <c r="A1214" s="2" t="s">
        <v>61</v>
      </c>
      <c r="B1214" s="2" t="s">
        <v>20</v>
      </c>
      <c r="C1214" s="2" t="s">
        <v>28</v>
      </c>
      <c r="D1214" s="2" t="s">
        <v>17</v>
      </c>
      <c r="E1214" s="2" t="s">
        <v>22</v>
      </c>
      <c r="F1214" s="2">
        <v>66262</v>
      </c>
      <c r="G1214" s="2">
        <v>3790</v>
      </c>
      <c r="H1214" s="2">
        <v>4055.3</v>
      </c>
      <c r="I1214" s="2">
        <v>150</v>
      </c>
      <c r="J1214" s="2">
        <v>24443.119999999999</v>
      </c>
    </row>
    <row r="1215" spans="1:10" x14ac:dyDescent="0.45">
      <c r="A1215" s="2" t="s">
        <v>130</v>
      </c>
      <c r="B1215" s="2" t="s">
        <v>20</v>
      </c>
      <c r="C1215" s="2" t="s">
        <v>24</v>
      </c>
      <c r="D1215" s="2" t="s">
        <v>41</v>
      </c>
      <c r="E1215" s="2" t="s">
        <v>22</v>
      </c>
      <c r="F1215" s="2">
        <v>126854</v>
      </c>
      <c r="G1215" s="2">
        <v>7243</v>
      </c>
      <c r="H1215" s="2">
        <v>5866.83</v>
      </c>
      <c r="I1215" s="2">
        <v>474</v>
      </c>
      <c r="J1215" s="2">
        <v>55705.279999999999</v>
      </c>
    </row>
    <row r="1216" spans="1:10" x14ac:dyDescent="0.45">
      <c r="A1216" s="2" t="s">
        <v>377</v>
      </c>
      <c r="B1216" s="2" t="s">
        <v>35</v>
      </c>
      <c r="C1216" s="2" t="s">
        <v>24</v>
      </c>
      <c r="D1216" s="2" t="s">
        <v>21</v>
      </c>
      <c r="E1216" s="2" t="s">
        <v>33</v>
      </c>
      <c r="F1216" s="2">
        <v>32559</v>
      </c>
      <c r="G1216" s="2">
        <v>553</v>
      </c>
      <c r="H1216" s="2">
        <v>392.63</v>
      </c>
      <c r="I1216" s="2">
        <v>6</v>
      </c>
      <c r="J1216" s="2">
        <v>1500.74</v>
      </c>
    </row>
    <row r="1217" spans="1:10" x14ac:dyDescent="0.45">
      <c r="A1217" s="2" t="s">
        <v>200</v>
      </c>
      <c r="B1217" s="2" t="s">
        <v>15</v>
      </c>
      <c r="C1217" s="2" t="s">
        <v>16</v>
      </c>
      <c r="D1217" s="2" t="s">
        <v>29</v>
      </c>
      <c r="E1217" s="2" t="s">
        <v>18</v>
      </c>
      <c r="F1217" s="2">
        <v>85729</v>
      </c>
      <c r="G1217" s="2">
        <v>1757</v>
      </c>
      <c r="H1217" s="2">
        <v>5306.14</v>
      </c>
      <c r="I1217" s="2">
        <v>90</v>
      </c>
      <c r="J1217" s="2">
        <v>21584.82</v>
      </c>
    </row>
    <row r="1218" spans="1:10" x14ac:dyDescent="0.45">
      <c r="A1218" s="2" t="s">
        <v>295</v>
      </c>
      <c r="B1218" s="2" t="s">
        <v>35</v>
      </c>
      <c r="C1218" s="2" t="s">
        <v>28</v>
      </c>
      <c r="D1218" s="2" t="s">
        <v>41</v>
      </c>
      <c r="E1218" s="2" t="s">
        <v>51</v>
      </c>
      <c r="F1218" s="2">
        <v>126432</v>
      </c>
      <c r="G1218" s="2">
        <v>1567</v>
      </c>
      <c r="H1218" s="2">
        <v>2585.5500000000002</v>
      </c>
      <c r="I1218" s="2">
        <v>110</v>
      </c>
      <c r="J1218" s="2">
        <v>31358.68</v>
      </c>
    </row>
    <row r="1219" spans="1:10" x14ac:dyDescent="0.45">
      <c r="A1219" s="2" t="s">
        <v>244</v>
      </c>
      <c r="B1219" s="2" t="s">
        <v>35</v>
      </c>
      <c r="C1219" s="2" t="s">
        <v>16</v>
      </c>
      <c r="D1219" s="2" t="s">
        <v>17</v>
      </c>
      <c r="E1219" s="2" t="s">
        <v>22</v>
      </c>
      <c r="F1219" s="2">
        <v>196595</v>
      </c>
      <c r="G1219" s="2">
        <v>2614</v>
      </c>
      <c r="H1219" s="2">
        <v>993.32</v>
      </c>
      <c r="I1219" s="2">
        <v>28</v>
      </c>
      <c r="J1219" s="2">
        <v>6376.7</v>
      </c>
    </row>
    <row r="1220" spans="1:10" x14ac:dyDescent="0.45">
      <c r="A1220" s="2" t="s">
        <v>261</v>
      </c>
      <c r="B1220" s="2" t="s">
        <v>35</v>
      </c>
      <c r="C1220" s="2" t="s">
        <v>16</v>
      </c>
      <c r="D1220" s="2" t="s">
        <v>41</v>
      </c>
      <c r="E1220" s="2" t="s">
        <v>22</v>
      </c>
      <c r="F1220" s="2">
        <v>14028</v>
      </c>
      <c r="G1220" s="2">
        <v>342</v>
      </c>
      <c r="H1220" s="2">
        <v>646.38</v>
      </c>
      <c r="I1220" s="2">
        <v>7</v>
      </c>
      <c r="J1220" s="2">
        <v>716.51</v>
      </c>
    </row>
    <row r="1221" spans="1:10" x14ac:dyDescent="0.45">
      <c r="A1221" s="2" t="s">
        <v>70</v>
      </c>
      <c r="B1221" s="2" t="s">
        <v>15</v>
      </c>
      <c r="C1221" s="2" t="s">
        <v>38</v>
      </c>
      <c r="D1221" s="2" t="s">
        <v>25</v>
      </c>
      <c r="E1221" s="2" t="s">
        <v>33</v>
      </c>
      <c r="F1221" s="2">
        <v>77964</v>
      </c>
      <c r="G1221" s="2">
        <v>2915</v>
      </c>
      <c r="H1221" s="2">
        <v>9852.7000000000007</v>
      </c>
      <c r="I1221" s="2">
        <v>161</v>
      </c>
      <c r="J1221" s="2">
        <v>14283</v>
      </c>
    </row>
    <row r="1222" spans="1:10" x14ac:dyDescent="0.45">
      <c r="A1222" s="2" t="s">
        <v>370</v>
      </c>
      <c r="B1222" s="2" t="s">
        <v>15</v>
      </c>
      <c r="C1222" s="2" t="s">
        <v>16</v>
      </c>
      <c r="D1222" s="2" t="s">
        <v>17</v>
      </c>
      <c r="E1222" s="2" t="s">
        <v>22</v>
      </c>
      <c r="F1222" s="2">
        <v>102677</v>
      </c>
      <c r="G1222" s="2">
        <v>3131</v>
      </c>
      <c r="H1222" s="2">
        <v>11490.77</v>
      </c>
      <c r="I1222" s="2">
        <v>79</v>
      </c>
      <c r="J1222" s="2">
        <v>13056.26</v>
      </c>
    </row>
    <row r="1223" spans="1:10" x14ac:dyDescent="0.45">
      <c r="A1223" s="2" t="s">
        <v>353</v>
      </c>
      <c r="B1223" s="2" t="s">
        <v>15</v>
      </c>
      <c r="C1223" s="2" t="s">
        <v>16</v>
      </c>
      <c r="D1223" s="2" t="s">
        <v>17</v>
      </c>
      <c r="E1223" s="2" t="s">
        <v>30</v>
      </c>
      <c r="F1223" s="2">
        <v>137737</v>
      </c>
      <c r="G1223" s="2">
        <v>3925</v>
      </c>
      <c r="H1223" s="2">
        <v>3532.5</v>
      </c>
      <c r="I1223" s="2">
        <v>78</v>
      </c>
      <c r="J1223" s="2">
        <v>11545.1</v>
      </c>
    </row>
    <row r="1224" spans="1:10" x14ac:dyDescent="0.45">
      <c r="A1224" s="2" t="s">
        <v>164</v>
      </c>
      <c r="B1224" s="2" t="s">
        <v>15</v>
      </c>
      <c r="C1224" s="2" t="s">
        <v>28</v>
      </c>
      <c r="D1224" s="2" t="s">
        <v>21</v>
      </c>
      <c r="E1224" s="2" t="s">
        <v>26</v>
      </c>
      <c r="F1224" s="2">
        <v>93534</v>
      </c>
      <c r="G1224" s="2">
        <v>3544</v>
      </c>
      <c r="H1224" s="2">
        <v>3366.8</v>
      </c>
      <c r="I1224" s="2">
        <v>187</v>
      </c>
      <c r="J1224" s="2">
        <v>32280.5</v>
      </c>
    </row>
    <row r="1225" spans="1:10" x14ac:dyDescent="0.45">
      <c r="A1225" s="2" t="s">
        <v>185</v>
      </c>
      <c r="B1225" s="2" t="s">
        <v>15</v>
      </c>
      <c r="C1225" s="2" t="s">
        <v>24</v>
      </c>
      <c r="D1225" s="2" t="s">
        <v>17</v>
      </c>
      <c r="E1225" s="2" t="s">
        <v>54</v>
      </c>
      <c r="F1225" s="2">
        <v>127475</v>
      </c>
      <c r="G1225" s="2">
        <v>7342</v>
      </c>
      <c r="H1225" s="2">
        <v>17180.28</v>
      </c>
      <c r="I1225" s="2">
        <v>574</v>
      </c>
      <c r="J1225" s="2">
        <v>74747.490000000005</v>
      </c>
    </row>
    <row r="1226" spans="1:10" x14ac:dyDescent="0.45">
      <c r="A1226" s="2" t="s">
        <v>383</v>
      </c>
      <c r="B1226" s="2" t="s">
        <v>15</v>
      </c>
      <c r="C1226" s="2" t="s">
        <v>38</v>
      </c>
      <c r="D1226" s="2" t="s">
        <v>29</v>
      </c>
      <c r="E1226" s="2" t="s">
        <v>26</v>
      </c>
      <c r="F1226" s="2">
        <v>82700</v>
      </c>
      <c r="G1226" s="2">
        <v>2679</v>
      </c>
      <c r="H1226" s="2">
        <v>2303.94</v>
      </c>
      <c r="I1226" s="2">
        <v>140</v>
      </c>
      <c r="J1226" s="2">
        <v>20788.45</v>
      </c>
    </row>
    <row r="1227" spans="1:10" x14ac:dyDescent="0.45">
      <c r="A1227" s="2" t="s">
        <v>235</v>
      </c>
      <c r="B1227" s="2" t="s">
        <v>20</v>
      </c>
      <c r="C1227" s="2" t="s">
        <v>28</v>
      </c>
      <c r="D1227" s="2" t="s">
        <v>41</v>
      </c>
      <c r="E1227" s="2" t="s">
        <v>22</v>
      </c>
      <c r="F1227" s="2">
        <v>96432</v>
      </c>
      <c r="G1227" s="2">
        <v>7155</v>
      </c>
      <c r="H1227" s="2">
        <v>2504.25</v>
      </c>
      <c r="I1227" s="2">
        <v>336</v>
      </c>
      <c r="J1227" s="2">
        <v>47954.95</v>
      </c>
    </row>
    <row r="1228" spans="1:10" x14ac:dyDescent="0.45">
      <c r="A1228" s="2" t="s">
        <v>165</v>
      </c>
      <c r="B1228" s="2" t="s">
        <v>20</v>
      </c>
      <c r="C1228" s="2" t="s">
        <v>28</v>
      </c>
      <c r="D1228" s="2" t="s">
        <v>29</v>
      </c>
      <c r="E1228" s="2" t="s">
        <v>26</v>
      </c>
      <c r="F1228" s="2">
        <v>154656</v>
      </c>
      <c r="G1228" s="2">
        <v>6557</v>
      </c>
      <c r="H1228" s="2">
        <v>2622.8</v>
      </c>
      <c r="I1228" s="2">
        <v>345</v>
      </c>
      <c r="J1228" s="2">
        <v>49646.11</v>
      </c>
    </row>
    <row r="1229" spans="1:10" x14ac:dyDescent="0.45">
      <c r="A1229" s="2" t="s">
        <v>385</v>
      </c>
      <c r="B1229" s="2" t="s">
        <v>15</v>
      </c>
      <c r="C1229" s="2" t="s">
        <v>24</v>
      </c>
      <c r="D1229" s="2" t="s">
        <v>25</v>
      </c>
      <c r="E1229" s="2" t="s">
        <v>22</v>
      </c>
      <c r="F1229" s="2">
        <v>115415</v>
      </c>
      <c r="G1229" s="2">
        <v>3866</v>
      </c>
      <c r="H1229" s="2">
        <v>12719.14</v>
      </c>
      <c r="I1229" s="2">
        <v>280</v>
      </c>
      <c r="J1229" s="2">
        <v>61322.57</v>
      </c>
    </row>
    <row r="1230" spans="1:10" x14ac:dyDescent="0.45">
      <c r="A1230" s="2" t="s">
        <v>196</v>
      </c>
      <c r="B1230" s="2" t="s">
        <v>15</v>
      </c>
      <c r="C1230" s="2" t="s">
        <v>16</v>
      </c>
      <c r="D1230" s="2" t="s">
        <v>41</v>
      </c>
      <c r="E1230" s="2" t="s">
        <v>33</v>
      </c>
      <c r="F1230" s="2">
        <v>157963</v>
      </c>
      <c r="G1230" s="2">
        <v>5607</v>
      </c>
      <c r="H1230" s="2">
        <v>4934.16</v>
      </c>
      <c r="I1230" s="2">
        <v>205</v>
      </c>
      <c r="J1230" s="2">
        <v>50937.22</v>
      </c>
    </row>
    <row r="1231" spans="1:10" x14ac:dyDescent="0.45">
      <c r="A1231" s="2" t="s">
        <v>352</v>
      </c>
      <c r="B1231" s="2" t="s">
        <v>35</v>
      </c>
      <c r="C1231" s="2" t="s">
        <v>24</v>
      </c>
      <c r="D1231" s="2" t="s">
        <v>17</v>
      </c>
      <c r="E1231" s="2" t="s">
        <v>33</v>
      </c>
      <c r="F1231" s="2">
        <v>133684</v>
      </c>
      <c r="G1231" s="2">
        <v>2018</v>
      </c>
      <c r="H1231" s="2">
        <v>3470.96</v>
      </c>
      <c r="I1231" s="2">
        <v>44</v>
      </c>
      <c r="J1231" s="2">
        <v>11449.27</v>
      </c>
    </row>
    <row r="1232" spans="1:10" x14ac:dyDescent="0.45">
      <c r="A1232" s="2" t="s">
        <v>66</v>
      </c>
      <c r="B1232" s="2" t="s">
        <v>15</v>
      </c>
      <c r="C1232" s="2" t="s">
        <v>28</v>
      </c>
      <c r="D1232" s="2" t="s">
        <v>25</v>
      </c>
      <c r="E1232" s="2" t="s">
        <v>18</v>
      </c>
      <c r="F1232" s="2">
        <v>20091</v>
      </c>
      <c r="G1232" s="2">
        <v>956</v>
      </c>
      <c r="H1232" s="2">
        <v>3259.96</v>
      </c>
      <c r="I1232" s="2">
        <v>36</v>
      </c>
      <c r="J1232" s="2">
        <v>9230.0499999999993</v>
      </c>
    </row>
    <row r="1233" spans="1:10" x14ac:dyDescent="0.45">
      <c r="A1233" s="2" t="s">
        <v>163</v>
      </c>
      <c r="B1233" s="2" t="s">
        <v>15</v>
      </c>
      <c r="C1233" s="2" t="s">
        <v>38</v>
      </c>
      <c r="D1233" s="2" t="s">
        <v>41</v>
      </c>
      <c r="E1233" s="2" t="s">
        <v>33</v>
      </c>
      <c r="F1233" s="2">
        <v>126946</v>
      </c>
      <c r="G1233" s="2">
        <v>6728</v>
      </c>
      <c r="H1233" s="2">
        <v>15541.68</v>
      </c>
      <c r="I1233" s="2">
        <v>132</v>
      </c>
      <c r="J1233" s="2">
        <v>34256.99</v>
      </c>
    </row>
    <row r="1234" spans="1:10" x14ac:dyDescent="0.45">
      <c r="A1234" s="2" t="s">
        <v>50</v>
      </c>
      <c r="B1234" s="2" t="s">
        <v>20</v>
      </c>
      <c r="C1234" s="2" t="s">
        <v>16</v>
      </c>
      <c r="D1234" s="2" t="s">
        <v>25</v>
      </c>
      <c r="E1234" s="2" t="s">
        <v>30</v>
      </c>
      <c r="F1234" s="2">
        <v>8311</v>
      </c>
      <c r="G1234" s="2">
        <v>476</v>
      </c>
      <c r="H1234" s="2">
        <v>766.36</v>
      </c>
      <c r="I1234" s="2">
        <v>18</v>
      </c>
      <c r="J1234" s="2">
        <v>1064.02</v>
      </c>
    </row>
    <row r="1235" spans="1:10" x14ac:dyDescent="0.45">
      <c r="A1235" s="2" t="s">
        <v>277</v>
      </c>
      <c r="B1235" s="2" t="s">
        <v>15</v>
      </c>
      <c r="C1235" s="2" t="s">
        <v>24</v>
      </c>
      <c r="D1235" s="2" t="s">
        <v>25</v>
      </c>
      <c r="E1235" s="2" t="s">
        <v>22</v>
      </c>
      <c r="F1235" s="2">
        <v>140091</v>
      </c>
      <c r="G1235" s="2">
        <v>7242</v>
      </c>
      <c r="H1235" s="2">
        <v>18249.84</v>
      </c>
      <c r="I1235" s="2">
        <v>347</v>
      </c>
      <c r="J1235" s="2">
        <v>24525.17</v>
      </c>
    </row>
    <row r="1236" spans="1:10" x14ac:dyDescent="0.45">
      <c r="A1236" s="2" t="s">
        <v>84</v>
      </c>
      <c r="B1236" s="2" t="s">
        <v>20</v>
      </c>
      <c r="C1236" s="2" t="s">
        <v>28</v>
      </c>
      <c r="D1236" s="2" t="s">
        <v>41</v>
      </c>
      <c r="E1236" s="2" t="s">
        <v>33</v>
      </c>
      <c r="F1236" s="2">
        <v>140121</v>
      </c>
      <c r="G1236" s="2">
        <v>4778</v>
      </c>
      <c r="H1236" s="2">
        <v>4109.08</v>
      </c>
      <c r="I1236" s="2">
        <v>291</v>
      </c>
      <c r="J1236" s="2">
        <v>84859.67</v>
      </c>
    </row>
    <row r="1237" spans="1:10" x14ac:dyDescent="0.45">
      <c r="A1237" s="2" t="s">
        <v>331</v>
      </c>
      <c r="B1237" s="2" t="s">
        <v>35</v>
      </c>
      <c r="C1237" s="2" t="s">
        <v>38</v>
      </c>
      <c r="D1237" s="2" t="s">
        <v>17</v>
      </c>
      <c r="E1237" s="2" t="s">
        <v>22</v>
      </c>
      <c r="F1237" s="2">
        <v>159301</v>
      </c>
      <c r="G1237" s="2">
        <v>6738</v>
      </c>
      <c r="H1237" s="2">
        <v>14688.84</v>
      </c>
      <c r="I1237" s="2">
        <v>302</v>
      </c>
      <c r="J1237" s="2">
        <v>57570.61</v>
      </c>
    </row>
    <row r="1238" spans="1:10" x14ac:dyDescent="0.45">
      <c r="A1238" s="2" t="s">
        <v>247</v>
      </c>
      <c r="B1238" s="2" t="s">
        <v>20</v>
      </c>
      <c r="C1238" s="2" t="s">
        <v>28</v>
      </c>
      <c r="D1238" s="2" t="s">
        <v>29</v>
      </c>
      <c r="E1238" s="2" t="s">
        <v>30</v>
      </c>
      <c r="F1238" s="2">
        <v>88940</v>
      </c>
      <c r="G1238" s="2">
        <v>4384</v>
      </c>
      <c r="H1238" s="2">
        <v>1402.88</v>
      </c>
      <c r="I1238" s="2">
        <v>66</v>
      </c>
      <c r="J1238" s="2">
        <v>10447.120000000001</v>
      </c>
    </row>
    <row r="1239" spans="1:10" x14ac:dyDescent="0.45">
      <c r="A1239" s="2" t="s">
        <v>279</v>
      </c>
      <c r="B1239" s="2" t="s">
        <v>35</v>
      </c>
      <c r="C1239" s="2" t="s">
        <v>16</v>
      </c>
      <c r="D1239" s="2" t="s">
        <v>17</v>
      </c>
      <c r="E1239" s="2" t="s">
        <v>33</v>
      </c>
      <c r="F1239" s="2">
        <v>194287</v>
      </c>
      <c r="G1239" s="2">
        <v>5032</v>
      </c>
      <c r="H1239" s="2">
        <v>4277.2</v>
      </c>
      <c r="I1239" s="2">
        <v>338</v>
      </c>
      <c r="J1239" s="2">
        <v>32920.35</v>
      </c>
    </row>
    <row r="1240" spans="1:10" x14ac:dyDescent="0.45">
      <c r="A1240" s="2" t="s">
        <v>210</v>
      </c>
      <c r="B1240" s="2" t="s">
        <v>20</v>
      </c>
      <c r="C1240" s="2" t="s">
        <v>16</v>
      </c>
      <c r="D1240" s="2" t="s">
        <v>25</v>
      </c>
      <c r="E1240" s="2" t="s">
        <v>51</v>
      </c>
      <c r="F1240" s="2">
        <v>17911</v>
      </c>
      <c r="G1240" s="2">
        <v>1148</v>
      </c>
      <c r="H1240" s="2">
        <v>1320.2</v>
      </c>
      <c r="I1240" s="2">
        <v>52</v>
      </c>
      <c r="J1240" s="2">
        <v>3388.21</v>
      </c>
    </row>
    <row r="1241" spans="1:10" x14ac:dyDescent="0.45">
      <c r="A1241" s="2" t="s">
        <v>298</v>
      </c>
      <c r="B1241" s="2" t="s">
        <v>35</v>
      </c>
      <c r="C1241" s="2" t="s">
        <v>38</v>
      </c>
      <c r="D1241" s="2" t="s">
        <v>29</v>
      </c>
      <c r="E1241" s="2" t="s">
        <v>22</v>
      </c>
      <c r="F1241" s="2">
        <v>9909</v>
      </c>
      <c r="G1241" s="2">
        <v>170</v>
      </c>
      <c r="H1241" s="2">
        <v>316.2</v>
      </c>
      <c r="I1241" s="2">
        <v>10</v>
      </c>
      <c r="J1241" s="2">
        <v>1238.47</v>
      </c>
    </row>
    <row r="1242" spans="1:10" x14ac:dyDescent="0.45">
      <c r="A1242" s="2" t="s">
        <v>254</v>
      </c>
      <c r="B1242" s="2" t="s">
        <v>20</v>
      </c>
      <c r="C1242" s="2" t="s">
        <v>16</v>
      </c>
      <c r="D1242" s="2" t="s">
        <v>41</v>
      </c>
      <c r="E1242" s="2" t="s">
        <v>51</v>
      </c>
      <c r="F1242" s="2">
        <v>168616</v>
      </c>
      <c r="G1242" s="2">
        <v>6508</v>
      </c>
      <c r="H1242" s="2">
        <v>6638.16</v>
      </c>
      <c r="I1242" s="2">
        <v>508</v>
      </c>
      <c r="J1242" s="2">
        <v>151081.09</v>
      </c>
    </row>
    <row r="1243" spans="1:10" x14ac:dyDescent="0.45">
      <c r="A1243" s="2" t="s">
        <v>259</v>
      </c>
      <c r="B1243" s="2" t="s">
        <v>35</v>
      </c>
      <c r="C1243" s="2" t="s">
        <v>28</v>
      </c>
      <c r="D1243" s="2" t="s">
        <v>25</v>
      </c>
      <c r="E1243" s="2" t="s">
        <v>30</v>
      </c>
      <c r="F1243" s="2">
        <v>139346</v>
      </c>
      <c r="G1243" s="2">
        <v>4096</v>
      </c>
      <c r="H1243" s="2">
        <v>2539.52</v>
      </c>
      <c r="I1243" s="2">
        <v>236</v>
      </c>
      <c r="J1243" s="2">
        <v>12521.54</v>
      </c>
    </row>
    <row r="1244" spans="1:10" x14ac:dyDescent="0.45">
      <c r="A1244" s="2" t="s">
        <v>341</v>
      </c>
      <c r="B1244" s="2" t="s">
        <v>35</v>
      </c>
      <c r="C1244" s="2" t="s">
        <v>16</v>
      </c>
      <c r="D1244" s="2" t="s">
        <v>17</v>
      </c>
      <c r="E1244" s="2" t="s">
        <v>22</v>
      </c>
      <c r="F1244" s="2">
        <v>98740</v>
      </c>
      <c r="G1244" s="2">
        <v>1589</v>
      </c>
      <c r="H1244" s="2">
        <v>3321.01</v>
      </c>
      <c r="I1244" s="2">
        <v>47</v>
      </c>
      <c r="J1244" s="2">
        <v>5063.3100000000004</v>
      </c>
    </row>
    <row r="1245" spans="1:10" x14ac:dyDescent="0.45">
      <c r="A1245" s="2" t="s">
        <v>152</v>
      </c>
      <c r="B1245" s="2" t="s">
        <v>20</v>
      </c>
      <c r="C1245" s="2" t="s">
        <v>24</v>
      </c>
      <c r="D1245" s="2" t="s">
        <v>21</v>
      </c>
      <c r="E1245" s="2" t="s">
        <v>51</v>
      </c>
      <c r="F1245" s="2">
        <v>26471</v>
      </c>
      <c r="G1245" s="2">
        <v>1890</v>
      </c>
      <c r="H1245" s="2">
        <v>1776.6</v>
      </c>
      <c r="I1245" s="2">
        <v>74</v>
      </c>
      <c r="J1245" s="2">
        <v>21647.86</v>
      </c>
    </row>
    <row r="1246" spans="1:10" x14ac:dyDescent="0.45">
      <c r="A1246" s="2" t="s">
        <v>118</v>
      </c>
      <c r="B1246" s="2" t="s">
        <v>35</v>
      </c>
      <c r="C1246" s="2" t="s">
        <v>38</v>
      </c>
      <c r="D1246" s="2" t="s">
        <v>25</v>
      </c>
      <c r="E1246" s="2" t="s">
        <v>26</v>
      </c>
      <c r="F1246" s="2">
        <v>174048</v>
      </c>
      <c r="G1246" s="2">
        <v>3846</v>
      </c>
      <c r="H1246" s="2">
        <v>6692.04</v>
      </c>
      <c r="I1246" s="2">
        <v>75</v>
      </c>
      <c r="J1246" s="2">
        <v>18304.27</v>
      </c>
    </row>
    <row r="1247" spans="1:10" x14ac:dyDescent="0.45">
      <c r="A1247" s="2" t="s">
        <v>260</v>
      </c>
      <c r="B1247" s="2" t="s">
        <v>35</v>
      </c>
      <c r="C1247" s="2" t="s">
        <v>16</v>
      </c>
      <c r="D1247" s="2" t="s">
        <v>25</v>
      </c>
      <c r="E1247" s="2" t="s">
        <v>54</v>
      </c>
      <c r="F1247" s="2">
        <v>8877</v>
      </c>
      <c r="G1247" s="2">
        <v>230</v>
      </c>
      <c r="H1247" s="2">
        <v>174.8</v>
      </c>
      <c r="I1247" s="2">
        <v>9</v>
      </c>
      <c r="J1247" s="2">
        <v>1921.06</v>
      </c>
    </row>
    <row r="1248" spans="1:10" x14ac:dyDescent="0.45">
      <c r="A1248" s="2" t="s">
        <v>92</v>
      </c>
      <c r="B1248" s="2" t="s">
        <v>35</v>
      </c>
      <c r="C1248" s="2" t="s">
        <v>28</v>
      </c>
      <c r="D1248" s="2" t="s">
        <v>21</v>
      </c>
      <c r="E1248" s="2" t="s">
        <v>30</v>
      </c>
      <c r="F1248" s="2">
        <v>32488</v>
      </c>
      <c r="G1248" s="2">
        <v>919</v>
      </c>
      <c r="H1248" s="2">
        <v>1773.67</v>
      </c>
      <c r="I1248" s="2">
        <v>32</v>
      </c>
      <c r="J1248" s="2">
        <v>7341.13</v>
      </c>
    </row>
    <row r="1249" spans="1:10" x14ac:dyDescent="0.45">
      <c r="A1249" s="2" t="s">
        <v>284</v>
      </c>
      <c r="B1249" s="2" t="s">
        <v>15</v>
      </c>
      <c r="C1249" s="2" t="s">
        <v>16</v>
      </c>
      <c r="D1249" s="2" t="s">
        <v>25</v>
      </c>
      <c r="E1249" s="2" t="s">
        <v>26</v>
      </c>
      <c r="F1249" s="2">
        <v>77968</v>
      </c>
      <c r="G1249" s="2">
        <v>3001</v>
      </c>
      <c r="H1249" s="2">
        <v>8552.85</v>
      </c>
      <c r="I1249" s="2">
        <v>193</v>
      </c>
      <c r="J1249" s="2">
        <v>31448.71</v>
      </c>
    </row>
    <row r="1250" spans="1:10" x14ac:dyDescent="0.45">
      <c r="A1250" s="2" t="s">
        <v>331</v>
      </c>
      <c r="B1250" s="2" t="s">
        <v>20</v>
      </c>
      <c r="C1250" s="2" t="s">
        <v>24</v>
      </c>
      <c r="D1250" s="2" t="s">
        <v>17</v>
      </c>
      <c r="E1250" s="2" t="s">
        <v>18</v>
      </c>
      <c r="F1250" s="2">
        <v>10156</v>
      </c>
      <c r="G1250" s="2">
        <v>474</v>
      </c>
      <c r="H1250" s="2">
        <v>146.94</v>
      </c>
      <c r="I1250" s="2">
        <v>29</v>
      </c>
      <c r="J1250" s="2">
        <v>1480.61</v>
      </c>
    </row>
    <row r="1251" spans="1:10" x14ac:dyDescent="0.45">
      <c r="A1251" s="2" t="s">
        <v>281</v>
      </c>
      <c r="B1251" s="2" t="s">
        <v>35</v>
      </c>
      <c r="C1251" s="2" t="s">
        <v>38</v>
      </c>
      <c r="D1251" s="2" t="s">
        <v>17</v>
      </c>
      <c r="E1251" s="2" t="s">
        <v>22</v>
      </c>
      <c r="F1251" s="2">
        <v>63676</v>
      </c>
      <c r="G1251" s="2">
        <v>1757</v>
      </c>
      <c r="H1251" s="2">
        <v>2038.12</v>
      </c>
      <c r="I1251" s="2">
        <v>137</v>
      </c>
      <c r="J1251" s="2">
        <v>8830.01</v>
      </c>
    </row>
    <row r="1252" spans="1:10" x14ac:dyDescent="0.45">
      <c r="A1252" s="2" t="s">
        <v>365</v>
      </c>
      <c r="B1252" s="2" t="s">
        <v>15</v>
      </c>
      <c r="C1252" s="2" t="s">
        <v>24</v>
      </c>
      <c r="D1252" s="2" t="s">
        <v>21</v>
      </c>
      <c r="E1252" s="2" t="s">
        <v>18</v>
      </c>
      <c r="F1252" s="2">
        <v>93545</v>
      </c>
      <c r="G1252" s="2">
        <v>2974</v>
      </c>
      <c r="H1252" s="2">
        <v>3449.84</v>
      </c>
      <c r="I1252" s="2">
        <v>58</v>
      </c>
      <c r="J1252" s="2">
        <v>4267.1099999999997</v>
      </c>
    </row>
    <row r="1253" spans="1:10" x14ac:dyDescent="0.45">
      <c r="A1253" s="2" t="s">
        <v>139</v>
      </c>
      <c r="B1253" s="2" t="s">
        <v>35</v>
      </c>
      <c r="C1253" s="2" t="s">
        <v>38</v>
      </c>
      <c r="D1253" s="2" t="s">
        <v>21</v>
      </c>
      <c r="E1253" s="2" t="s">
        <v>51</v>
      </c>
      <c r="F1253" s="2">
        <v>8671</v>
      </c>
      <c r="G1253" s="2">
        <v>156</v>
      </c>
      <c r="H1253" s="2">
        <v>227.76</v>
      </c>
      <c r="I1253" s="2">
        <v>7</v>
      </c>
      <c r="J1253" s="2">
        <v>1461.2</v>
      </c>
    </row>
    <row r="1254" spans="1:10" x14ac:dyDescent="0.45">
      <c r="A1254" s="2" t="s">
        <v>257</v>
      </c>
      <c r="B1254" s="2" t="s">
        <v>35</v>
      </c>
      <c r="C1254" s="2" t="s">
        <v>24</v>
      </c>
      <c r="D1254" s="2" t="s">
        <v>17</v>
      </c>
      <c r="E1254" s="2" t="s">
        <v>26</v>
      </c>
      <c r="F1254" s="2">
        <v>95930</v>
      </c>
      <c r="G1254" s="2">
        <v>1554</v>
      </c>
      <c r="H1254" s="2">
        <v>1118.8800000000001</v>
      </c>
      <c r="I1254" s="2">
        <v>62</v>
      </c>
      <c r="J1254" s="2">
        <v>5774.95</v>
      </c>
    </row>
    <row r="1255" spans="1:10" x14ac:dyDescent="0.45">
      <c r="A1255" s="2" t="s">
        <v>386</v>
      </c>
      <c r="B1255" s="2" t="s">
        <v>15</v>
      </c>
      <c r="C1255" s="2" t="s">
        <v>38</v>
      </c>
      <c r="D1255" s="2" t="s">
        <v>41</v>
      </c>
      <c r="E1255" s="2" t="s">
        <v>54</v>
      </c>
      <c r="F1255" s="2">
        <v>73683</v>
      </c>
      <c r="G1255" s="2">
        <v>3757</v>
      </c>
      <c r="H1255" s="2">
        <v>12473.24</v>
      </c>
      <c r="I1255" s="2">
        <v>131</v>
      </c>
      <c r="J1255" s="2">
        <v>33721.519999999997</v>
      </c>
    </row>
    <row r="1256" spans="1:10" x14ac:dyDescent="0.45">
      <c r="A1256" s="2" t="s">
        <v>275</v>
      </c>
      <c r="B1256" s="2" t="s">
        <v>35</v>
      </c>
      <c r="C1256" s="2" t="s">
        <v>28</v>
      </c>
      <c r="D1256" s="2" t="s">
        <v>29</v>
      </c>
      <c r="E1256" s="2" t="s">
        <v>51</v>
      </c>
      <c r="F1256" s="2">
        <v>152932</v>
      </c>
      <c r="G1256" s="2">
        <v>6591</v>
      </c>
      <c r="H1256" s="2">
        <v>8238.75</v>
      </c>
      <c r="I1256" s="2">
        <v>200</v>
      </c>
      <c r="J1256" s="2">
        <v>14211.23</v>
      </c>
    </row>
    <row r="1257" spans="1:10" x14ac:dyDescent="0.45">
      <c r="A1257" s="2" t="s">
        <v>157</v>
      </c>
      <c r="B1257" s="2" t="s">
        <v>20</v>
      </c>
      <c r="C1257" s="2" t="s">
        <v>28</v>
      </c>
      <c r="D1257" s="2" t="s">
        <v>29</v>
      </c>
      <c r="E1257" s="2" t="s">
        <v>18</v>
      </c>
      <c r="F1257" s="2">
        <v>125354</v>
      </c>
      <c r="G1257" s="2">
        <v>6179</v>
      </c>
      <c r="H1257" s="2">
        <v>2162.65</v>
      </c>
      <c r="I1257" s="2">
        <v>259</v>
      </c>
      <c r="J1257" s="2">
        <v>9238.1200000000008</v>
      </c>
    </row>
    <row r="1258" spans="1:10" x14ac:dyDescent="0.45">
      <c r="A1258" s="2" t="s">
        <v>115</v>
      </c>
      <c r="B1258" s="2" t="s">
        <v>15</v>
      </c>
      <c r="C1258" s="2" t="s">
        <v>28</v>
      </c>
      <c r="D1258" s="2" t="s">
        <v>41</v>
      </c>
      <c r="E1258" s="2" t="s">
        <v>33</v>
      </c>
      <c r="F1258" s="2">
        <v>193613</v>
      </c>
      <c r="G1258" s="2">
        <v>9157</v>
      </c>
      <c r="H1258" s="2">
        <v>25548.03</v>
      </c>
      <c r="I1258" s="2">
        <v>458</v>
      </c>
      <c r="J1258" s="2">
        <v>127981.37</v>
      </c>
    </row>
    <row r="1259" spans="1:10" x14ac:dyDescent="0.45">
      <c r="A1259" s="2" t="s">
        <v>149</v>
      </c>
      <c r="B1259" s="2" t="s">
        <v>15</v>
      </c>
      <c r="C1259" s="2" t="s">
        <v>38</v>
      </c>
      <c r="D1259" s="2" t="s">
        <v>21</v>
      </c>
      <c r="E1259" s="2" t="s">
        <v>54</v>
      </c>
      <c r="F1259" s="2">
        <v>158138</v>
      </c>
      <c r="G1259" s="2">
        <v>2846</v>
      </c>
      <c r="H1259" s="2">
        <v>5805.84</v>
      </c>
      <c r="I1259" s="2">
        <v>143</v>
      </c>
      <c r="J1259" s="2">
        <v>22164.01</v>
      </c>
    </row>
    <row r="1260" spans="1:10" x14ac:dyDescent="0.45">
      <c r="A1260" s="2" t="s">
        <v>225</v>
      </c>
      <c r="B1260" s="2" t="s">
        <v>15</v>
      </c>
      <c r="C1260" s="2" t="s">
        <v>24</v>
      </c>
      <c r="D1260" s="2" t="s">
        <v>25</v>
      </c>
      <c r="E1260" s="2" t="s">
        <v>18</v>
      </c>
      <c r="F1260" s="2">
        <v>134814</v>
      </c>
      <c r="G1260" s="2">
        <v>2804</v>
      </c>
      <c r="H1260" s="2">
        <v>5355.64</v>
      </c>
      <c r="I1260" s="2">
        <v>195</v>
      </c>
      <c r="J1260" s="2">
        <v>46646.16</v>
      </c>
    </row>
    <row r="1261" spans="1:10" x14ac:dyDescent="0.45">
      <c r="A1261" s="2" t="s">
        <v>209</v>
      </c>
      <c r="B1261" s="2" t="s">
        <v>15</v>
      </c>
      <c r="C1261" s="2" t="s">
        <v>16</v>
      </c>
      <c r="D1261" s="2" t="s">
        <v>41</v>
      </c>
      <c r="E1261" s="2" t="s">
        <v>54</v>
      </c>
      <c r="F1261" s="2">
        <v>102366</v>
      </c>
      <c r="G1261" s="2">
        <v>2589</v>
      </c>
      <c r="H1261" s="2">
        <v>4116.51</v>
      </c>
      <c r="I1261" s="2">
        <v>148</v>
      </c>
      <c r="J1261" s="2">
        <v>35080.15</v>
      </c>
    </row>
    <row r="1262" spans="1:10" x14ac:dyDescent="0.45">
      <c r="A1262" s="2" t="s">
        <v>65</v>
      </c>
      <c r="B1262" s="2" t="s">
        <v>35</v>
      </c>
      <c r="C1262" s="2" t="s">
        <v>38</v>
      </c>
      <c r="D1262" s="2" t="s">
        <v>25</v>
      </c>
      <c r="E1262" s="2" t="s">
        <v>33</v>
      </c>
      <c r="F1262" s="2">
        <v>159044</v>
      </c>
      <c r="G1262" s="2">
        <v>2385</v>
      </c>
      <c r="H1262" s="2">
        <v>3935.25</v>
      </c>
      <c r="I1262" s="2">
        <v>184</v>
      </c>
      <c r="J1262" s="2">
        <v>35387.51</v>
      </c>
    </row>
    <row r="1263" spans="1:10" x14ac:dyDescent="0.45">
      <c r="A1263" s="2" t="s">
        <v>40</v>
      </c>
      <c r="B1263" s="2" t="s">
        <v>20</v>
      </c>
      <c r="C1263" s="2" t="s">
        <v>28</v>
      </c>
      <c r="D1263" s="2" t="s">
        <v>21</v>
      </c>
      <c r="E1263" s="2" t="s">
        <v>26</v>
      </c>
      <c r="F1263" s="2">
        <v>35932</v>
      </c>
      <c r="G1263" s="2">
        <v>1440</v>
      </c>
      <c r="H1263" s="2">
        <v>1310.4000000000001</v>
      </c>
      <c r="I1263" s="2">
        <v>68</v>
      </c>
      <c r="J1263" s="2">
        <v>16668.75</v>
      </c>
    </row>
    <row r="1264" spans="1:10" x14ac:dyDescent="0.45">
      <c r="A1264" s="2" t="s">
        <v>260</v>
      </c>
      <c r="B1264" s="2" t="s">
        <v>20</v>
      </c>
      <c r="C1264" s="2" t="s">
        <v>38</v>
      </c>
      <c r="D1264" s="2" t="s">
        <v>21</v>
      </c>
      <c r="E1264" s="2" t="s">
        <v>54</v>
      </c>
      <c r="F1264" s="2">
        <v>116561</v>
      </c>
      <c r="G1264" s="2">
        <v>4231</v>
      </c>
      <c r="H1264" s="2">
        <v>4231</v>
      </c>
      <c r="I1264" s="2">
        <v>172</v>
      </c>
      <c r="J1264" s="2">
        <v>42291.58</v>
      </c>
    </row>
    <row r="1265" spans="1:10" x14ac:dyDescent="0.45">
      <c r="A1265" s="2" t="s">
        <v>86</v>
      </c>
      <c r="B1265" s="2" t="s">
        <v>35</v>
      </c>
      <c r="C1265" s="2" t="s">
        <v>28</v>
      </c>
      <c r="D1265" s="2" t="s">
        <v>17</v>
      </c>
      <c r="E1265" s="2" t="s">
        <v>54</v>
      </c>
      <c r="F1265" s="2">
        <v>8608</v>
      </c>
      <c r="G1265" s="2">
        <v>100</v>
      </c>
      <c r="H1265" s="2">
        <v>58</v>
      </c>
      <c r="I1265" s="2">
        <v>3</v>
      </c>
      <c r="J1265" s="2">
        <v>661.12</v>
      </c>
    </row>
    <row r="1266" spans="1:10" x14ac:dyDescent="0.45">
      <c r="A1266" s="2" t="s">
        <v>215</v>
      </c>
      <c r="B1266" s="2" t="s">
        <v>35</v>
      </c>
      <c r="C1266" s="2" t="s">
        <v>16</v>
      </c>
      <c r="D1266" s="2" t="s">
        <v>41</v>
      </c>
      <c r="E1266" s="2" t="s">
        <v>18</v>
      </c>
      <c r="F1266" s="2">
        <v>19284</v>
      </c>
      <c r="G1266" s="2">
        <v>642</v>
      </c>
      <c r="H1266" s="2">
        <v>1007.94</v>
      </c>
      <c r="I1266" s="2">
        <v>21</v>
      </c>
      <c r="J1266" s="2">
        <v>5907.29</v>
      </c>
    </row>
    <row r="1267" spans="1:10" x14ac:dyDescent="0.45">
      <c r="A1267" s="2" t="s">
        <v>73</v>
      </c>
      <c r="B1267" s="2" t="s">
        <v>35</v>
      </c>
      <c r="C1267" s="2" t="s">
        <v>38</v>
      </c>
      <c r="D1267" s="2" t="s">
        <v>17</v>
      </c>
      <c r="E1267" s="2" t="s">
        <v>51</v>
      </c>
      <c r="F1267" s="2">
        <v>161764</v>
      </c>
      <c r="G1267" s="2">
        <v>2652</v>
      </c>
      <c r="H1267" s="2">
        <v>2625.48</v>
      </c>
      <c r="I1267" s="2">
        <v>76</v>
      </c>
      <c r="J1267" s="2">
        <v>16956.509999999998</v>
      </c>
    </row>
    <row r="1268" spans="1:10" x14ac:dyDescent="0.45">
      <c r="A1268" s="2" t="s">
        <v>222</v>
      </c>
      <c r="B1268" s="2" t="s">
        <v>20</v>
      </c>
      <c r="C1268" s="2" t="s">
        <v>24</v>
      </c>
      <c r="D1268" s="2" t="s">
        <v>17</v>
      </c>
      <c r="E1268" s="2" t="s">
        <v>30</v>
      </c>
      <c r="F1268" s="2">
        <v>116045</v>
      </c>
      <c r="G1268" s="2">
        <v>6660</v>
      </c>
      <c r="H1268" s="2">
        <v>2331</v>
      </c>
      <c r="I1268" s="2">
        <v>467</v>
      </c>
      <c r="J1268" s="2">
        <v>76092.649999999994</v>
      </c>
    </row>
    <row r="1269" spans="1:10" x14ac:dyDescent="0.45">
      <c r="A1269" s="2" t="s">
        <v>352</v>
      </c>
      <c r="B1269" s="2" t="s">
        <v>35</v>
      </c>
      <c r="C1269" s="2" t="s">
        <v>28</v>
      </c>
      <c r="D1269" s="2" t="s">
        <v>41</v>
      </c>
      <c r="E1269" s="2" t="s">
        <v>22</v>
      </c>
      <c r="F1269" s="2">
        <v>61395</v>
      </c>
      <c r="G1269" s="2">
        <v>2038</v>
      </c>
      <c r="H1269" s="2">
        <v>4809.68</v>
      </c>
      <c r="I1269" s="2">
        <v>102</v>
      </c>
      <c r="J1269" s="2">
        <v>16290.15</v>
      </c>
    </row>
    <row r="1270" spans="1:10" x14ac:dyDescent="0.45">
      <c r="A1270" s="2" t="s">
        <v>114</v>
      </c>
      <c r="B1270" s="2" t="s">
        <v>15</v>
      </c>
      <c r="C1270" s="2" t="s">
        <v>28</v>
      </c>
      <c r="D1270" s="2" t="s">
        <v>21</v>
      </c>
      <c r="E1270" s="2" t="s">
        <v>18</v>
      </c>
      <c r="F1270" s="2">
        <v>119183</v>
      </c>
      <c r="G1270" s="2">
        <v>5041</v>
      </c>
      <c r="H1270" s="2">
        <v>17038.580000000002</v>
      </c>
      <c r="I1270" s="2">
        <v>121</v>
      </c>
      <c r="J1270" s="2">
        <v>25438.17</v>
      </c>
    </row>
    <row r="1271" spans="1:10" x14ac:dyDescent="0.45">
      <c r="A1271" s="2" t="s">
        <v>182</v>
      </c>
      <c r="B1271" s="2" t="s">
        <v>35</v>
      </c>
      <c r="C1271" s="2" t="s">
        <v>16</v>
      </c>
      <c r="D1271" s="2" t="s">
        <v>41</v>
      </c>
      <c r="E1271" s="2" t="s">
        <v>18</v>
      </c>
      <c r="F1271" s="2">
        <v>26747</v>
      </c>
      <c r="G1271" s="2">
        <v>1099</v>
      </c>
      <c r="H1271" s="2">
        <v>1252.8599999999999</v>
      </c>
      <c r="I1271" s="2">
        <v>36</v>
      </c>
      <c r="J1271" s="2">
        <v>5626.79</v>
      </c>
    </row>
    <row r="1272" spans="1:10" x14ac:dyDescent="0.45">
      <c r="A1272" s="2" t="s">
        <v>204</v>
      </c>
      <c r="B1272" s="2" t="s">
        <v>35</v>
      </c>
      <c r="C1272" s="2" t="s">
        <v>38</v>
      </c>
      <c r="D1272" s="2" t="s">
        <v>21</v>
      </c>
      <c r="E1272" s="2" t="s">
        <v>30</v>
      </c>
      <c r="F1272" s="2">
        <v>157898</v>
      </c>
      <c r="G1272" s="2">
        <v>3094</v>
      </c>
      <c r="H1272" s="2">
        <v>7394.66</v>
      </c>
      <c r="I1272" s="2">
        <v>245</v>
      </c>
      <c r="J1272" s="2">
        <v>72430.36</v>
      </c>
    </row>
    <row r="1273" spans="1:10" x14ac:dyDescent="0.45">
      <c r="A1273" s="2" t="s">
        <v>255</v>
      </c>
      <c r="B1273" s="2" t="s">
        <v>35</v>
      </c>
      <c r="C1273" s="2" t="s">
        <v>16</v>
      </c>
      <c r="D1273" s="2" t="s">
        <v>25</v>
      </c>
      <c r="E1273" s="2" t="s">
        <v>26</v>
      </c>
      <c r="F1273" s="2">
        <v>49456</v>
      </c>
      <c r="G1273" s="2">
        <v>801</v>
      </c>
      <c r="H1273" s="2">
        <v>1489.86</v>
      </c>
      <c r="I1273" s="2">
        <v>50</v>
      </c>
      <c r="J1273" s="2">
        <v>4108.2</v>
      </c>
    </row>
    <row r="1274" spans="1:10" x14ac:dyDescent="0.45">
      <c r="A1274" s="2" t="s">
        <v>136</v>
      </c>
      <c r="B1274" s="2" t="s">
        <v>15</v>
      </c>
      <c r="C1274" s="2" t="s">
        <v>24</v>
      </c>
      <c r="D1274" s="2" t="s">
        <v>29</v>
      </c>
      <c r="E1274" s="2" t="s">
        <v>33</v>
      </c>
      <c r="F1274" s="2">
        <v>150213</v>
      </c>
      <c r="G1274" s="2">
        <v>5242</v>
      </c>
      <c r="H1274" s="2">
        <v>16512.3</v>
      </c>
      <c r="I1274" s="2">
        <v>332</v>
      </c>
      <c r="J1274" s="2">
        <v>64497.69</v>
      </c>
    </row>
    <row r="1275" spans="1:10" x14ac:dyDescent="0.45">
      <c r="A1275" s="2" t="s">
        <v>112</v>
      </c>
      <c r="B1275" s="2" t="s">
        <v>15</v>
      </c>
      <c r="C1275" s="2" t="s">
        <v>28</v>
      </c>
      <c r="D1275" s="2" t="s">
        <v>21</v>
      </c>
      <c r="E1275" s="2" t="s">
        <v>26</v>
      </c>
      <c r="F1275" s="2">
        <v>73305</v>
      </c>
      <c r="G1275" s="2">
        <v>3635</v>
      </c>
      <c r="H1275" s="2">
        <v>9014.7999999999993</v>
      </c>
      <c r="I1275" s="2">
        <v>47</v>
      </c>
      <c r="J1275" s="2">
        <v>2210.35</v>
      </c>
    </row>
    <row r="1276" spans="1:10" x14ac:dyDescent="0.45">
      <c r="A1276" s="2" t="s">
        <v>385</v>
      </c>
      <c r="B1276" s="2" t="s">
        <v>20</v>
      </c>
      <c r="C1276" s="2" t="s">
        <v>38</v>
      </c>
      <c r="D1276" s="2" t="s">
        <v>17</v>
      </c>
      <c r="E1276" s="2" t="s">
        <v>22</v>
      </c>
      <c r="F1276" s="2">
        <v>187663</v>
      </c>
      <c r="G1276" s="2">
        <v>10790</v>
      </c>
      <c r="H1276" s="2">
        <v>7445.1</v>
      </c>
      <c r="I1276" s="2">
        <v>121</v>
      </c>
      <c r="J1276" s="2">
        <v>18190.79</v>
      </c>
    </row>
    <row r="1277" spans="1:10" x14ac:dyDescent="0.45">
      <c r="A1277" s="2" t="s">
        <v>276</v>
      </c>
      <c r="B1277" s="2" t="s">
        <v>20</v>
      </c>
      <c r="C1277" s="2" t="s">
        <v>38</v>
      </c>
      <c r="D1277" s="2" t="s">
        <v>25</v>
      </c>
      <c r="E1277" s="2" t="s">
        <v>26</v>
      </c>
      <c r="F1277" s="2">
        <v>85066</v>
      </c>
      <c r="G1277" s="2">
        <v>5903</v>
      </c>
      <c r="H1277" s="2">
        <v>7673.9</v>
      </c>
      <c r="I1277" s="2">
        <v>465</v>
      </c>
      <c r="J1277" s="2">
        <v>85397.14</v>
      </c>
    </row>
    <row r="1278" spans="1:10" x14ac:dyDescent="0.45">
      <c r="A1278" s="2" t="s">
        <v>250</v>
      </c>
      <c r="B1278" s="2" t="s">
        <v>15</v>
      </c>
      <c r="C1278" s="2" t="s">
        <v>28</v>
      </c>
      <c r="D1278" s="2" t="s">
        <v>21</v>
      </c>
      <c r="E1278" s="2" t="s">
        <v>26</v>
      </c>
      <c r="F1278" s="2">
        <v>12045</v>
      </c>
      <c r="G1278" s="2">
        <v>255</v>
      </c>
      <c r="H1278" s="2">
        <v>515.1</v>
      </c>
      <c r="I1278" s="2">
        <v>4</v>
      </c>
      <c r="J1278" s="2">
        <v>161.02000000000001</v>
      </c>
    </row>
    <row r="1279" spans="1:10" x14ac:dyDescent="0.45">
      <c r="A1279" s="2" t="s">
        <v>363</v>
      </c>
      <c r="B1279" s="2" t="s">
        <v>15</v>
      </c>
      <c r="C1279" s="2" t="s">
        <v>24</v>
      </c>
      <c r="D1279" s="2" t="s">
        <v>17</v>
      </c>
      <c r="E1279" s="2" t="s">
        <v>18</v>
      </c>
      <c r="F1279" s="2">
        <v>77796</v>
      </c>
      <c r="G1279" s="2">
        <v>3703</v>
      </c>
      <c r="H1279" s="2">
        <v>9887.01</v>
      </c>
      <c r="I1279" s="2">
        <v>182</v>
      </c>
      <c r="J1279" s="2">
        <v>43235.35</v>
      </c>
    </row>
    <row r="1280" spans="1:10" x14ac:dyDescent="0.45">
      <c r="A1280" s="2" t="s">
        <v>250</v>
      </c>
      <c r="B1280" s="2" t="s">
        <v>20</v>
      </c>
      <c r="C1280" s="2" t="s">
        <v>28</v>
      </c>
      <c r="D1280" s="2" t="s">
        <v>17</v>
      </c>
      <c r="E1280" s="2" t="s">
        <v>22</v>
      </c>
      <c r="F1280" s="2">
        <v>90443</v>
      </c>
      <c r="G1280" s="2">
        <v>3789</v>
      </c>
      <c r="H1280" s="2">
        <v>2159.73</v>
      </c>
      <c r="I1280" s="2">
        <v>94</v>
      </c>
      <c r="J1280" s="2">
        <v>16003.58</v>
      </c>
    </row>
    <row r="1281" spans="1:10" x14ac:dyDescent="0.45">
      <c r="A1281" s="2" t="s">
        <v>213</v>
      </c>
      <c r="B1281" s="2" t="s">
        <v>35</v>
      </c>
      <c r="C1281" s="2" t="s">
        <v>38</v>
      </c>
      <c r="D1281" s="2" t="s">
        <v>41</v>
      </c>
      <c r="E1281" s="2" t="s">
        <v>33</v>
      </c>
      <c r="F1281" s="2">
        <v>52838</v>
      </c>
      <c r="G1281" s="2">
        <v>660</v>
      </c>
      <c r="H1281" s="2">
        <v>1174.8</v>
      </c>
      <c r="I1281" s="2">
        <v>14</v>
      </c>
      <c r="J1281" s="2">
        <v>2258.16</v>
      </c>
    </row>
    <row r="1282" spans="1:10" x14ac:dyDescent="0.45">
      <c r="A1282" s="2" t="s">
        <v>88</v>
      </c>
      <c r="B1282" s="2" t="s">
        <v>35</v>
      </c>
      <c r="C1282" s="2" t="s">
        <v>24</v>
      </c>
      <c r="D1282" s="2" t="s">
        <v>41</v>
      </c>
      <c r="E1282" s="2" t="s">
        <v>54</v>
      </c>
      <c r="F1282" s="2">
        <v>61284</v>
      </c>
      <c r="G1282" s="2">
        <v>1574</v>
      </c>
      <c r="H1282" s="2">
        <v>2392.48</v>
      </c>
      <c r="I1282" s="2">
        <v>32</v>
      </c>
      <c r="J1282" s="2">
        <v>3680.82</v>
      </c>
    </row>
    <row r="1283" spans="1:10" x14ac:dyDescent="0.45">
      <c r="A1283" s="2" t="s">
        <v>27</v>
      </c>
      <c r="B1283" s="2" t="s">
        <v>35</v>
      </c>
      <c r="C1283" s="2" t="s">
        <v>16</v>
      </c>
      <c r="D1283" s="2" t="s">
        <v>25</v>
      </c>
      <c r="E1283" s="2" t="s">
        <v>51</v>
      </c>
      <c r="F1283" s="2">
        <v>163624</v>
      </c>
      <c r="G1283" s="2">
        <v>4368</v>
      </c>
      <c r="H1283" s="2">
        <v>5591.04</v>
      </c>
      <c r="I1283" s="2">
        <v>296</v>
      </c>
      <c r="J1283" s="2">
        <v>31041.33</v>
      </c>
    </row>
    <row r="1284" spans="1:10" x14ac:dyDescent="0.45">
      <c r="A1284" s="2" t="s">
        <v>55</v>
      </c>
      <c r="B1284" s="2" t="s">
        <v>35</v>
      </c>
      <c r="C1284" s="2" t="s">
        <v>38</v>
      </c>
      <c r="D1284" s="2" t="s">
        <v>25</v>
      </c>
      <c r="E1284" s="2" t="s">
        <v>22</v>
      </c>
      <c r="F1284" s="2">
        <v>194674</v>
      </c>
      <c r="G1284" s="2">
        <v>3601</v>
      </c>
      <c r="H1284" s="2">
        <v>5221.45</v>
      </c>
      <c r="I1284" s="2">
        <v>165</v>
      </c>
      <c r="J1284" s="2">
        <v>8945.17</v>
      </c>
    </row>
    <row r="1285" spans="1:10" x14ac:dyDescent="0.45">
      <c r="A1285" s="2" t="s">
        <v>333</v>
      </c>
      <c r="B1285" s="2" t="s">
        <v>35</v>
      </c>
      <c r="C1285" s="2" t="s">
        <v>16</v>
      </c>
      <c r="D1285" s="2" t="s">
        <v>25</v>
      </c>
      <c r="E1285" s="2" t="s">
        <v>51</v>
      </c>
      <c r="F1285" s="2">
        <v>15485</v>
      </c>
      <c r="G1285" s="2">
        <v>196</v>
      </c>
      <c r="H1285" s="2">
        <v>301.83999999999997</v>
      </c>
      <c r="I1285" s="2">
        <v>8</v>
      </c>
      <c r="J1285" s="2">
        <v>362.78</v>
      </c>
    </row>
    <row r="1286" spans="1:10" x14ac:dyDescent="0.45">
      <c r="A1286" s="2" t="s">
        <v>213</v>
      </c>
      <c r="B1286" s="2" t="s">
        <v>15</v>
      </c>
      <c r="C1286" s="2" t="s">
        <v>16</v>
      </c>
      <c r="D1286" s="2" t="s">
        <v>17</v>
      </c>
      <c r="E1286" s="2" t="s">
        <v>30</v>
      </c>
      <c r="F1286" s="2">
        <v>138154</v>
      </c>
      <c r="G1286" s="2">
        <v>9518</v>
      </c>
      <c r="H1286" s="2">
        <v>21129.96</v>
      </c>
      <c r="I1286" s="2">
        <v>534</v>
      </c>
      <c r="J1286" s="2">
        <v>24562.44</v>
      </c>
    </row>
    <row r="1287" spans="1:10" x14ac:dyDescent="0.45">
      <c r="A1287" s="2" t="s">
        <v>382</v>
      </c>
      <c r="B1287" s="2" t="s">
        <v>20</v>
      </c>
      <c r="C1287" s="2" t="s">
        <v>24</v>
      </c>
      <c r="D1287" s="2" t="s">
        <v>17</v>
      </c>
      <c r="E1287" s="2" t="s">
        <v>26</v>
      </c>
      <c r="F1287" s="2">
        <v>76922</v>
      </c>
      <c r="G1287" s="2">
        <v>2669</v>
      </c>
      <c r="H1287" s="2">
        <v>3523.08</v>
      </c>
      <c r="I1287" s="2">
        <v>110</v>
      </c>
      <c r="J1287" s="2">
        <v>12940.72</v>
      </c>
    </row>
    <row r="1288" spans="1:10" x14ac:dyDescent="0.45">
      <c r="A1288" s="2" t="s">
        <v>80</v>
      </c>
      <c r="B1288" s="2" t="s">
        <v>15</v>
      </c>
      <c r="C1288" s="2" t="s">
        <v>28</v>
      </c>
      <c r="D1288" s="2" t="s">
        <v>21</v>
      </c>
      <c r="E1288" s="2" t="s">
        <v>30</v>
      </c>
      <c r="F1288" s="2">
        <v>13947</v>
      </c>
      <c r="G1288" s="2">
        <v>718</v>
      </c>
      <c r="H1288" s="2">
        <v>1120.08</v>
      </c>
      <c r="I1288" s="2">
        <v>44</v>
      </c>
      <c r="J1288" s="2">
        <v>11863.61</v>
      </c>
    </row>
    <row r="1289" spans="1:10" x14ac:dyDescent="0.45">
      <c r="A1289" s="2" t="s">
        <v>175</v>
      </c>
      <c r="B1289" s="2" t="s">
        <v>15</v>
      </c>
      <c r="C1289" s="2" t="s">
        <v>38</v>
      </c>
      <c r="D1289" s="2" t="s">
        <v>21</v>
      </c>
      <c r="E1289" s="2" t="s">
        <v>30</v>
      </c>
      <c r="F1289" s="2">
        <v>199164</v>
      </c>
      <c r="G1289" s="2">
        <v>6671</v>
      </c>
      <c r="H1289" s="2">
        <v>21280.49</v>
      </c>
      <c r="I1289" s="2">
        <v>118</v>
      </c>
      <c r="J1289" s="2">
        <v>27461.46</v>
      </c>
    </row>
    <row r="1290" spans="1:10" x14ac:dyDescent="0.45">
      <c r="A1290" s="2" t="s">
        <v>211</v>
      </c>
      <c r="B1290" s="2" t="s">
        <v>35</v>
      </c>
      <c r="C1290" s="2" t="s">
        <v>28</v>
      </c>
      <c r="D1290" s="2" t="s">
        <v>41</v>
      </c>
      <c r="E1290" s="2" t="s">
        <v>33</v>
      </c>
      <c r="F1290" s="2">
        <v>138018</v>
      </c>
      <c r="G1290" s="2">
        <v>1683</v>
      </c>
      <c r="H1290" s="2">
        <v>1733.49</v>
      </c>
      <c r="I1290" s="2">
        <v>56</v>
      </c>
      <c r="J1290" s="2">
        <v>8635.5</v>
      </c>
    </row>
    <row r="1291" spans="1:10" x14ac:dyDescent="0.45">
      <c r="A1291" s="2" t="s">
        <v>329</v>
      </c>
      <c r="B1291" s="2" t="s">
        <v>35</v>
      </c>
      <c r="C1291" s="2" t="s">
        <v>28</v>
      </c>
      <c r="D1291" s="2" t="s">
        <v>17</v>
      </c>
      <c r="E1291" s="2" t="s">
        <v>18</v>
      </c>
      <c r="F1291" s="2">
        <v>161408</v>
      </c>
      <c r="G1291" s="2">
        <v>1581</v>
      </c>
      <c r="H1291" s="2">
        <v>1754.91</v>
      </c>
      <c r="I1291" s="2">
        <v>51</v>
      </c>
      <c r="J1291" s="2">
        <v>6128.54</v>
      </c>
    </row>
    <row r="1292" spans="1:10" x14ac:dyDescent="0.45">
      <c r="A1292" s="2" t="s">
        <v>154</v>
      </c>
      <c r="B1292" s="2" t="s">
        <v>20</v>
      </c>
      <c r="C1292" s="2" t="s">
        <v>28</v>
      </c>
      <c r="D1292" s="2" t="s">
        <v>41</v>
      </c>
      <c r="E1292" s="2" t="s">
        <v>30</v>
      </c>
      <c r="F1292" s="2">
        <v>130811</v>
      </c>
      <c r="G1292" s="2">
        <v>8895</v>
      </c>
      <c r="H1292" s="2">
        <v>2846.4</v>
      </c>
      <c r="I1292" s="2">
        <v>150</v>
      </c>
      <c r="J1292" s="2">
        <v>31192.02</v>
      </c>
    </row>
    <row r="1293" spans="1:10" x14ac:dyDescent="0.45">
      <c r="A1293" s="2" t="s">
        <v>255</v>
      </c>
      <c r="B1293" s="2" t="s">
        <v>35</v>
      </c>
      <c r="C1293" s="2" t="s">
        <v>38</v>
      </c>
      <c r="D1293" s="2" t="s">
        <v>21</v>
      </c>
      <c r="E1293" s="2" t="s">
        <v>18</v>
      </c>
      <c r="F1293" s="2">
        <v>140460</v>
      </c>
      <c r="G1293" s="2">
        <v>2753</v>
      </c>
      <c r="H1293" s="2">
        <v>1404.03</v>
      </c>
      <c r="I1293" s="2">
        <v>87</v>
      </c>
      <c r="J1293" s="2">
        <v>18763.62</v>
      </c>
    </row>
    <row r="1294" spans="1:10" x14ac:dyDescent="0.45">
      <c r="A1294" s="2" t="s">
        <v>70</v>
      </c>
      <c r="B1294" s="2" t="s">
        <v>35</v>
      </c>
      <c r="C1294" s="2" t="s">
        <v>28</v>
      </c>
      <c r="D1294" s="2" t="s">
        <v>21</v>
      </c>
      <c r="E1294" s="2" t="s">
        <v>33</v>
      </c>
      <c r="F1294" s="2">
        <v>119731</v>
      </c>
      <c r="G1294" s="2">
        <v>2969</v>
      </c>
      <c r="H1294" s="2">
        <v>1662.64</v>
      </c>
      <c r="I1294" s="2">
        <v>47</v>
      </c>
      <c r="J1294" s="2">
        <v>11619.48</v>
      </c>
    </row>
    <row r="1295" spans="1:10" x14ac:dyDescent="0.45">
      <c r="A1295" s="2" t="s">
        <v>153</v>
      </c>
      <c r="B1295" s="2" t="s">
        <v>35</v>
      </c>
      <c r="C1295" s="2" t="s">
        <v>16</v>
      </c>
      <c r="D1295" s="2" t="s">
        <v>41</v>
      </c>
      <c r="E1295" s="2" t="s">
        <v>26</v>
      </c>
      <c r="F1295" s="2">
        <v>61437</v>
      </c>
      <c r="G1295" s="2">
        <v>1087</v>
      </c>
      <c r="H1295" s="2">
        <v>2424.0100000000002</v>
      </c>
      <c r="I1295" s="2">
        <v>80</v>
      </c>
      <c r="J1295" s="2">
        <v>11780.01</v>
      </c>
    </row>
    <row r="1296" spans="1:10" x14ac:dyDescent="0.45">
      <c r="A1296" s="2" t="s">
        <v>56</v>
      </c>
      <c r="B1296" s="2" t="s">
        <v>15</v>
      </c>
      <c r="C1296" s="2" t="s">
        <v>16</v>
      </c>
      <c r="D1296" s="2" t="s">
        <v>41</v>
      </c>
      <c r="E1296" s="2" t="s">
        <v>18</v>
      </c>
      <c r="F1296" s="2">
        <v>37827</v>
      </c>
      <c r="G1296" s="2">
        <v>2072</v>
      </c>
      <c r="H1296" s="2">
        <v>1678.32</v>
      </c>
      <c r="I1296" s="2">
        <v>133</v>
      </c>
      <c r="J1296" s="2">
        <v>19268.21</v>
      </c>
    </row>
    <row r="1297" spans="1:10" x14ac:dyDescent="0.45">
      <c r="A1297" s="2" t="s">
        <v>102</v>
      </c>
      <c r="B1297" s="2" t="s">
        <v>15</v>
      </c>
      <c r="C1297" s="2" t="s">
        <v>38</v>
      </c>
      <c r="D1297" s="2" t="s">
        <v>29</v>
      </c>
      <c r="E1297" s="2" t="s">
        <v>30</v>
      </c>
      <c r="F1297" s="2">
        <v>180848</v>
      </c>
      <c r="G1297" s="2">
        <v>5515</v>
      </c>
      <c r="H1297" s="2">
        <v>18309.8</v>
      </c>
      <c r="I1297" s="2">
        <v>362</v>
      </c>
      <c r="J1297" s="2">
        <v>84316.14</v>
      </c>
    </row>
    <row r="1298" spans="1:10" x14ac:dyDescent="0.45">
      <c r="A1298" s="2" t="s">
        <v>209</v>
      </c>
      <c r="B1298" s="2" t="s">
        <v>15</v>
      </c>
      <c r="C1298" s="2" t="s">
        <v>24</v>
      </c>
      <c r="D1298" s="2" t="s">
        <v>17</v>
      </c>
      <c r="E1298" s="2" t="s">
        <v>18</v>
      </c>
      <c r="F1298" s="2">
        <v>30545</v>
      </c>
      <c r="G1298" s="2">
        <v>1728</v>
      </c>
      <c r="H1298" s="2">
        <v>2989.44</v>
      </c>
      <c r="I1298" s="2">
        <v>51</v>
      </c>
      <c r="J1298" s="2">
        <v>3408.09</v>
      </c>
    </row>
    <row r="1299" spans="1:10" x14ac:dyDescent="0.45">
      <c r="A1299" s="2" t="s">
        <v>212</v>
      </c>
      <c r="B1299" s="2" t="s">
        <v>20</v>
      </c>
      <c r="C1299" s="2" t="s">
        <v>28</v>
      </c>
      <c r="D1299" s="2" t="s">
        <v>17</v>
      </c>
      <c r="E1299" s="2" t="s">
        <v>18</v>
      </c>
      <c r="F1299" s="2">
        <v>21643</v>
      </c>
      <c r="G1299" s="2">
        <v>1142</v>
      </c>
      <c r="H1299" s="2">
        <v>1176.26</v>
      </c>
      <c r="I1299" s="2">
        <v>81</v>
      </c>
      <c r="J1299" s="2">
        <v>18823.45</v>
      </c>
    </row>
    <row r="1300" spans="1:10" x14ac:dyDescent="0.45">
      <c r="A1300" s="2" t="s">
        <v>347</v>
      </c>
      <c r="B1300" s="2" t="s">
        <v>35</v>
      </c>
      <c r="C1300" s="2" t="s">
        <v>38</v>
      </c>
      <c r="D1300" s="2" t="s">
        <v>25</v>
      </c>
      <c r="E1300" s="2" t="s">
        <v>22</v>
      </c>
      <c r="F1300" s="2">
        <v>58164</v>
      </c>
      <c r="G1300" s="2">
        <v>936</v>
      </c>
      <c r="H1300" s="2">
        <v>823.68</v>
      </c>
      <c r="I1300" s="2">
        <v>13</v>
      </c>
      <c r="J1300" s="2">
        <v>1791.65</v>
      </c>
    </row>
    <row r="1301" spans="1:10" x14ac:dyDescent="0.45">
      <c r="A1301" s="2" t="s">
        <v>53</v>
      </c>
      <c r="B1301" s="2" t="s">
        <v>35</v>
      </c>
      <c r="C1301" s="2" t="s">
        <v>28</v>
      </c>
      <c r="D1301" s="2" t="s">
        <v>17</v>
      </c>
      <c r="E1301" s="2" t="s">
        <v>18</v>
      </c>
      <c r="F1301" s="2">
        <v>69102</v>
      </c>
      <c r="G1301" s="2">
        <v>1354</v>
      </c>
      <c r="H1301" s="2">
        <v>2179.94</v>
      </c>
      <c r="I1301" s="2">
        <v>89</v>
      </c>
      <c r="J1301" s="2">
        <v>14410.72</v>
      </c>
    </row>
    <row r="1302" spans="1:10" x14ac:dyDescent="0.45">
      <c r="A1302" s="2" t="s">
        <v>207</v>
      </c>
      <c r="B1302" s="2" t="s">
        <v>20</v>
      </c>
      <c r="C1302" s="2" t="s">
        <v>28</v>
      </c>
      <c r="D1302" s="2" t="s">
        <v>17</v>
      </c>
      <c r="E1302" s="2" t="s">
        <v>22</v>
      </c>
      <c r="F1302" s="2">
        <v>164852</v>
      </c>
      <c r="G1302" s="2">
        <v>6445</v>
      </c>
      <c r="H1302" s="2">
        <v>10569.8</v>
      </c>
      <c r="I1302" s="2">
        <v>471</v>
      </c>
      <c r="J1302" s="2">
        <v>43233.91</v>
      </c>
    </row>
    <row r="1303" spans="1:10" x14ac:dyDescent="0.45">
      <c r="A1303" s="2" t="s">
        <v>381</v>
      </c>
      <c r="B1303" s="2" t="s">
        <v>15</v>
      </c>
      <c r="C1303" s="2" t="s">
        <v>28</v>
      </c>
      <c r="D1303" s="2" t="s">
        <v>17</v>
      </c>
      <c r="E1303" s="2" t="s">
        <v>51</v>
      </c>
      <c r="F1303" s="2">
        <v>149064</v>
      </c>
      <c r="G1303" s="2">
        <v>5724</v>
      </c>
      <c r="H1303" s="2">
        <v>7555.68</v>
      </c>
      <c r="I1303" s="2">
        <v>369</v>
      </c>
      <c r="J1303" s="2">
        <v>107029.4</v>
      </c>
    </row>
    <row r="1304" spans="1:10" x14ac:dyDescent="0.45">
      <c r="A1304" s="2" t="s">
        <v>241</v>
      </c>
      <c r="B1304" s="2" t="s">
        <v>35</v>
      </c>
      <c r="C1304" s="2" t="s">
        <v>28</v>
      </c>
      <c r="D1304" s="2" t="s">
        <v>41</v>
      </c>
      <c r="E1304" s="2" t="s">
        <v>22</v>
      </c>
      <c r="F1304" s="2">
        <v>80888</v>
      </c>
      <c r="G1304" s="2">
        <v>2070</v>
      </c>
      <c r="H1304" s="2">
        <v>1531.8</v>
      </c>
      <c r="I1304" s="2">
        <v>71</v>
      </c>
      <c r="J1304" s="2">
        <v>19601.22</v>
      </c>
    </row>
    <row r="1305" spans="1:10" x14ac:dyDescent="0.45">
      <c r="A1305" s="2" t="s">
        <v>204</v>
      </c>
      <c r="B1305" s="2" t="s">
        <v>35</v>
      </c>
      <c r="C1305" s="2" t="s">
        <v>38</v>
      </c>
      <c r="D1305" s="2" t="s">
        <v>29</v>
      </c>
      <c r="E1305" s="2" t="s">
        <v>26</v>
      </c>
      <c r="F1305" s="2">
        <v>21471</v>
      </c>
      <c r="G1305" s="2">
        <v>753</v>
      </c>
      <c r="H1305" s="2">
        <v>1347.87</v>
      </c>
      <c r="I1305" s="2">
        <v>28</v>
      </c>
      <c r="J1305" s="2">
        <v>7559</v>
      </c>
    </row>
    <row r="1306" spans="1:10" x14ac:dyDescent="0.45">
      <c r="A1306" s="2" t="s">
        <v>164</v>
      </c>
      <c r="B1306" s="2" t="s">
        <v>35</v>
      </c>
      <c r="C1306" s="2" t="s">
        <v>28</v>
      </c>
      <c r="D1306" s="2" t="s">
        <v>25</v>
      </c>
      <c r="E1306" s="2" t="s">
        <v>51</v>
      </c>
      <c r="F1306" s="2">
        <v>160182</v>
      </c>
      <c r="G1306" s="2">
        <v>4901</v>
      </c>
      <c r="H1306" s="2">
        <v>4999.0200000000004</v>
      </c>
      <c r="I1306" s="2">
        <v>88</v>
      </c>
      <c r="J1306" s="2">
        <v>22338.67</v>
      </c>
    </row>
    <row r="1307" spans="1:10" x14ac:dyDescent="0.45">
      <c r="A1307" s="2" t="s">
        <v>260</v>
      </c>
      <c r="B1307" s="2" t="s">
        <v>20</v>
      </c>
      <c r="C1307" s="2" t="s">
        <v>38</v>
      </c>
      <c r="D1307" s="2" t="s">
        <v>21</v>
      </c>
      <c r="E1307" s="2" t="s">
        <v>33</v>
      </c>
      <c r="F1307" s="2">
        <v>30226</v>
      </c>
      <c r="G1307" s="2">
        <v>1196</v>
      </c>
      <c r="H1307" s="2">
        <v>1746.16</v>
      </c>
      <c r="I1307" s="2">
        <v>12</v>
      </c>
      <c r="J1307" s="2">
        <v>2625.21</v>
      </c>
    </row>
    <row r="1308" spans="1:10" x14ac:dyDescent="0.45">
      <c r="A1308" s="2" t="s">
        <v>231</v>
      </c>
      <c r="B1308" s="2" t="s">
        <v>15</v>
      </c>
      <c r="C1308" s="2" t="s">
        <v>16</v>
      </c>
      <c r="D1308" s="2" t="s">
        <v>29</v>
      </c>
      <c r="E1308" s="2" t="s">
        <v>54</v>
      </c>
      <c r="F1308" s="2">
        <v>146677</v>
      </c>
      <c r="G1308" s="2">
        <v>7597</v>
      </c>
      <c r="H1308" s="2">
        <v>10787.74</v>
      </c>
      <c r="I1308" s="2">
        <v>186</v>
      </c>
      <c r="J1308" s="2">
        <v>35941.14</v>
      </c>
    </row>
    <row r="1309" spans="1:10" x14ac:dyDescent="0.45">
      <c r="A1309" s="2" t="s">
        <v>102</v>
      </c>
      <c r="B1309" s="2" t="s">
        <v>35</v>
      </c>
      <c r="C1309" s="2" t="s">
        <v>28</v>
      </c>
      <c r="D1309" s="2" t="s">
        <v>25</v>
      </c>
      <c r="E1309" s="2" t="s">
        <v>18</v>
      </c>
      <c r="F1309" s="2">
        <v>74859</v>
      </c>
      <c r="G1309" s="2">
        <v>1661</v>
      </c>
      <c r="H1309" s="2">
        <v>2242.35</v>
      </c>
      <c r="I1309" s="2">
        <v>101</v>
      </c>
      <c r="J1309" s="2">
        <v>6046.11</v>
      </c>
    </row>
    <row r="1310" spans="1:10" x14ac:dyDescent="0.45">
      <c r="A1310" s="2" t="s">
        <v>288</v>
      </c>
      <c r="B1310" s="2" t="s">
        <v>15</v>
      </c>
      <c r="C1310" s="2" t="s">
        <v>38</v>
      </c>
      <c r="D1310" s="2" t="s">
        <v>29</v>
      </c>
      <c r="E1310" s="2" t="s">
        <v>54</v>
      </c>
      <c r="F1310" s="2">
        <v>127232</v>
      </c>
      <c r="G1310" s="2">
        <v>3867</v>
      </c>
      <c r="H1310" s="2">
        <v>11407.65</v>
      </c>
      <c r="I1310" s="2">
        <v>177</v>
      </c>
      <c r="J1310" s="2">
        <v>6676.28</v>
      </c>
    </row>
    <row r="1311" spans="1:10" x14ac:dyDescent="0.45">
      <c r="A1311" s="2" t="s">
        <v>205</v>
      </c>
      <c r="B1311" s="2" t="s">
        <v>15</v>
      </c>
      <c r="C1311" s="2" t="s">
        <v>24</v>
      </c>
      <c r="D1311" s="2" t="s">
        <v>29</v>
      </c>
      <c r="E1311" s="2" t="s">
        <v>22</v>
      </c>
      <c r="F1311" s="2">
        <v>83243</v>
      </c>
      <c r="G1311" s="2">
        <v>2821</v>
      </c>
      <c r="H1311" s="2">
        <v>8547.6299999999992</v>
      </c>
      <c r="I1311" s="2">
        <v>181</v>
      </c>
      <c r="J1311" s="2">
        <v>43894.09</v>
      </c>
    </row>
    <row r="1312" spans="1:10" x14ac:dyDescent="0.45">
      <c r="A1312" s="2" t="s">
        <v>125</v>
      </c>
      <c r="B1312" s="2" t="s">
        <v>35</v>
      </c>
      <c r="C1312" s="2" t="s">
        <v>28</v>
      </c>
      <c r="D1312" s="2" t="s">
        <v>21</v>
      </c>
      <c r="E1312" s="2" t="s">
        <v>18</v>
      </c>
      <c r="F1312" s="2">
        <v>85846</v>
      </c>
      <c r="G1312" s="2">
        <v>2274</v>
      </c>
      <c r="H1312" s="2">
        <v>977.82</v>
      </c>
      <c r="I1312" s="2">
        <v>113</v>
      </c>
      <c r="J1312" s="2">
        <v>8382.57</v>
      </c>
    </row>
    <row r="1313" spans="1:10" x14ac:dyDescent="0.45">
      <c r="A1313" s="2" t="s">
        <v>337</v>
      </c>
      <c r="B1313" s="2" t="s">
        <v>20</v>
      </c>
      <c r="C1313" s="2" t="s">
        <v>38</v>
      </c>
      <c r="D1313" s="2" t="s">
        <v>25</v>
      </c>
      <c r="E1313" s="2" t="s">
        <v>26</v>
      </c>
      <c r="F1313" s="2">
        <v>150227</v>
      </c>
      <c r="G1313" s="2">
        <v>8683</v>
      </c>
      <c r="H1313" s="2">
        <v>14761.1</v>
      </c>
      <c r="I1313" s="2">
        <v>315</v>
      </c>
      <c r="J1313" s="2">
        <v>86296.01</v>
      </c>
    </row>
    <row r="1314" spans="1:10" x14ac:dyDescent="0.45">
      <c r="A1314" s="2" t="s">
        <v>387</v>
      </c>
      <c r="B1314" s="2" t="s">
        <v>15</v>
      </c>
      <c r="C1314" s="2" t="s">
        <v>38</v>
      </c>
      <c r="D1314" s="2" t="s">
        <v>25</v>
      </c>
      <c r="E1314" s="2" t="s">
        <v>33</v>
      </c>
      <c r="F1314" s="2">
        <v>50411</v>
      </c>
      <c r="G1314" s="2">
        <v>1320</v>
      </c>
      <c r="H1314" s="2">
        <v>3537.6</v>
      </c>
      <c r="I1314" s="2">
        <v>49</v>
      </c>
      <c r="J1314" s="2">
        <v>12873.07</v>
      </c>
    </row>
    <row r="1315" spans="1:10" x14ac:dyDescent="0.45">
      <c r="A1315" s="2" t="s">
        <v>181</v>
      </c>
      <c r="B1315" s="2" t="s">
        <v>15</v>
      </c>
      <c r="C1315" s="2" t="s">
        <v>28</v>
      </c>
      <c r="D1315" s="2" t="s">
        <v>17</v>
      </c>
      <c r="E1315" s="2" t="s">
        <v>22</v>
      </c>
      <c r="F1315" s="2">
        <v>100552</v>
      </c>
      <c r="G1315" s="2">
        <v>3861</v>
      </c>
      <c r="H1315" s="2">
        <v>7374.51</v>
      </c>
      <c r="I1315" s="2">
        <v>57</v>
      </c>
      <c r="J1315" s="2">
        <v>14567.86</v>
      </c>
    </row>
    <row r="1316" spans="1:10" x14ac:dyDescent="0.45">
      <c r="A1316" s="2" t="s">
        <v>328</v>
      </c>
      <c r="B1316" s="2" t="s">
        <v>15</v>
      </c>
      <c r="C1316" s="2" t="s">
        <v>38</v>
      </c>
      <c r="D1316" s="2" t="s">
        <v>17</v>
      </c>
      <c r="E1316" s="2" t="s">
        <v>18</v>
      </c>
      <c r="F1316" s="2">
        <v>32428</v>
      </c>
      <c r="G1316" s="2">
        <v>603</v>
      </c>
      <c r="H1316" s="2">
        <v>970.83</v>
      </c>
      <c r="I1316" s="2">
        <v>47</v>
      </c>
      <c r="J1316" s="2">
        <v>11645.06</v>
      </c>
    </row>
    <row r="1317" spans="1:10" x14ac:dyDescent="0.45">
      <c r="A1317" s="2" t="s">
        <v>39</v>
      </c>
      <c r="B1317" s="2" t="s">
        <v>15</v>
      </c>
      <c r="C1317" s="2" t="s">
        <v>16</v>
      </c>
      <c r="D1317" s="2" t="s">
        <v>25</v>
      </c>
      <c r="E1317" s="2" t="s">
        <v>26</v>
      </c>
      <c r="F1317" s="2">
        <v>84517</v>
      </c>
      <c r="G1317" s="2">
        <v>1664</v>
      </c>
      <c r="H1317" s="2">
        <v>3993.6</v>
      </c>
      <c r="I1317" s="2">
        <v>91</v>
      </c>
      <c r="J1317" s="2">
        <v>21828</v>
      </c>
    </row>
    <row r="1318" spans="1:10" x14ac:dyDescent="0.45">
      <c r="A1318" s="2" t="s">
        <v>70</v>
      </c>
      <c r="B1318" s="2" t="s">
        <v>35</v>
      </c>
      <c r="C1318" s="2" t="s">
        <v>28</v>
      </c>
      <c r="D1318" s="2" t="s">
        <v>21</v>
      </c>
      <c r="E1318" s="2" t="s">
        <v>30</v>
      </c>
      <c r="F1318" s="2">
        <v>160091</v>
      </c>
      <c r="G1318" s="2">
        <v>4210</v>
      </c>
      <c r="H1318" s="2">
        <v>4504.7</v>
      </c>
      <c r="I1318" s="2">
        <v>322</v>
      </c>
      <c r="J1318" s="2">
        <v>62914.38</v>
      </c>
    </row>
    <row r="1319" spans="1:10" x14ac:dyDescent="0.45">
      <c r="A1319" s="2" t="s">
        <v>87</v>
      </c>
      <c r="B1319" s="2" t="s">
        <v>15</v>
      </c>
      <c r="C1319" s="2" t="s">
        <v>16</v>
      </c>
      <c r="D1319" s="2" t="s">
        <v>21</v>
      </c>
      <c r="E1319" s="2" t="s">
        <v>22</v>
      </c>
      <c r="F1319" s="2">
        <v>158778</v>
      </c>
      <c r="G1319" s="2">
        <v>7256</v>
      </c>
      <c r="H1319" s="2">
        <v>10884</v>
      </c>
      <c r="I1319" s="2">
        <v>431</v>
      </c>
      <c r="J1319" s="2">
        <v>17905.23</v>
      </c>
    </row>
    <row r="1320" spans="1:10" x14ac:dyDescent="0.45">
      <c r="A1320" s="2" t="s">
        <v>229</v>
      </c>
      <c r="B1320" s="2" t="s">
        <v>15</v>
      </c>
      <c r="C1320" s="2" t="s">
        <v>16</v>
      </c>
      <c r="D1320" s="2" t="s">
        <v>25</v>
      </c>
      <c r="E1320" s="2" t="s">
        <v>30</v>
      </c>
      <c r="F1320" s="2">
        <v>145284</v>
      </c>
      <c r="G1320" s="2">
        <v>8121</v>
      </c>
      <c r="H1320" s="2">
        <v>21601.86</v>
      </c>
      <c r="I1320" s="2">
        <v>503</v>
      </c>
      <c r="J1320" s="2">
        <v>135453.16</v>
      </c>
    </row>
    <row r="1321" spans="1:10" x14ac:dyDescent="0.45">
      <c r="A1321" s="2" t="s">
        <v>343</v>
      </c>
      <c r="B1321" s="2" t="s">
        <v>35</v>
      </c>
      <c r="C1321" s="2" t="s">
        <v>28</v>
      </c>
      <c r="D1321" s="2" t="s">
        <v>41</v>
      </c>
      <c r="E1321" s="2" t="s">
        <v>30</v>
      </c>
      <c r="F1321" s="2">
        <v>82665</v>
      </c>
      <c r="G1321" s="2">
        <v>2521</v>
      </c>
      <c r="H1321" s="2">
        <v>1613.44</v>
      </c>
      <c r="I1321" s="2">
        <v>182</v>
      </c>
      <c r="J1321" s="2">
        <v>48413.75</v>
      </c>
    </row>
    <row r="1322" spans="1:10" x14ac:dyDescent="0.45">
      <c r="A1322" s="2" t="s">
        <v>293</v>
      </c>
      <c r="B1322" s="2" t="s">
        <v>20</v>
      </c>
      <c r="C1322" s="2" t="s">
        <v>28</v>
      </c>
      <c r="D1322" s="2" t="s">
        <v>17</v>
      </c>
      <c r="E1322" s="2" t="s">
        <v>22</v>
      </c>
      <c r="F1322" s="2">
        <v>157973</v>
      </c>
      <c r="G1322" s="2">
        <v>12227</v>
      </c>
      <c r="H1322" s="2">
        <v>6480.31</v>
      </c>
      <c r="I1322" s="2">
        <v>540</v>
      </c>
      <c r="J1322" s="2">
        <v>99930.16</v>
      </c>
    </row>
    <row r="1323" spans="1:10" x14ac:dyDescent="0.45">
      <c r="A1323" s="2" t="s">
        <v>53</v>
      </c>
      <c r="B1323" s="2" t="s">
        <v>20</v>
      </c>
      <c r="C1323" s="2" t="s">
        <v>38</v>
      </c>
      <c r="D1323" s="2" t="s">
        <v>17</v>
      </c>
      <c r="E1323" s="2" t="s">
        <v>51</v>
      </c>
      <c r="F1323" s="2">
        <v>48898</v>
      </c>
      <c r="G1323" s="2">
        <v>3193</v>
      </c>
      <c r="H1323" s="2">
        <v>2841.77</v>
      </c>
      <c r="I1323" s="2">
        <v>179</v>
      </c>
      <c r="J1323" s="2">
        <v>27594.33</v>
      </c>
    </row>
    <row r="1324" spans="1:10" x14ac:dyDescent="0.45">
      <c r="A1324" s="2" t="s">
        <v>238</v>
      </c>
      <c r="B1324" s="2" t="s">
        <v>15</v>
      </c>
      <c r="C1324" s="2" t="s">
        <v>16</v>
      </c>
      <c r="D1324" s="2" t="s">
        <v>29</v>
      </c>
      <c r="E1324" s="2" t="s">
        <v>26</v>
      </c>
      <c r="F1324" s="2">
        <v>185923</v>
      </c>
      <c r="G1324" s="2">
        <v>7827</v>
      </c>
      <c r="H1324" s="2">
        <v>28803.360000000001</v>
      </c>
      <c r="I1324" s="2">
        <v>215</v>
      </c>
      <c r="J1324" s="2">
        <v>61106.18</v>
      </c>
    </row>
    <row r="1325" spans="1:10" x14ac:dyDescent="0.45">
      <c r="A1325" s="2" t="s">
        <v>46</v>
      </c>
      <c r="B1325" s="2" t="s">
        <v>20</v>
      </c>
      <c r="C1325" s="2" t="s">
        <v>16</v>
      </c>
      <c r="D1325" s="2" t="s">
        <v>25</v>
      </c>
      <c r="E1325" s="2" t="s">
        <v>33</v>
      </c>
      <c r="F1325" s="2">
        <v>89688</v>
      </c>
      <c r="G1325" s="2">
        <v>6583</v>
      </c>
      <c r="H1325" s="2">
        <v>2238.2199999999998</v>
      </c>
      <c r="I1325" s="2">
        <v>273</v>
      </c>
      <c r="J1325" s="2">
        <v>36559.47</v>
      </c>
    </row>
    <row r="1326" spans="1:10" x14ac:dyDescent="0.45">
      <c r="A1326" s="2" t="s">
        <v>318</v>
      </c>
      <c r="B1326" s="2" t="s">
        <v>20</v>
      </c>
      <c r="C1326" s="2" t="s">
        <v>16</v>
      </c>
      <c r="D1326" s="2" t="s">
        <v>17</v>
      </c>
      <c r="E1326" s="2" t="s">
        <v>33</v>
      </c>
      <c r="F1326" s="2">
        <v>15273</v>
      </c>
      <c r="G1326" s="2">
        <v>464</v>
      </c>
      <c r="H1326" s="2">
        <v>357.28</v>
      </c>
      <c r="I1326" s="2">
        <v>24</v>
      </c>
      <c r="J1326" s="2">
        <v>871.3</v>
      </c>
    </row>
    <row r="1327" spans="1:10" x14ac:dyDescent="0.45">
      <c r="A1327" s="2" t="s">
        <v>227</v>
      </c>
      <c r="B1327" s="2" t="s">
        <v>15</v>
      </c>
      <c r="C1327" s="2" t="s">
        <v>28</v>
      </c>
      <c r="D1327" s="2" t="s">
        <v>29</v>
      </c>
      <c r="E1327" s="2" t="s">
        <v>54</v>
      </c>
      <c r="F1327" s="2">
        <v>71107</v>
      </c>
      <c r="G1327" s="2">
        <v>2936</v>
      </c>
      <c r="H1327" s="2">
        <v>7839.12</v>
      </c>
      <c r="I1327" s="2">
        <v>215</v>
      </c>
      <c r="J1327" s="2">
        <v>26952.54</v>
      </c>
    </row>
    <row r="1328" spans="1:10" x14ac:dyDescent="0.45">
      <c r="A1328" s="2" t="s">
        <v>85</v>
      </c>
      <c r="B1328" s="2" t="s">
        <v>15</v>
      </c>
      <c r="C1328" s="2" t="s">
        <v>28</v>
      </c>
      <c r="D1328" s="2" t="s">
        <v>29</v>
      </c>
      <c r="E1328" s="2" t="s">
        <v>18</v>
      </c>
      <c r="F1328" s="2">
        <v>79681</v>
      </c>
      <c r="G1328" s="2">
        <v>2916</v>
      </c>
      <c r="H1328" s="2">
        <v>6823.44</v>
      </c>
      <c r="I1328" s="2">
        <v>184</v>
      </c>
      <c r="J1328" s="2">
        <v>46327.26</v>
      </c>
    </row>
    <row r="1329" spans="1:10" x14ac:dyDescent="0.45">
      <c r="A1329" s="2" t="s">
        <v>322</v>
      </c>
      <c r="B1329" s="2" t="s">
        <v>35</v>
      </c>
      <c r="C1329" s="2" t="s">
        <v>24</v>
      </c>
      <c r="D1329" s="2" t="s">
        <v>25</v>
      </c>
      <c r="E1329" s="2" t="s">
        <v>22</v>
      </c>
      <c r="F1329" s="2">
        <v>102148</v>
      </c>
      <c r="G1329" s="2">
        <v>1205</v>
      </c>
      <c r="H1329" s="2">
        <v>1578.55</v>
      </c>
      <c r="I1329" s="2">
        <v>59</v>
      </c>
      <c r="J1329" s="2">
        <v>17697.95</v>
      </c>
    </row>
    <row r="1330" spans="1:10" x14ac:dyDescent="0.45">
      <c r="A1330" s="2" t="s">
        <v>255</v>
      </c>
      <c r="B1330" s="2" t="s">
        <v>35</v>
      </c>
      <c r="C1330" s="2" t="s">
        <v>16</v>
      </c>
      <c r="D1330" s="2" t="s">
        <v>17</v>
      </c>
      <c r="E1330" s="2" t="s">
        <v>22</v>
      </c>
      <c r="F1330" s="2">
        <v>115540</v>
      </c>
      <c r="G1330" s="2">
        <v>1686</v>
      </c>
      <c r="H1330" s="2">
        <v>2663.88</v>
      </c>
      <c r="I1330" s="2">
        <v>87</v>
      </c>
      <c r="J1330" s="2">
        <v>20354.07</v>
      </c>
    </row>
    <row r="1331" spans="1:10" x14ac:dyDescent="0.45">
      <c r="A1331" s="2" t="s">
        <v>88</v>
      </c>
      <c r="B1331" s="2" t="s">
        <v>15</v>
      </c>
      <c r="C1331" s="2" t="s">
        <v>24</v>
      </c>
      <c r="D1331" s="2" t="s">
        <v>41</v>
      </c>
      <c r="E1331" s="2" t="s">
        <v>18</v>
      </c>
      <c r="F1331" s="2">
        <v>16766</v>
      </c>
      <c r="G1331" s="2">
        <v>846</v>
      </c>
      <c r="H1331" s="2">
        <v>2081.16</v>
      </c>
      <c r="I1331" s="2">
        <v>34</v>
      </c>
      <c r="J1331" s="2">
        <v>7254.65</v>
      </c>
    </row>
    <row r="1332" spans="1:10" x14ac:dyDescent="0.45">
      <c r="A1332" s="2" t="s">
        <v>143</v>
      </c>
      <c r="B1332" s="2" t="s">
        <v>15</v>
      </c>
      <c r="C1332" s="2" t="s">
        <v>38</v>
      </c>
      <c r="D1332" s="2" t="s">
        <v>41</v>
      </c>
      <c r="E1332" s="2" t="s">
        <v>30</v>
      </c>
      <c r="F1332" s="2">
        <v>96931</v>
      </c>
      <c r="G1332" s="2">
        <v>5844</v>
      </c>
      <c r="H1332" s="2">
        <v>6545.28</v>
      </c>
      <c r="I1332" s="2">
        <v>297</v>
      </c>
      <c r="J1332" s="2">
        <v>47765.4</v>
      </c>
    </row>
    <row r="1333" spans="1:10" x14ac:dyDescent="0.45">
      <c r="A1333" s="2" t="s">
        <v>141</v>
      </c>
      <c r="B1333" s="2" t="s">
        <v>35</v>
      </c>
      <c r="C1333" s="2" t="s">
        <v>16</v>
      </c>
      <c r="D1333" s="2" t="s">
        <v>29</v>
      </c>
      <c r="E1333" s="2" t="s">
        <v>22</v>
      </c>
      <c r="F1333" s="2">
        <v>175574</v>
      </c>
      <c r="G1333" s="2">
        <v>6935</v>
      </c>
      <c r="H1333" s="2">
        <v>4785.1499999999996</v>
      </c>
      <c r="I1333" s="2">
        <v>515</v>
      </c>
      <c r="J1333" s="2">
        <v>69264.33</v>
      </c>
    </row>
    <row r="1334" spans="1:10" x14ac:dyDescent="0.45">
      <c r="A1334" s="2" t="s">
        <v>295</v>
      </c>
      <c r="B1334" s="2" t="s">
        <v>20</v>
      </c>
      <c r="C1334" s="2" t="s">
        <v>28</v>
      </c>
      <c r="D1334" s="2" t="s">
        <v>21</v>
      </c>
      <c r="E1334" s="2" t="s">
        <v>54</v>
      </c>
      <c r="F1334" s="2">
        <v>175330</v>
      </c>
      <c r="G1334" s="2">
        <v>8766</v>
      </c>
      <c r="H1334" s="2">
        <v>6399.18</v>
      </c>
      <c r="I1334" s="2">
        <v>302</v>
      </c>
      <c r="J1334" s="2">
        <v>35245.68</v>
      </c>
    </row>
    <row r="1335" spans="1:10" x14ac:dyDescent="0.45">
      <c r="A1335" s="2" t="s">
        <v>50</v>
      </c>
      <c r="B1335" s="2" t="s">
        <v>15</v>
      </c>
      <c r="C1335" s="2" t="s">
        <v>28</v>
      </c>
      <c r="D1335" s="2" t="s">
        <v>41</v>
      </c>
      <c r="E1335" s="2" t="s">
        <v>18</v>
      </c>
      <c r="F1335" s="2">
        <v>45225</v>
      </c>
      <c r="G1335" s="2">
        <v>2211</v>
      </c>
      <c r="H1335" s="2">
        <v>2012.01</v>
      </c>
      <c r="I1335" s="2">
        <v>156</v>
      </c>
      <c r="J1335" s="2">
        <v>38495.980000000003</v>
      </c>
    </row>
    <row r="1336" spans="1:10" x14ac:dyDescent="0.45">
      <c r="A1336" s="2" t="s">
        <v>189</v>
      </c>
      <c r="B1336" s="2" t="s">
        <v>35</v>
      </c>
      <c r="C1336" s="2" t="s">
        <v>28</v>
      </c>
      <c r="D1336" s="2" t="s">
        <v>17</v>
      </c>
      <c r="E1336" s="2" t="s">
        <v>51</v>
      </c>
      <c r="F1336" s="2">
        <v>79992</v>
      </c>
      <c r="G1336" s="2">
        <v>1055</v>
      </c>
      <c r="H1336" s="2">
        <v>1603.6</v>
      </c>
      <c r="I1336" s="2">
        <v>21</v>
      </c>
      <c r="J1336" s="2">
        <v>4912.79</v>
      </c>
    </row>
    <row r="1337" spans="1:10" x14ac:dyDescent="0.45">
      <c r="A1337" s="2" t="s">
        <v>333</v>
      </c>
      <c r="B1337" s="2" t="s">
        <v>35</v>
      </c>
      <c r="C1337" s="2" t="s">
        <v>38</v>
      </c>
      <c r="D1337" s="2" t="s">
        <v>21</v>
      </c>
      <c r="E1337" s="2" t="s">
        <v>54</v>
      </c>
      <c r="F1337" s="2">
        <v>23113</v>
      </c>
      <c r="G1337" s="2">
        <v>228</v>
      </c>
      <c r="H1337" s="2">
        <v>136.80000000000001</v>
      </c>
      <c r="I1337" s="2">
        <v>17</v>
      </c>
      <c r="J1337" s="2">
        <v>2097.34</v>
      </c>
    </row>
    <row r="1338" spans="1:10" x14ac:dyDescent="0.45">
      <c r="A1338" s="2" t="s">
        <v>331</v>
      </c>
      <c r="B1338" s="2" t="s">
        <v>35</v>
      </c>
      <c r="C1338" s="2" t="s">
        <v>16</v>
      </c>
      <c r="D1338" s="2" t="s">
        <v>21</v>
      </c>
      <c r="E1338" s="2" t="s">
        <v>30</v>
      </c>
      <c r="F1338" s="2">
        <v>39754</v>
      </c>
      <c r="G1338" s="2">
        <v>1164</v>
      </c>
      <c r="H1338" s="2">
        <v>1571.4</v>
      </c>
      <c r="I1338" s="2">
        <v>72</v>
      </c>
      <c r="J1338" s="2">
        <v>9221.61</v>
      </c>
    </row>
    <row r="1339" spans="1:10" x14ac:dyDescent="0.45">
      <c r="A1339" s="2" t="s">
        <v>74</v>
      </c>
      <c r="B1339" s="2" t="s">
        <v>15</v>
      </c>
      <c r="C1339" s="2" t="s">
        <v>28</v>
      </c>
      <c r="D1339" s="2" t="s">
        <v>29</v>
      </c>
      <c r="E1339" s="2" t="s">
        <v>18</v>
      </c>
      <c r="F1339" s="2">
        <v>89383</v>
      </c>
      <c r="G1339" s="2">
        <v>5631</v>
      </c>
      <c r="H1339" s="2">
        <v>20665.77</v>
      </c>
      <c r="I1339" s="2">
        <v>163</v>
      </c>
      <c r="J1339" s="2">
        <v>35918.239999999998</v>
      </c>
    </row>
    <row r="1340" spans="1:10" x14ac:dyDescent="0.45">
      <c r="A1340" s="2" t="s">
        <v>210</v>
      </c>
      <c r="B1340" s="2" t="s">
        <v>20</v>
      </c>
      <c r="C1340" s="2" t="s">
        <v>16</v>
      </c>
      <c r="D1340" s="2" t="s">
        <v>21</v>
      </c>
      <c r="E1340" s="2" t="s">
        <v>26</v>
      </c>
      <c r="F1340" s="2">
        <v>128900</v>
      </c>
      <c r="G1340" s="2">
        <v>10273</v>
      </c>
      <c r="H1340" s="2">
        <v>8629.32</v>
      </c>
      <c r="I1340" s="2">
        <v>238</v>
      </c>
      <c r="J1340" s="2">
        <v>11417.91</v>
      </c>
    </row>
    <row r="1341" spans="1:10" x14ac:dyDescent="0.45">
      <c r="A1341" s="2" t="s">
        <v>116</v>
      </c>
      <c r="B1341" s="2" t="s">
        <v>15</v>
      </c>
      <c r="C1341" s="2" t="s">
        <v>38</v>
      </c>
      <c r="D1341" s="2" t="s">
        <v>21</v>
      </c>
      <c r="E1341" s="2" t="s">
        <v>33</v>
      </c>
      <c r="F1341" s="2">
        <v>179159</v>
      </c>
      <c r="G1341" s="2">
        <v>6593</v>
      </c>
      <c r="H1341" s="2">
        <v>14702.39</v>
      </c>
      <c r="I1341" s="2">
        <v>459</v>
      </c>
      <c r="J1341" s="2">
        <v>76527.740000000005</v>
      </c>
    </row>
    <row r="1342" spans="1:10" x14ac:dyDescent="0.45">
      <c r="A1342" s="2" t="s">
        <v>263</v>
      </c>
      <c r="B1342" s="2" t="s">
        <v>20</v>
      </c>
      <c r="C1342" s="2" t="s">
        <v>38</v>
      </c>
      <c r="D1342" s="2" t="s">
        <v>29</v>
      </c>
      <c r="E1342" s="2" t="s">
        <v>51</v>
      </c>
      <c r="F1342" s="2">
        <v>15739</v>
      </c>
      <c r="G1342" s="2">
        <v>1205</v>
      </c>
      <c r="H1342" s="2">
        <v>554.29999999999995</v>
      </c>
      <c r="I1342" s="2">
        <v>60</v>
      </c>
      <c r="J1342" s="2">
        <v>6092.69</v>
      </c>
    </row>
    <row r="1343" spans="1:10" x14ac:dyDescent="0.45">
      <c r="A1343" s="2" t="s">
        <v>384</v>
      </c>
      <c r="B1343" s="2" t="s">
        <v>35</v>
      </c>
      <c r="C1343" s="2" t="s">
        <v>28</v>
      </c>
      <c r="D1343" s="2" t="s">
        <v>17</v>
      </c>
      <c r="E1343" s="2" t="s">
        <v>54</v>
      </c>
      <c r="F1343" s="2">
        <v>25243</v>
      </c>
      <c r="G1343" s="2">
        <v>580</v>
      </c>
      <c r="H1343" s="2">
        <v>1148.4000000000001</v>
      </c>
      <c r="I1343" s="2">
        <v>13</v>
      </c>
      <c r="J1343" s="2">
        <v>3883.09</v>
      </c>
    </row>
    <row r="1344" spans="1:10" x14ac:dyDescent="0.45">
      <c r="A1344" s="2" t="s">
        <v>96</v>
      </c>
      <c r="B1344" s="2" t="s">
        <v>20</v>
      </c>
      <c r="C1344" s="2" t="s">
        <v>24</v>
      </c>
      <c r="D1344" s="2" t="s">
        <v>17</v>
      </c>
      <c r="E1344" s="2" t="s">
        <v>33</v>
      </c>
      <c r="F1344" s="2">
        <v>196745</v>
      </c>
      <c r="G1344" s="2">
        <v>13240</v>
      </c>
      <c r="H1344" s="2">
        <v>21581.200000000001</v>
      </c>
      <c r="I1344" s="2">
        <v>761</v>
      </c>
      <c r="J1344" s="2">
        <v>195233.42</v>
      </c>
    </row>
    <row r="1345" spans="1:10" x14ac:dyDescent="0.45">
      <c r="A1345" s="2" t="s">
        <v>167</v>
      </c>
      <c r="B1345" s="2" t="s">
        <v>35</v>
      </c>
      <c r="C1345" s="2" t="s">
        <v>16</v>
      </c>
      <c r="D1345" s="2" t="s">
        <v>41</v>
      </c>
      <c r="E1345" s="2" t="s">
        <v>30</v>
      </c>
      <c r="F1345" s="2">
        <v>23186</v>
      </c>
      <c r="G1345" s="2">
        <v>512</v>
      </c>
      <c r="H1345" s="2">
        <v>1080.32</v>
      </c>
      <c r="I1345" s="2">
        <v>26</v>
      </c>
      <c r="J1345" s="2">
        <v>2663.68</v>
      </c>
    </row>
    <row r="1346" spans="1:10" x14ac:dyDescent="0.45">
      <c r="A1346" s="2" t="s">
        <v>122</v>
      </c>
      <c r="B1346" s="2" t="s">
        <v>15</v>
      </c>
      <c r="C1346" s="2" t="s">
        <v>28</v>
      </c>
      <c r="D1346" s="2" t="s">
        <v>29</v>
      </c>
      <c r="E1346" s="2" t="s">
        <v>26</v>
      </c>
      <c r="F1346" s="2">
        <v>189480</v>
      </c>
      <c r="G1346" s="2">
        <v>6290</v>
      </c>
      <c r="H1346" s="2">
        <v>22329.5</v>
      </c>
      <c r="I1346" s="2">
        <v>204</v>
      </c>
      <c r="J1346" s="2">
        <v>44620.04</v>
      </c>
    </row>
    <row r="1347" spans="1:10" x14ac:dyDescent="0.45">
      <c r="A1347" s="2" t="s">
        <v>350</v>
      </c>
      <c r="B1347" s="2" t="s">
        <v>35</v>
      </c>
      <c r="C1347" s="2" t="s">
        <v>24</v>
      </c>
      <c r="D1347" s="2" t="s">
        <v>17</v>
      </c>
      <c r="E1347" s="2" t="s">
        <v>22</v>
      </c>
      <c r="F1347" s="2">
        <v>112518</v>
      </c>
      <c r="G1347" s="2">
        <v>1597</v>
      </c>
      <c r="H1347" s="2">
        <v>1724.76</v>
      </c>
      <c r="I1347" s="2">
        <v>105</v>
      </c>
      <c r="J1347" s="2">
        <v>25379.08</v>
      </c>
    </row>
    <row r="1348" spans="1:10" x14ac:dyDescent="0.45">
      <c r="A1348" s="2" t="s">
        <v>80</v>
      </c>
      <c r="B1348" s="2" t="s">
        <v>15</v>
      </c>
      <c r="C1348" s="2" t="s">
        <v>24</v>
      </c>
      <c r="D1348" s="2" t="s">
        <v>41</v>
      </c>
      <c r="E1348" s="2" t="s">
        <v>26</v>
      </c>
      <c r="F1348" s="2">
        <v>116789</v>
      </c>
      <c r="G1348" s="2">
        <v>6586</v>
      </c>
      <c r="H1348" s="2">
        <v>17716.34</v>
      </c>
      <c r="I1348" s="2">
        <v>220</v>
      </c>
      <c r="J1348" s="2">
        <v>34309.56</v>
      </c>
    </row>
    <row r="1349" spans="1:10" x14ac:dyDescent="0.45">
      <c r="A1349" s="2" t="s">
        <v>277</v>
      </c>
      <c r="B1349" s="2" t="s">
        <v>20</v>
      </c>
      <c r="C1349" s="2" t="s">
        <v>16</v>
      </c>
      <c r="D1349" s="2" t="s">
        <v>29</v>
      </c>
      <c r="E1349" s="2" t="s">
        <v>30</v>
      </c>
      <c r="F1349" s="2">
        <v>42575</v>
      </c>
      <c r="G1349" s="2">
        <v>2188</v>
      </c>
      <c r="H1349" s="2">
        <v>3938.4</v>
      </c>
      <c r="I1349" s="2">
        <v>63</v>
      </c>
      <c r="J1349" s="2">
        <v>13519.27</v>
      </c>
    </row>
    <row r="1350" spans="1:10" x14ac:dyDescent="0.45">
      <c r="A1350" s="2" t="s">
        <v>386</v>
      </c>
      <c r="B1350" s="2" t="s">
        <v>20</v>
      </c>
      <c r="C1350" s="2" t="s">
        <v>24</v>
      </c>
      <c r="D1350" s="2" t="s">
        <v>17</v>
      </c>
      <c r="E1350" s="2" t="s">
        <v>33</v>
      </c>
      <c r="F1350" s="2">
        <v>51557</v>
      </c>
      <c r="G1350" s="2">
        <v>2882</v>
      </c>
      <c r="H1350" s="2">
        <v>3602.5</v>
      </c>
      <c r="I1350" s="2">
        <v>135</v>
      </c>
      <c r="J1350" s="2">
        <v>6028.08</v>
      </c>
    </row>
    <row r="1351" spans="1:10" x14ac:dyDescent="0.45">
      <c r="A1351" s="2" t="s">
        <v>67</v>
      </c>
      <c r="B1351" s="2" t="s">
        <v>35</v>
      </c>
      <c r="C1351" s="2" t="s">
        <v>24</v>
      </c>
      <c r="D1351" s="2" t="s">
        <v>25</v>
      </c>
      <c r="E1351" s="2" t="s">
        <v>54</v>
      </c>
      <c r="F1351" s="2">
        <v>131681</v>
      </c>
      <c r="G1351" s="2">
        <v>1725</v>
      </c>
      <c r="H1351" s="2">
        <v>1362.75</v>
      </c>
      <c r="I1351" s="2">
        <v>108</v>
      </c>
      <c r="J1351" s="2">
        <v>31291.1</v>
      </c>
    </row>
    <row r="1352" spans="1:10" x14ac:dyDescent="0.45">
      <c r="A1352" s="2" t="s">
        <v>183</v>
      </c>
      <c r="B1352" s="2" t="s">
        <v>15</v>
      </c>
      <c r="C1352" s="2" t="s">
        <v>16</v>
      </c>
      <c r="D1352" s="2" t="s">
        <v>29</v>
      </c>
      <c r="E1352" s="2" t="s">
        <v>33</v>
      </c>
      <c r="F1352" s="2">
        <v>89833</v>
      </c>
      <c r="G1352" s="2">
        <v>4536</v>
      </c>
      <c r="H1352" s="2">
        <v>16964.64</v>
      </c>
      <c r="I1352" s="2">
        <v>166</v>
      </c>
      <c r="J1352" s="2">
        <v>42497.440000000002</v>
      </c>
    </row>
    <row r="1353" spans="1:10" x14ac:dyDescent="0.45">
      <c r="A1353" s="2" t="s">
        <v>372</v>
      </c>
      <c r="B1353" s="2" t="s">
        <v>35</v>
      </c>
      <c r="C1353" s="2" t="s">
        <v>28</v>
      </c>
      <c r="D1353" s="2" t="s">
        <v>17</v>
      </c>
      <c r="E1353" s="2" t="s">
        <v>26</v>
      </c>
      <c r="F1353" s="2">
        <v>116161</v>
      </c>
      <c r="G1353" s="2">
        <v>4379</v>
      </c>
      <c r="H1353" s="2">
        <v>7750.83</v>
      </c>
      <c r="I1353" s="2">
        <v>264</v>
      </c>
      <c r="J1353" s="2">
        <v>18090.29</v>
      </c>
    </row>
    <row r="1354" spans="1:10" x14ac:dyDescent="0.45">
      <c r="A1354" s="2" t="s">
        <v>345</v>
      </c>
      <c r="B1354" s="2" t="s">
        <v>15</v>
      </c>
      <c r="C1354" s="2" t="s">
        <v>16</v>
      </c>
      <c r="D1354" s="2" t="s">
        <v>29</v>
      </c>
      <c r="E1354" s="2" t="s">
        <v>54</v>
      </c>
      <c r="F1354" s="2">
        <v>53544</v>
      </c>
      <c r="G1354" s="2">
        <v>1670</v>
      </c>
      <c r="H1354" s="2">
        <v>2354.6999999999998</v>
      </c>
      <c r="I1354" s="2">
        <v>20</v>
      </c>
      <c r="J1354" s="2">
        <v>4659.21</v>
      </c>
    </row>
    <row r="1355" spans="1:10" x14ac:dyDescent="0.45">
      <c r="A1355" s="2" t="s">
        <v>127</v>
      </c>
      <c r="B1355" s="2" t="s">
        <v>35</v>
      </c>
      <c r="C1355" s="2" t="s">
        <v>28</v>
      </c>
      <c r="D1355" s="2" t="s">
        <v>17</v>
      </c>
      <c r="E1355" s="2" t="s">
        <v>33</v>
      </c>
      <c r="F1355" s="2">
        <v>107126</v>
      </c>
      <c r="G1355" s="2">
        <v>3631</v>
      </c>
      <c r="H1355" s="2">
        <v>3921.48</v>
      </c>
      <c r="I1355" s="2">
        <v>260</v>
      </c>
      <c r="J1355" s="2">
        <v>19151.86</v>
      </c>
    </row>
    <row r="1356" spans="1:10" x14ac:dyDescent="0.45">
      <c r="A1356" s="2" t="s">
        <v>154</v>
      </c>
      <c r="B1356" s="2" t="s">
        <v>15</v>
      </c>
      <c r="C1356" s="2" t="s">
        <v>28</v>
      </c>
      <c r="D1356" s="2" t="s">
        <v>21</v>
      </c>
      <c r="E1356" s="2" t="s">
        <v>26</v>
      </c>
      <c r="F1356" s="2">
        <v>182395</v>
      </c>
      <c r="G1356" s="2">
        <v>8517</v>
      </c>
      <c r="H1356" s="2">
        <v>29383.65</v>
      </c>
      <c r="I1356" s="2">
        <v>517</v>
      </c>
      <c r="J1356" s="2">
        <v>27133.78</v>
      </c>
    </row>
    <row r="1357" spans="1:10" x14ac:dyDescent="0.45">
      <c r="A1357" s="2" t="s">
        <v>32</v>
      </c>
      <c r="B1357" s="2" t="s">
        <v>35</v>
      </c>
      <c r="C1357" s="2" t="s">
        <v>24</v>
      </c>
      <c r="D1357" s="2" t="s">
        <v>29</v>
      </c>
      <c r="E1357" s="2" t="s">
        <v>26</v>
      </c>
      <c r="F1357" s="2">
        <v>39253</v>
      </c>
      <c r="G1357" s="2">
        <v>1122</v>
      </c>
      <c r="H1357" s="2">
        <v>1402.5</v>
      </c>
      <c r="I1357" s="2">
        <v>81</v>
      </c>
      <c r="J1357" s="2">
        <v>15452.61</v>
      </c>
    </row>
    <row r="1358" spans="1:10" x14ac:dyDescent="0.45">
      <c r="A1358" s="2" t="s">
        <v>271</v>
      </c>
      <c r="B1358" s="2" t="s">
        <v>20</v>
      </c>
      <c r="C1358" s="2" t="s">
        <v>16</v>
      </c>
      <c r="D1358" s="2" t="s">
        <v>41</v>
      </c>
      <c r="E1358" s="2" t="s">
        <v>33</v>
      </c>
      <c r="F1358" s="2">
        <v>109794</v>
      </c>
      <c r="G1358" s="2">
        <v>3886</v>
      </c>
      <c r="H1358" s="2">
        <v>6256.46</v>
      </c>
      <c r="I1358" s="2">
        <v>73</v>
      </c>
      <c r="J1358" s="2">
        <v>9808.76</v>
      </c>
    </row>
    <row r="1359" spans="1:10" x14ac:dyDescent="0.45">
      <c r="A1359" s="2" t="s">
        <v>135</v>
      </c>
      <c r="B1359" s="2" t="s">
        <v>15</v>
      </c>
      <c r="C1359" s="2" t="s">
        <v>24</v>
      </c>
      <c r="D1359" s="2" t="s">
        <v>41</v>
      </c>
      <c r="E1359" s="2" t="s">
        <v>18</v>
      </c>
      <c r="F1359" s="2">
        <v>27612</v>
      </c>
      <c r="G1359" s="2">
        <v>963</v>
      </c>
      <c r="H1359" s="2">
        <v>3177.9</v>
      </c>
      <c r="I1359" s="2">
        <v>75</v>
      </c>
      <c r="J1359" s="2">
        <v>12575.02</v>
      </c>
    </row>
    <row r="1360" spans="1:10" x14ac:dyDescent="0.45">
      <c r="A1360" s="2" t="s">
        <v>248</v>
      </c>
      <c r="B1360" s="2" t="s">
        <v>35</v>
      </c>
      <c r="C1360" s="2" t="s">
        <v>16</v>
      </c>
      <c r="D1360" s="2" t="s">
        <v>41</v>
      </c>
      <c r="E1360" s="2" t="s">
        <v>51</v>
      </c>
      <c r="F1360" s="2">
        <v>61994</v>
      </c>
      <c r="G1360" s="2">
        <v>1847</v>
      </c>
      <c r="H1360" s="2">
        <v>1477.6</v>
      </c>
      <c r="I1360" s="2">
        <v>147</v>
      </c>
      <c r="J1360" s="2">
        <v>5622.21</v>
      </c>
    </row>
    <row r="1361" spans="1:10" x14ac:dyDescent="0.45">
      <c r="A1361" s="2" t="s">
        <v>358</v>
      </c>
      <c r="B1361" s="2" t="s">
        <v>15</v>
      </c>
      <c r="C1361" s="2" t="s">
        <v>16</v>
      </c>
      <c r="D1361" s="2" t="s">
        <v>41</v>
      </c>
      <c r="E1361" s="2" t="s">
        <v>18</v>
      </c>
      <c r="F1361" s="2">
        <v>48953</v>
      </c>
      <c r="G1361" s="2">
        <v>2447</v>
      </c>
      <c r="H1361" s="2">
        <v>2716.17</v>
      </c>
      <c r="I1361" s="2">
        <v>144</v>
      </c>
      <c r="J1361" s="2">
        <v>17526.62</v>
      </c>
    </row>
    <row r="1362" spans="1:10" x14ac:dyDescent="0.45">
      <c r="A1362" s="2" t="s">
        <v>174</v>
      </c>
      <c r="B1362" s="2" t="s">
        <v>15</v>
      </c>
      <c r="C1362" s="2" t="s">
        <v>16</v>
      </c>
      <c r="D1362" s="2" t="s">
        <v>41</v>
      </c>
      <c r="E1362" s="2" t="s">
        <v>30</v>
      </c>
      <c r="F1362" s="2">
        <v>13484</v>
      </c>
      <c r="G1362" s="2">
        <v>382</v>
      </c>
      <c r="H1362" s="2">
        <v>511.88</v>
      </c>
      <c r="I1362" s="2">
        <v>23</v>
      </c>
      <c r="J1362" s="2">
        <v>1623.76</v>
      </c>
    </row>
    <row r="1363" spans="1:10" x14ac:dyDescent="0.45">
      <c r="A1363" s="2" t="s">
        <v>61</v>
      </c>
      <c r="B1363" s="2" t="s">
        <v>20</v>
      </c>
      <c r="C1363" s="2" t="s">
        <v>38</v>
      </c>
      <c r="D1363" s="2" t="s">
        <v>21</v>
      </c>
      <c r="E1363" s="2" t="s">
        <v>22</v>
      </c>
      <c r="F1363" s="2">
        <v>13255</v>
      </c>
      <c r="G1363" s="2">
        <v>709</v>
      </c>
      <c r="H1363" s="2">
        <v>935.88</v>
      </c>
      <c r="I1363" s="2">
        <v>37</v>
      </c>
      <c r="J1363" s="2">
        <v>11059.11</v>
      </c>
    </row>
    <row r="1364" spans="1:10" x14ac:dyDescent="0.45">
      <c r="A1364" s="2" t="s">
        <v>175</v>
      </c>
      <c r="B1364" s="2" t="s">
        <v>35</v>
      </c>
      <c r="C1364" s="2" t="s">
        <v>24</v>
      </c>
      <c r="D1364" s="2" t="s">
        <v>21</v>
      </c>
      <c r="E1364" s="2" t="s">
        <v>54</v>
      </c>
      <c r="F1364" s="2">
        <v>162889</v>
      </c>
      <c r="G1364" s="2">
        <v>4658</v>
      </c>
      <c r="H1364" s="2">
        <v>5170.38</v>
      </c>
      <c r="I1364" s="2">
        <v>332</v>
      </c>
      <c r="J1364" s="2">
        <v>57094.6</v>
      </c>
    </row>
    <row r="1365" spans="1:10" x14ac:dyDescent="0.45">
      <c r="A1365" s="2" t="s">
        <v>146</v>
      </c>
      <c r="B1365" s="2" t="s">
        <v>20</v>
      </c>
      <c r="C1365" s="2" t="s">
        <v>28</v>
      </c>
      <c r="D1365" s="2" t="s">
        <v>25</v>
      </c>
      <c r="E1365" s="2" t="s">
        <v>18</v>
      </c>
      <c r="F1365" s="2">
        <v>21972</v>
      </c>
      <c r="G1365" s="2">
        <v>1915</v>
      </c>
      <c r="H1365" s="2">
        <v>2010.75</v>
      </c>
      <c r="I1365" s="2">
        <v>36</v>
      </c>
      <c r="J1365" s="2">
        <v>2412.15</v>
      </c>
    </row>
    <row r="1366" spans="1:10" x14ac:dyDescent="0.45">
      <c r="A1366" s="2" t="s">
        <v>46</v>
      </c>
      <c r="B1366" s="2" t="s">
        <v>20</v>
      </c>
      <c r="C1366" s="2" t="s">
        <v>28</v>
      </c>
      <c r="D1366" s="2" t="s">
        <v>29</v>
      </c>
      <c r="E1366" s="2" t="s">
        <v>33</v>
      </c>
      <c r="F1366" s="2">
        <v>186136</v>
      </c>
      <c r="G1366" s="2">
        <v>13885</v>
      </c>
      <c r="H1366" s="2">
        <v>13190.75</v>
      </c>
      <c r="I1366" s="2">
        <v>891</v>
      </c>
      <c r="J1366" s="2">
        <v>133397.70000000001</v>
      </c>
    </row>
    <row r="1367" spans="1:10" x14ac:dyDescent="0.45">
      <c r="A1367" s="2" t="s">
        <v>239</v>
      </c>
      <c r="B1367" s="2" t="s">
        <v>15</v>
      </c>
      <c r="C1367" s="2" t="s">
        <v>38</v>
      </c>
      <c r="D1367" s="2" t="s">
        <v>25</v>
      </c>
      <c r="E1367" s="2" t="s">
        <v>18</v>
      </c>
      <c r="F1367" s="2">
        <v>135171</v>
      </c>
      <c r="G1367" s="2">
        <v>5231</v>
      </c>
      <c r="H1367" s="2">
        <v>9311.18</v>
      </c>
      <c r="I1367" s="2">
        <v>149</v>
      </c>
      <c r="J1367" s="2">
        <v>19918.919999999998</v>
      </c>
    </row>
    <row r="1368" spans="1:10" x14ac:dyDescent="0.45">
      <c r="A1368" s="2" t="s">
        <v>137</v>
      </c>
      <c r="B1368" s="2" t="s">
        <v>35</v>
      </c>
      <c r="C1368" s="2" t="s">
        <v>16</v>
      </c>
      <c r="D1368" s="2" t="s">
        <v>17</v>
      </c>
      <c r="E1368" s="2" t="s">
        <v>51</v>
      </c>
      <c r="F1368" s="2">
        <v>176656</v>
      </c>
      <c r="G1368" s="2">
        <v>2897</v>
      </c>
      <c r="H1368" s="2">
        <v>5417.39</v>
      </c>
      <c r="I1368" s="2">
        <v>86</v>
      </c>
      <c r="J1368" s="2">
        <v>23130.95</v>
      </c>
    </row>
    <row r="1369" spans="1:10" x14ac:dyDescent="0.45">
      <c r="A1369" s="2" t="s">
        <v>347</v>
      </c>
      <c r="B1369" s="2" t="s">
        <v>15</v>
      </c>
      <c r="C1369" s="2" t="s">
        <v>38</v>
      </c>
      <c r="D1369" s="2" t="s">
        <v>25</v>
      </c>
      <c r="E1369" s="2" t="s">
        <v>26</v>
      </c>
      <c r="F1369" s="2">
        <v>51678</v>
      </c>
      <c r="G1369" s="2">
        <v>2966</v>
      </c>
      <c r="H1369" s="2">
        <v>7652.28</v>
      </c>
      <c r="I1369" s="2">
        <v>192</v>
      </c>
      <c r="J1369" s="2">
        <v>21240.9</v>
      </c>
    </row>
    <row r="1370" spans="1:10" x14ac:dyDescent="0.45">
      <c r="A1370" s="2" t="s">
        <v>226</v>
      </c>
      <c r="B1370" s="2" t="s">
        <v>35</v>
      </c>
      <c r="C1370" s="2" t="s">
        <v>16</v>
      </c>
      <c r="D1370" s="2" t="s">
        <v>29</v>
      </c>
      <c r="E1370" s="2" t="s">
        <v>30</v>
      </c>
      <c r="F1370" s="2">
        <v>26491</v>
      </c>
      <c r="G1370" s="2">
        <v>423</v>
      </c>
      <c r="H1370" s="2">
        <v>401.85</v>
      </c>
      <c r="I1370" s="2">
        <v>28</v>
      </c>
      <c r="J1370" s="2">
        <v>3219.77</v>
      </c>
    </row>
    <row r="1371" spans="1:10" x14ac:dyDescent="0.45">
      <c r="A1371" s="2" t="s">
        <v>151</v>
      </c>
      <c r="B1371" s="2" t="s">
        <v>35</v>
      </c>
      <c r="C1371" s="2" t="s">
        <v>28</v>
      </c>
      <c r="D1371" s="2" t="s">
        <v>25</v>
      </c>
      <c r="E1371" s="2" t="s">
        <v>22</v>
      </c>
      <c r="F1371" s="2">
        <v>174862</v>
      </c>
      <c r="G1371" s="2">
        <v>3846</v>
      </c>
      <c r="H1371" s="2">
        <v>1730.7</v>
      </c>
      <c r="I1371" s="2">
        <v>299</v>
      </c>
      <c r="J1371" s="2">
        <v>67036.78</v>
      </c>
    </row>
    <row r="1372" spans="1:10" x14ac:dyDescent="0.45">
      <c r="A1372" s="2" t="s">
        <v>248</v>
      </c>
      <c r="B1372" s="2" t="s">
        <v>35</v>
      </c>
      <c r="C1372" s="2" t="s">
        <v>24</v>
      </c>
      <c r="D1372" s="2" t="s">
        <v>41</v>
      </c>
      <c r="E1372" s="2" t="s">
        <v>30</v>
      </c>
      <c r="F1372" s="2">
        <v>77353</v>
      </c>
      <c r="G1372" s="2">
        <v>1895</v>
      </c>
      <c r="H1372" s="2">
        <v>3202.55</v>
      </c>
      <c r="I1372" s="2">
        <v>73</v>
      </c>
      <c r="J1372" s="2">
        <v>9316.26</v>
      </c>
    </row>
    <row r="1373" spans="1:10" x14ac:dyDescent="0.45">
      <c r="A1373" s="2" t="s">
        <v>213</v>
      </c>
      <c r="B1373" s="2" t="s">
        <v>35</v>
      </c>
      <c r="C1373" s="2" t="s">
        <v>28</v>
      </c>
      <c r="D1373" s="2" t="s">
        <v>21</v>
      </c>
      <c r="E1373" s="2" t="s">
        <v>18</v>
      </c>
      <c r="F1373" s="2">
        <v>108726</v>
      </c>
      <c r="G1373" s="2">
        <v>2968</v>
      </c>
      <c r="H1373" s="2">
        <v>6885.76</v>
      </c>
      <c r="I1373" s="2">
        <v>49</v>
      </c>
      <c r="J1373" s="2">
        <v>2393.62</v>
      </c>
    </row>
    <row r="1374" spans="1:10" x14ac:dyDescent="0.45">
      <c r="A1374" s="2" t="s">
        <v>225</v>
      </c>
      <c r="B1374" s="2" t="s">
        <v>15</v>
      </c>
      <c r="C1374" s="2" t="s">
        <v>16</v>
      </c>
      <c r="D1374" s="2" t="s">
        <v>17</v>
      </c>
      <c r="E1374" s="2" t="s">
        <v>22</v>
      </c>
      <c r="F1374" s="2">
        <v>196883</v>
      </c>
      <c r="G1374" s="2">
        <v>10119</v>
      </c>
      <c r="H1374" s="2">
        <v>14976.12</v>
      </c>
      <c r="I1374" s="2">
        <v>636</v>
      </c>
      <c r="J1374" s="2">
        <v>121588.49</v>
      </c>
    </row>
    <row r="1375" spans="1:10" x14ac:dyDescent="0.45">
      <c r="A1375" s="2" t="s">
        <v>195</v>
      </c>
      <c r="B1375" s="2" t="s">
        <v>15</v>
      </c>
      <c r="C1375" s="2" t="s">
        <v>16</v>
      </c>
      <c r="D1375" s="2" t="s">
        <v>21</v>
      </c>
      <c r="E1375" s="2" t="s">
        <v>18</v>
      </c>
      <c r="F1375" s="2">
        <v>180627</v>
      </c>
      <c r="G1375" s="2">
        <v>8074</v>
      </c>
      <c r="H1375" s="2">
        <v>12756.92</v>
      </c>
      <c r="I1375" s="2">
        <v>266</v>
      </c>
      <c r="J1375" s="2">
        <v>72041.279999999999</v>
      </c>
    </row>
    <row r="1376" spans="1:10" x14ac:dyDescent="0.45">
      <c r="A1376" s="2" t="s">
        <v>242</v>
      </c>
      <c r="B1376" s="2" t="s">
        <v>15</v>
      </c>
      <c r="C1376" s="2" t="s">
        <v>24</v>
      </c>
      <c r="D1376" s="2" t="s">
        <v>29</v>
      </c>
      <c r="E1376" s="2" t="s">
        <v>51</v>
      </c>
      <c r="F1376" s="2">
        <v>85196</v>
      </c>
      <c r="G1376" s="2">
        <v>2572</v>
      </c>
      <c r="H1376" s="2">
        <v>5889.88</v>
      </c>
      <c r="I1376" s="2">
        <v>34</v>
      </c>
      <c r="J1376" s="2">
        <v>8900.58</v>
      </c>
    </row>
    <row r="1377" spans="1:10" x14ac:dyDescent="0.45">
      <c r="A1377" s="2" t="s">
        <v>304</v>
      </c>
      <c r="B1377" s="2" t="s">
        <v>15</v>
      </c>
      <c r="C1377" s="2" t="s">
        <v>24</v>
      </c>
      <c r="D1377" s="2" t="s">
        <v>41</v>
      </c>
      <c r="E1377" s="2" t="s">
        <v>54</v>
      </c>
      <c r="F1377" s="2">
        <v>74098</v>
      </c>
      <c r="G1377" s="2">
        <v>1911</v>
      </c>
      <c r="H1377" s="2">
        <v>5446.35</v>
      </c>
      <c r="I1377" s="2">
        <v>91</v>
      </c>
      <c r="J1377" s="2">
        <v>9234.9599999999991</v>
      </c>
    </row>
    <row r="1378" spans="1:10" x14ac:dyDescent="0.45">
      <c r="A1378" s="2" t="s">
        <v>112</v>
      </c>
      <c r="B1378" s="2" t="s">
        <v>20</v>
      </c>
      <c r="C1378" s="2" t="s">
        <v>16</v>
      </c>
      <c r="D1378" s="2" t="s">
        <v>25</v>
      </c>
      <c r="E1378" s="2" t="s">
        <v>22</v>
      </c>
      <c r="F1378" s="2">
        <v>166711</v>
      </c>
      <c r="G1378" s="2">
        <v>13670</v>
      </c>
      <c r="H1378" s="2">
        <v>20505</v>
      </c>
      <c r="I1378" s="2">
        <v>592</v>
      </c>
      <c r="J1378" s="2">
        <v>43676.76</v>
      </c>
    </row>
    <row r="1379" spans="1:10" x14ac:dyDescent="0.45">
      <c r="A1379" s="2" t="s">
        <v>107</v>
      </c>
      <c r="B1379" s="2" t="s">
        <v>15</v>
      </c>
      <c r="C1379" s="2" t="s">
        <v>24</v>
      </c>
      <c r="D1379" s="2" t="s">
        <v>25</v>
      </c>
      <c r="E1379" s="2" t="s">
        <v>18</v>
      </c>
      <c r="F1379" s="2">
        <v>141501</v>
      </c>
      <c r="G1379" s="2">
        <v>6452</v>
      </c>
      <c r="H1379" s="2">
        <v>19162.439999999999</v>
      </c>
      <c r="I1379" s="2">
        <v>193</v>
      </c>
      <c r="J1379" s="2">
        <v>47970.13</v>
      </c>
    </row>
    <row r="1380" spans="1:10" x14ac:dyDescent="0.45">
      <c r="A1380" s="2" t="s">
        <v>263</v>
      </c>
      <c r="B1380" s="2" t="s">
        <v>15</v>
      </c>
      <c r="C1380" s="2" t="s">
        <v>24</v>
      </c>
      <c r="D1380" s="2" t="s">
        <v>17</v>
      </c>
      <c r="E1380" s="2" t="s">
        <v>18</v>
      </c>
      <c r="F1380" s="2">
        <v>81303</v>
      </c>
      <c r="G1380" s="2">
        <v>4154</v>
      </c>
      <c r="H1380" s="2">
        <v>8100.3</v>
      </c>
      <c r="I1380" s="2">
        <v>121</v>
      </c>
      <c r="J1380" s="2">
        <v>35667.19</v>
      </c>
    </row>
    <row r="1381" spans="1:10" x14ac:dyDescent="0.45">
      <c r="A1381" s="2" t="s">
        <v>208</v>
      </c>
      <c r="B1381" s="2" t="s">
        <v>20</v>
      </c>
      <c r="C1381" s="2" t="s">
        <v>28</v>
      </c>
      <c r="D1381" s="2" t="s">
        <v>29</v>
      </c>
      <c r="E1381" s="2" t="s">
        <v>51</v>
      </c>
      <c r="F1381" s="2">
        <v>83871</v>
      </c>
      <c r="G1381" s="2">
        <v>6382</v>
      </c>
      <c r="H1381" s="2">
        <v>6701.1</v>
      </c>
      <c r="I1381" s="2">
        <v>196</v>
      </c>
      <c r="J1381" s="2">
        <v>31406.57</v>
      </c>
    </row>
    <row r="1382" spans="1:10" x14ac:dyDescent="0.45">
      <c r="A1382" s="2" t="s">
        <v>197</v>
      </c>
      <c r="B1382" s="2" t="s">
        <v>35</v>
      </c>
      <c r="C1382" s="2" t="s">
        <v>24</v>
      </c>
      <c r="D1382" s="2" t="s">
        <v>25</v>
      </c>
      <c r="E1382" s="2" t="s">
        <v>30</v>
      </c>
      <c r="F1382" s="2">
        <v>178013</v>
      </c>
      <c r="G1382" s="2">
        <v>1886</v>
      </c>
      <c r="H1382" s="2">
        <v>2150.04</v>
      </c>
      <c r="I1382" s="2">
        <v>83</v>
      </c>
      <c r="J1382" s="2">
        <v>22320.49</v>
      </c>
    </row>
    <row r="1383" spans="1:10" x14ac:dyDescent="0.45">
      <c r="A1383" s="2" t="s">
        <v>132</v>
      </c>
      <c r="B1383" s="2" t="s">
        <v>35</v>
      </c>
      <c r="C1383" s="2" t="s">
        <v>16</v>
      </c>
      <c r="D1383" s="2" t="s">
        <v>21</v>
      </c>
      <c r="E1383" s="2" t="s">
        <v>51</v>
      </c>
      <c r="F1383" s="2">
        <v>160341</v>
      </c>
      <c r="G1383" s="2">
        <v>2228</v>
      </c>
      <c r="H1383" s="2">
        <v>1916.08</v>
      </c>
      <c r="I1383" s="2">
        <v>70</v>
      </c>
      <c r="J1383" s="2">
        <v>6302.54</v>
      </c>
    </row>
    <row r="1384" spans="1:10" x14ac:dyDescent="0.45">
      <c r="A1384" s="2" t="s">
        <v>23</v>
      </c>
      <c r="B1384" s="2" t="s">
        <v>15</v>
      </c>
      <c r="C1384" s="2" t="s">
        <v>28</v>
      </c>
      <c r="D1384" s="2" t="s">
        <v>41</v>
      </c>
      <c r="E1384" s="2" t="s">
        <v>26</v>
      </c>
      <c r="F1384" s="2">
        <v>138135</v>
      </c>
      <c r="G1384" s="2">
        <v>7721</v>
      </c>
      <c r="H1384" s="2">
        <v>12816.86</v>
      </c>
      <c r="I1384" s="2">
        <v>112</v>
      </c>
      <c r="J1384" s="2">
        <v>4652.6000000000004</v>
      </c>
    </row>
    <row r="1385" spans="1:10" x14ac:dyDescent="0.45">
      <c r="A1385" s="2" t="s">
        <v>303</v>
      </c>
      <c r="B1385" s="2" t="s">
        <v>35</v>
      </c>
      <c r="C1385" s="2" t="s">
        <v>38</v>
      </c>
      <c r="D1385" s="2" t="s">
        <v>41</v>
      </c>
      <c r="E1385" s="2" t="s">
        <v>30</v>
      </c>
      <c r="F1385" s="2">
        <v>72500</v>
      </c>
      <c r="G1385" s="2">
        <v>1341</v>
      </c>
      <c r="H1385" s="2">
        <v>2078.5500000000002</v>
      </c>
      <c r="I1385" s="2">
        <v>30</v>
      </c>
      <c r="J1385" s="2">
        <v>5770.13</v>
      </c>
    </row>
    <row r="1386" spans="1:10" x14ac:dyDescent="0.45">
      <c r="A1386" s="2" t="s">
        <v>138</v>
      </c>
      <c r="B1386" s="2" t="s">
        <v>20</v>
      </c>
      <c r="C1386" s="2" t="s">
        <v>38</v>
      </c>
      <c r="D1386" s="2" t="s">
        <v>25</v>
      </c>
      <c r="E1386" s="2" t="s">
        <v>51</v>
      </c>
      <c r="F1386" s="2">
        <v>104626</v>
      </c>
      <c r="G1386" s="2">
        <v>9144</v>
      </c>
      <c r="H1386" s="2">
        <v>10058.4</v>
      </c>
      <c r="I1386" s="2">
        <v>389</v>
      </c>
      <c r="J1386" s="2">
        <v>83739.39</v>
      </c>
    </row>
    <row r="1387" spans="1:10" x14ac:dyDescent="0.45">
      <c r="A1387" s="2" t="s">
        <v>264</v>
      </c>
      <c r="B1387" s="2" t="s">
        <v>15</v>
      </c>
      <c r="C1387" s="2" t="s">
        <v>28</v>
      </c>
      <c r="D1387" s="2" t="s">
        <v>17</v>
      </c>
      <c r="E1387" s="2" t="s">
        <v>51</v>
      </c>
      <c r="F1387" s="2">
        <v>70107</v>
      </c>
      <c r="G1387" s="2">
        <v>4045</v>
      </c>
      <c r="H1387" s="2">
        <v>11002.4</v>
      </c>
      <c r="I1387" s="2">
        <v>203</v>
      </c>
      <c r="J1387" s="2">
        <v>22267.98</v>
      </c>
    </row>
    <row r="1388" spans="1:10" x14ac:dyDescent="0.45">
      <c r="A1388" s="2" t="s">
        <v>31</v>
      </c>
      <c r="B1388" s="2" t="s">
        <v>35</v>
      </c>
      <c r="C1388" s="2" t="s">
        <v>16</v>
      </c>
      <c r="D1388" s="2" t="s">
        <v>21</v>
      </c>
      <c r="E1388" s="2" t="s">
        <v>26</v>
      </c>
      <c r="F1388" s="2">
        <v>63952</v>
      </c>
      <c r="G1388" s="2">
        <v>1451</v>
      </c>
      <c r="H1388" s="2">
        <v>3250.24</v>
      </c>
      <c r="I1388" s="2">
        <v>86</v>
      </c>
      <c r="J1388" s="2">
        <v>25126.44</v>
      </c>
    </row>
    <row r="1389" spans="1:10" x14ac:dyDescent="0.45">
      <c r="A1389" s="2" t="s">
        <v>36</v>
      </c>
      <c r="B1389" s="2" t="s">
        <v>35</v>
      </c>
      <c r="C1389" s="2" t="s">
        <v>28</v>
      </c>
      <c r="D1389" s="2" t="s">
        <v>41</v>
      </c>
      <c r="E1389" s="2" t="s">
        <v>22</v>
      </c>
      <c r="F1389" s="2">
        <v>43148</v>
      </c>
      <c r="G1389" s="2">
        <v>979</v>
      </c>
      <c r="H1389" s="2">
        <v>1086.69</v>
      </c>
      <c r="I1389" s="2">
        <v>71</v>
      </c>
      <c r="J1389" s="2">
        <v>7719.69</v>
      </c>
    </row>
    <row r="1390" spans="1:10" x14ac:dyDescent="0.45">
      <c r="A1390" s="2" t="s">
        <v>69</v>
      </c>
      <c r="B1390" s="2" t="s">
        <v>15</v>
      </c>
      <c r="C1390" s="2" t="s">
        <v>28</v>
      </c>
      <c r="D1390" s="2" t="s">
        <v>29</v>
      </c>
      <c r="E1390" s="2" t="s">
        <v>18</v>
      </c>
      <c r="F1390" s="2">
        <v>193326</v>
      </c>
      <c r="G1390" s="2">
        <v>12334</v>
      </c>
      <c r="H1390" s="2">
        <v>15787.52</v>
      </c>
      <c r="I1390" s="2">
        <v>715</v>
      </c>
      <c r="J1390" s="2">
        <v>196162.94</v>
      </c>
    </row>
    <row r="1391" spans="1:10" x14ac:dyDescent="0.45">
      <c r="A1391" s="2" t="s">
        <v>19</v>
      </c>
      <c r="B1391" s="2" t="s">
        <v>35</v>
      </c>
      <c r="C1391" s="2" t="s">
        <v>16</v>
      </c>
      <c r="D1391" s="2" t="s">
        <v>17</v>
      </c>
      <c r="E1391" s="2" t="s">
        <v>26</v>
      </c>
      <c r="F1391" s="2">
        <v>80507</v>
      </c>
      <c r="G1391" s="2">
        <v>2318</v>
      </c>
      <c r="H1391" s="2">
        <v>1645.78</v>
      </c>
      <c r="I1391" s="2">
        <v>119</v>
      </c>
      <c r="J1391" s="2">
        <v>23887.119999999999</v>
      </c>
    </row>
    <row r="1392" spans="1:10" x14ac:dyDescent="0.45">
      <c r="A1392" s="2" t="s">
        <v>265</v>
      </c>
      <c r="B1392" s="2" t="s">
        <v>35</v>
      </c>
      <c r="C1392" s="2" t="s">
        <v>16</v>
      </c>
      <c r="D1392" s="2" t="s">
        <v>17</v>
      </c>
      <c r="E1392" s="2" t="s">
        <v>33</v>
      </c>
      <c r="F1392" s="2">
        <v>128556</v>
      </c>
      <c r="G1392" s="2">
        <v>4910</v>
      </c>
      <c r="H1392" s="2">
        <v>4320.8</v>
      </c>
      <c r="I1392" s="2">
        <v>55</v>
      </c>
      <c r="J1392" s="2">
        <v>10684.27</v>
      </c>
    </row>
    <row r="1393" spans="1:10" x14ac:dyDescent="0.45">
      <c r="A1393" s="2" t="s">
        <v>75</v>
      </c>
      <c r="B1393" s="2" t="s">
        <v>35</v>
      </c>
      <c r="C1393" s="2" t="s">
        <v>16</v>
      </c>
      <c r="D1393" s="2" t="s">
        <v>25</v>
      </c>
      <c r="E1393" s="2" t="s">
        <v>22</v>
      </c>
      <c r="F1393" s="2">
        <v>29055</v>
      </c>
      <c r="G1393" s="2">
        <v>912</v>
      </c>
      <c r="H1393" s="2">
        <v>1340.64</v>
      </c>
      <c r="I1393" s="2">
        <v>41</v>
      </c>
      <c r="J1393" s="2">
        <v>6404.23</v>
      </c>
    </row>
    <row r="1394" spans="1:10" x14ac:dyDescent="0.45">
      <c r="A1394" s="2" t="s">
        <v>220</v>
      </c>
      <c r="B1394" s="2" t="s">
        <v>35</v>
      </c>
      <c r="C1394" s="2" t="s">
        <v>24</v>
      </c>
      <c r="D1394" s="2" t="s">
        <v>29</v>
      </c>
      <c r="E1394" s="2" t="s">
        <v>18</v>
      </c>
      <c r="F1394" s="2">
        <v>172517</v>
      </c>
      <c r="G1394" s="2">
        <v>3191</v>
      </c>
      <c r="H1394" s="2">
        <v>5775.71</v>
      </c>
      <c r="I1394" s="2">
        <v>96</v>
      </c>
      <c r="J1394" s="2">
        <v>13225.69</v>
      </c>
    </row>
    <row r="1395" spans="1:10" x14ac:dyDescent="0.45">
      <c r="A1395" s="2" t="s">
        <v>254</v>
      </c>
      <c r="B1395" s="2" t="s">
        <v>35</v>
      </c>
      <c r="C1395" s="2" t="s">
        <v>24</v>
      </c>
      <c r="D1395" s="2" t="s">
        <v>17</v>
      </c>
      <c r="E1395" s="2" t="s">
        <v>33</v>
      </c>
      <c r="F1395" s="2">
        <v>84712</v>
      </c>
      <c r="G1395" s="2">
        <v>1473</v>
      </c>
      <c r="H1395" s="2">
        <v>3343.71</v>
      </c>
      <c r="I1395" s="2">
        <v>74</v>
      </c>
      <c r="J1395" s="2">
        <v>3310.43</v>
      </c>
    </row>
    <row r="1396" spans="1:10" x14ac:dyDescent="0.45">
      <c r="A1396" s="2" t="s">
        <v>380</v>
      </c>
      <c r="B1396" s="2" t="s">
        <v>15</v>
      </c>
      <c r="C1396" s="2" t="s">
        <v>24</v>
      </c>
      <c r="D1396" s="2" t="s">
        <v>17</v>
      </c>
      <c r="E1396" s="2" t="s">
        <v>51</v>
      </c>
      <c r="F1396" s="2">
        <v>115760</v>
      </c>
      <c r="G1396" s="2">
        <v>2558</v>
      </c>
      <c r="H1396" s="2">
        <v>8160.02</v>
      </c>
      <c r="I1396" s="2">
        <v>164</v>
      </c>
      <c r="J1396" s="2">
        <v>37092.550000000003</v>
      </c>
    </row>
    <row r="1397" spans="1:10" x14ac:dyDescent="0.45">
      <c r="A1397" s="2" t="s">
        <v>229</v>
      </c>
      <c r="B1397" s="2" t="s">
        <v>15</v>
      </c>
      <c r="C1397" s="2" t="s">
        <v>16</v>
      </c>
      <c r="D1397" s="2" t="s">
        <v>17</v>
      </c>
      <c r="E1397" s="2" t="s">
        <v>30</v>
      </c>
      <c r="F1397" s="2">
        <v>187831</v>
      </c>
      <c r="G1397" s="2">
        <v>7306</v>
      </c>
      <c r="H1397" s="2">
        <v>10009.219999999999</v>
      </c>
      <c r="I1397" s="2">
        <v>321</v>
      </c>
      <c r="J1397" s="2">
        <v>91963.37</v>
      </c>
    </row>
    <row r="1398" spans="1:10" x14ac:dyDescent="0.45">
      <c r="A1398" s="2" t="s">
        <v>254</v>
      </c>
      <c r="B1398" s="2" t="s">
        <v>35</v>
      </c>
      <c r="C1398" s="2" t="s">
        <v>24</v>
      </c>
      <c r="D1398" s="2" t="s">
        <v>17</v>
      </c>
      <c r="E1398" s="2" t="s">
        <v>22</v>
      </c>
      <c r="F1398" s="2">
        <v>72278</v>
      </c>
      <c r="G1398" s="2">
        <v>2421</v>
      </c>
      <c r="H1398" s="2">
        <v>3123.09</v>
      </c>
      <c r="I1398" s="2">
        <v>26</v>
      </c>
      <c r="J1398" s="2">
        <v>5625.44</v>
      </c>
    </row>
    <row r="1399" spans="1:10" x14ac:dyDescent="0.45">
      <c r="A1399" s="2" t="s">
        <v>388</v>
      </c>
      <c r="B1399" s="2" t="s">
        <v>15</v>
      </c>
      <c r="C1399" s="2" t="s">
        <v>16</v>
      </c>
      <c r="D1399" s="2" t="s">
        <v>21</v>
      </c>
      <c r="E1399" s="2" t="s">
        <v>26</v>
      </c>
      <c r="F1399" s="2">
        <v>121107</v>
      </c>
      <c r="G1399" s="2">
        <v>3148</v>
      </c>
      <c r="H1399" s="2">
        <v>7523.72</v>
      </c>
      <c r="I1399" s="2">
        <v>243</v>
      </c>
      <c r="J1399" s="2">
        <v>33241.31</v>
      </c>
    </row>
    <row r="1400" spans="1:10" x14ac:dyDescent="0.45">
      <c r="A1400" s="2" t="s">
        <v>215</v>
      </c>
      <c r="B1400" s="2" t="s">
        <v>15</v>
      </c>
      <c r="C1400" s="2" t="s">
        <v>28</v>
      </c>
      <c r="D1400" s="2" t="s">
        <v>17</v>
      </c>
      <c r="E1400" s="2" t="s">
        <v>51</v>
      </c>
      <c r="F1400" s="2">
        <v>112930</v>
      </c>
      <c r="G1400" s="2">
        <v>2427</v>
      </c>
      <c r="H1400" s="2">
        <v>2305.65</v>
      </c>
      <c r="I1400" s="2">
        <v>53</v>
      </c>
      <c r="J1400" s="2">
        <v>10549.62</v>
      </c>
    </row>
    <row r="1401" spans="1:10" x14ac:dyDescent="0.45">
      <c r="A1401" s="2" t="s">
        <v>52</v>
      </c>
      <c r="B1401" s="2" t="s">
        <v>15</v>
      </c>
      <c r="C1401" s="2" t="s">
        <v>24</v>
      </c>
      <c r="D1401" s="2" t="s">
        <v>29</v>
      </c>
      <c r="E1401" s="2" t="s">
        <v>33</v>
      </c>
      <c r="F1401" s="2">
        <v>94767</v>
      </c>
      <c r="G1401" s="2">
        <v>4662</v>
      </c>
      <c r="H1401" s="2">
        <v>13519.8</v>
      </c>
      <c r="I1401" s="2">
        <v>136</v>
      </c>
      <c r="J1401" s="2">
        <v>33757.519999999997</v>
      </c>
    </row>
    <row r="1402" spans="1:10" x14ac:dyDescent="0.45">
      <c r="A1402" s="2" t="s">
        <v>146</v>
      </c>
      <c r="B1402" s="2" t="s">
        <v>20</v>
      </c>
      <c r="C1402" s="2" t="s">
        <v>38</v>
      </c>
      <c r="D1402" s="2" t="s">
        <v>41</v>
      </c>
      <c r="E1402" s="2" t="s">
        <v>51</v>
      </c>
      <c r="F1402" s="2">
        <v>189933</v>
      </c>
      <c r="G1402" s="2">
        <v>13295</v>
      </c>
      <c r="H1402" s="2">
        <v>13693.85</v>
      </c>
      <c r="I1402" s="2">
        <v>284</v>
      </c>
      <c r="J1402" s="2">
        <v>45485.98</v>
      </c>
    </row>
    <row r="1403" spans="1:10" x14ac:dyDescent="0.45">
      <c r="A1403" s="2" t="s">
        <v>211</v>
      </c>
      <c r="B1403" s="2" t="s">
        <v>35</v>
      </c>
      <c r="C1403" s="2" t="s">
        <v>28</v>
      </c>
      <c r="D1403" s="2" t="s">
        <v>17</v>
      </c>
      <c r="E1403" s="2" t="s">
        <v>33</v>
      </c>
      <c r="F1403" s="2">
        <v>17281</v>
      </c>
      <c r="G1403" s="2">
        <v>793</v>
      </c>
      <c r="H1403" s="2">
        <v>935.74</v>
      </c>
      <c r="I1403" s="2">
        <v>46</v>
      </c>
      <c r="J1403" s="2">
        <v>12594.97</v>
      </c>
    </row>
    <row r="1404" spans="1:10" x14ac:dyDescent="0.45">
      <c r="A1404" s="2" t="s">
        <v>367</v>
      </c>
      <c r="B1404" s="2" t="s">
        <v>15</v>
      </c>
      <c r="C1404" s="2" t="s">
        <v>24</v>
      </c>
      <c r="D1404" s="2" t="s">
        <v>17</v>
      </c>
      <c r="E1404" s="2" t="s">
        <v>22</v>
      </c>
      <c r="F1404" s="2">
        <v>41388</v>
      </c>
      <c r="G1404" s="2">
        <v>964</v>
      </c>
      <c r="H1404" s="2">
        <v>2930.56</v>
      </c>
      <c r="I1404" s="2">
        <v>72</v>
      </c>
      <c r="J1404" s="2">
        <v>19679.400000000001</v>
      </c>
    </row>
    <row r="1405" spans="1:10" x14ac:dyDescent="0.45">
      <c r="A1405" s="2" t="s">
        <v>135</v>
      </c>
      <c r="B1405" s="2" t="s">
        <v>15</v>
      </c>
      <c r="C1405" s="2" t="s">
        <v>28</v>
      </c>
      <c r="D1405" s="2" t="s">
        <v>21</v>
      </c>
      <c r="E1405" s="2" t="s">
        <v>26</v>
      </c>
      <c r="F1405" s="2">
        <v>52083</v>
      </c>
      <c r="G1405" s="2">
        <v>2781</v>
      </c>
      <c r="H1405" s="2">
        <v>7341.84</v>
      </c>
      <c r="I1405" s="2">
        <v>160</v>
      </c>
      <c r="J1405" s="2">
        <v>39686.47</v>
      </c>
    </row>
    <row r="1406" spans="1:10" x14ac:dyDescent="0.45">
      <c r="A1406" s="2" t="s">
        <v>380</v>
      </c>
      <c r="B1406" s="2" t="s">
        <v>15</v>
      </c>
      <c r="C1406" s="2" t="s">
        <v>24</v>
      </c>
      <c r="D1406" s="2" t="s">
        <v>41</v>
      </c>
      <c r="E1406" s="2" t="s">
        <v>18</v>
      </c>
      <c r="F1406" s="2">
        <v>110109</v>
      </c>
      <c r="G1406" s="2">
        <v>2378</v>
      </c>
      <c r="H1406" s="2">
        <v>7585.82</v>
      </c>
      <c r="I1406" s="2">
        <v>41</v>
      </c>
      <c r="J1406" s="2">
        <v>6931.99</v>
      </c>
    </row>
    <row r="1407" spans="1:10" x14ac:dyDescent="0.45">
      <c r="A1407" s="2" t="s">
        <v>212</v>
      </c>
      <c r="B1407" s="2" t="s">
        <v>20</v>
      </c>
      <c r="C1407" s="2" t="s">
        <v>38</v>
      </c>
      <c r="D1407" s="2" t="s">
        <v>17</v>
      </c>
      <c r="E1407" s="2" t="s">
        <v>33</v>
      </c>
      <c r="F1407" s="2">
        <v>73743</v>
      </c>
      <c r="G1407" s="2">
        <v>1991</v>
      </c>
      <c r="H1407" s="2">
        <v>3524.07</v>
      </c>
      <c r="I1407" s="2">
        <v>155</v>
      </c>
      <c r="J1407" s="2">
        <v>29721.14</v>
      </c>
    </row>
    <row r="1408" spans="1:10" x14ac:dyDescent="0.45">
      <c r="A1408" s="2" t="s">
        <v>218</v>
      </c>
      <c r="B1408" s="2" t="s">
        <v>15</v>
      </c>
      <c r="C1408" s="2" t="s">
        <v>28</v>
      </c>
      <c r="D1408" s="2" t="s">
        <v>25</v>
      </c>
      <c r="E1408" s="2" t="s">
        <v>54</v>
      </c>
      <c r="F1408" s="2">
        <v>79189</v>
      </c>
      <c r="G1408" s="2">
        <v>4315</v>
      </c>
      <c r="H1408" s="2">
        <v>3969.8</v>
      </c>
      <c r="I1408" s="2">
        <v>197</v>
      </c>
      <c r="J1408" s="2">
        <v>21995.7</v>
      </c>
    </row>
    <row r="1409" spans="1:10" x14ac:dyDescent="0.45">
      <c r="A1409" s="2" t="s">
        <v>127</v>
      </c>
      <c r="B1409" s="2" t="s">
        <v>35</v>
      </c>
      <c r="C1409" s="2" t="s">
        <v>16</v>
      </c>
      <c r="D1409" s="2" t="s">
        <v>17</v>
      </c>
      <c r="E1409" s="2" t="s">
        <v>26</v>
      </c>
      <c r="F1409" s="2">
        <v>179943</v>
      </c>
      <c r="G1409" s="2">
        <v>4174</v>
      </c>
      <c r="H1409" s="2">
        <v>9182.7999999999993</v>
      </c>
      <c r="I1409" s="2">
        <v>289</v>
      </c>
      <c r="J1409" s="2">
        <v>32129.87</v>
      </c>
    </row>
    <row r="1410" spans="1:10" x14ac:dyDescent="0.45">
      <c r="A1410" s="2" t="s">
        <v>238</v>
      </c>
      <c r="B1410" s="2" t="s">
        <v>15</v>
      </c>
      <c r="C1410" s="2" t="s">
        <v>16</v>
      </c>
      <c r="D1410" s="2" t="s">
        <v>41</v>
      </c>
      <c r="E1410" s="2" t="s">
        <v>33</v>
      </c>
      <c r="F1410" s="2">
        <v>22414</v>
      </c>
      <c r="G1410" s="2">
        <v>472</v>
      </c>
      <c r="H1410" s="2">
        <v>1184.72</v>
      </c>
      <c r="I1410" s="2">
        <v>34</v>
      </c>
      <c r="J1410" s="2">
        <v>7160.99</v>
      </c>
    </row>
    <row r="1411" spans="1:10" x14ac:dyDescent="0.45">
      <c r="A1411" s="2" t="s">
        <v>378</v>
      </c>
      <c r="B1411" s="2" t="s">
        <v>35</v>
      </c>
      <c r="C1411" s="2" t="s">
        <v>24</v>
      </c>
      <c r="D1411" s="2" t="s">
        <v>29</v>
      </c>
      <c r="E1411" s="2" t="s">
        <v>54</v>
      </c>
      <c r="F1411" s="2">
        <v>107299</v>
      </c>
      <c r="G1411" s="2">
        <v>2585</v>
      </c>
      <c r="H1411" s="2">
        <v>3412.2</v>
      </c>
      <c r="I1411" s="2">
        <v>110</v>
      </c>
      <c r="J1411" s="2">
        <v>23820.26</v>
      </c>
    </row>
    <row r="1412" spans="1:10" x14ac:dyDescent="0.45">
      <c r="A1412" s="2" t="s">
        <v>220</v>
      </c>
      <c r="B1412" s="2" t="s">
        <v>20</v>
      </c>
      <c r="C1412" s="2" t="s">
        <v>28</v>
      </c>
      <c r="D1412" s="2" t="s">
        <v>29</v>
      </c>
      <c r="E1412" s="2" t="s">
        <v>54</v>
      </c>
      <c r="F1412" s="2">
        <v>68815</v>
      </c>
      <c r="G1412" s="2">
        <v>3172</v>
      </c>
      <c r="H1412" s="2">
        <v>2505.88</v>
      </c>
      <c r="I1412" s="2">
        <v>76</v>
      </c>
      <c r="J1412" s="2">
        <v>2602.5700000000002</v>
      </c>
    </row>
    <row r="1413" spans="1:10" x14ac:dyDescent="0.45">
      <c r="A1413" s="2" t="s">
        <v>381</v>
      </c>
      <c r="B1413" s="2" t="s">
        <v>15</v>
      </c>
      <c r="C1413" s="2" t="s">
        <v>38</v>
      </c>
      <c r="D1413" s="2" t="s">
        <v>21</v>
      </c>
      <c r="E1413" s="2" t="s">
        <v>30</v>
      </c>
      <c r="F1413" s="2">
        <v>164457</v>
      </c>
      <c r="G1413" s="2">
        <v>8321</v>
      </c>
      <c r="H1413" s="2">
        <v>14644.96</v>
      </c>
      <c r="I1413" s="2">
        <v>610</v>
      </c>
      <c r="J1413" s="2">
        <v>27104.12</v>
      </c>
    </row>
    <row r="1414" spans="1:10" x14ac:dyDescent="0.45">
      <c r="A1414" s="2" t="s">
        <v>366</v>
      </c>
      <c r="B1414" s="2" t="s">
        <v>15</v>
      </c>
      <c r="C1414" s="2" t="s">
        <v>38</v>
      </c>
      <c r="D1414" s="2" t="s">
        <v>41</v>
      </c>
      <c r="E1414" s="2" t="s">
        <v>51</v>
      </c>
      <c r="F1414" s="2">
        <v>105477</v>
      </c>
      <c r="G1414" s="2">
        <v>6391</v>
      </c>
      <c r="H1414" s="2">
        <v>11759.44</v>
      </c>
      <c r="I1414" s="2">
        <v>116</v>
      </c>
      <c r="J1414" s="2">
        <v>17001.07</v>
      </c>
    </row>
    <row r="1415" spans="1:10" x14ac:dyDescent="0.45">
      <c r="A1415" s="2" t="s">
        <v>302</v>
      </c>
      <c r="B1415" s="2" t="s">
        <v>15</v>
      </c>
      <c r="C1415" s="2" t="s">
        <v>24</v>
      </c>
      <c r="D1415" s="2" t="s">
        <v>17</v>
      </c>
      <c r="E1415" s="2" t="s">
        <v>22</v>
      </c>
      <c r="F1415" s="2">
        <v>160816</v>
      </c>
      <c r="G1415" s="2">
        <v>9745</v>
      </c>
      <c r="H1415" s="2">
        <v>11888.9</v>
      </c>
      <c r="I1415" s="2">
        <v>553</v>
      </c>
      <c r="J1415" s="2">
        <v>62922.41</v>
      </c>
    </row>
    <row r="1416" spans="1:10" x14ac:dyDescent="0.45">
      <c r="A1416" s="2" t="s">
        <v>245</v>
      </c>
      <c r="B1416" s="2" t="s">
        <v>15</v>
      </c>
      <c r="C1416" s="2" t="s">
        <v>38</v>
      </c>
      <c r="D1416" s="2" t="s">
        <v>25</v>
      </c>
      <c r="E1416" s="2" t="s">
        <v>22</v>
      </c>
      <c r="F1416" s="2">
        <v>23904</v>
      </c>
      <c r="G1416" s="2">
        <v>609</v>
      </c>
      <c r="H1416" s="2">
        <v>1010.94</v>
      </c>
      <c r="I1416" s="2">
        <v>35</v>
      </c>
      <c r="J1416" s="2">
        <v>7211.31</v>
      </c>
    </row>
    <row r="1417" spans="1:10" x14ac:dyDescent="0.45">
      <c r="A1417" s="2" t="s">
        <v>50</v>
      </c>
      <c r="B1417" s="2" t="s">
        <v>35</v>
      </c>
      <c r="C1417" s="2" t="s">
        <v>38</v>
      </c>
      <c r="D1417" s="2" t="s">
        <v>29</v>
      </c>
      <c r="E1417" s="2" t="s">
        <v>26</v>
      </c>
      <c r="F1417" s="2">
        <v>60448</v>
      </c>
      <c r="G1417" s="2">
        <v>1493</v>
      </c>
      <c r="H1417" s="2">
        <v>3418.97</v>
      </c>
      <c r="I1417" s="2">
        <v>89</v>
      </c>
      <c r="J1417" s="2">
        <v>24577.78</v>
      </c>
    </row>
    <row r="1418" spans="1:10" x14ac:dyDescent="0.45">
      <c r="A1418" s="2" t="s">
        <v>103</v>
      </c>
      <c r="B1418" s="2" t="s">
        <v>20</v>
      </c>
      <c r="C1418" s="2" t="s">
        <v>24</v>
      </c>
      <c r="D1418" s="2" t="s">
        <v>17</v>
      </c>
      <c r="E1418" s="2" t="s">
        <v>18</v>
      </c>
      <c r="F1418" s="2">
        <v>138332</v>
      </c>
      <c r="G1418" s="2">
        <v>9558</v>
      </c>
      <c r="H1418" s="2">
        <v>3345.3</v>
      </c>
      <c r="I1418" s="2">
        <v>195</v>
      </c>
      <c r="J1418" s="2">
        <v>26087.06</v>
      </c>
    </row>
    <row r="1419" spans="1:10" x14ac:dyDescent="0.45">
      <c r="A1419" s="2" t="s">
        <v>320</v>
      </c>
      <c r="B1419" s="2" t="s">
        <v>15</v>
      </c>
      <c r="C1419" s="2" t="s">
        <v>24</v>
      </c>
      <c r="D1419" s="2" t="s">
        <v>29</v>
      </c>
      <c r="E1419" s="2" t="s">
        <v>51</v>
      </c>
      <c r="F1419" s="2">
        <v>112399</v>
      </c>
      <c r="G1419" s="2">
        <v>3585</v>
      </c>
      <c r="H1419" s="2">
        <v>11149.35</v>
      </c>
      <c r="I1419" s="2">
        <v>91</v>
      </c>
      <c r="J1419" s="2">
        <v>20140.14</v>
      </c>
    </row>
    <row r="1420" spans="1:10" x14ac:dyDescent="0.45">
      <c r="A1420" s="2" t="s">
        <v>346</v>
      </c>
      <c r="B1420" s="2" t="s">
        <v>15</v>
      </c>
      <c r="C1420" s="2" t="s">
        <v>24</v>
      </c>
      <c r="D1420" s="2" t="s">
        <v>41</v>
      </c>
      <c r="E1420" s="2" t="s">
        <v>30</v>
      </c>
      <c r="F1420" s="2">
        <v>180069</v>
      </c>
      <c r="G1420" s="2">
        <v>5780</v>
      </c>
      <c r="H1420" s="2">
        <v>8496.6</v>
      </c>
      <c r="I1420" s="2">
        <v>272</v>
      </c>
      <c r="J1420" s="2">
        <v>74348.97</v>
      </c>
    </row>
    <row r="1421" spans="1:10" x14ac:dyDescent="0.45">
      <c r="A1421" s="2" t="s">
        <v>106</v>
      </c>
      <c r="B1421" s="2" t="s">
        <v>35</v>
      </c>
      <c r="C1421" s="2" t="s">
        <v>28</v>
      </c>
      <c r="D1421" s="2" t="s">
        <v>17</v>
      </c>
      <c r="E1421" s="2" t="s">
        <v>26</v>
      </c>
      <c r="F1421" s="2">
        <v>155354</v>
      </c>
      <c r="G1421" s="2">
        <v>3371</v>
      </c>
      <c r="H1421" s="2">
        <v>4281.17</v>
      </c>
      <c r="I1421" s="2">
        <v>100</v>
      </c>
      <c r="J1421" s="2">
        <v>7916.95</v>
      </c>
    </row>
    <row r="1422" spans="1:10" x14ac:dyDescent="0.45">
      <c r="A1422" s="2" t="s">
        <v>317</v>
      </c>
      <c r="B1422" s="2" t="s">
        <v>35</v>
      </c>
      <c r="C1422" s="2" t="s">
        <v>28</v>
      </c>
      <c r="D1422" s="2" t="s">
        <v>17</v>
      </c>
      <c r="E1422" s="2" t="s">
        <v>18</v>
      </c>
      <c r="F1422" s="2">
        <v>163564</v>
      </c>
      <c r="G1422" s="2">
        <v>1946</v>
      </c>
      <c r="H1422" s="2">
        <v>1284.3599999999999</v>
      </c>
      <c r="I1422" s="2">
        <v>72</v>
      </c>
      <c r="J1422" s="2">
        <v>6787.22</v>
      </c>
    </row>
    <row r="1423" spans="1:10" x14ac:dyDescent="0.45">
      <c r="A1423" s="2" t="s">
        <v>89</v>
      </c>
      <c r="B1423" s="2" t="s">
        <v>20</v>
      </c>
      <c r="C1423" s="2" t="s">
        <v>38</v>
      </c>
      <c r="D1423" s="2" t="s">
        <v>17</v>
      </c>
      <c r="E1423" s="2" t="s">
        <v>22</v>
      </c>
      <c r="F1423" s="2">
        <v>146587</v>
      </c>
      <c r="G1423" s="2">
        <v>5995</v>
      </c>
      <c r="H1423" s="2">
        <v>9112.4</v>
      </c>
      <c r="I1423" s="2">
        <v>161</v>
      </c>
      <c r="J1423" s="2">
        <v>27684.26</v>
      </c>
    </row>
    <row r="1424" spans="1:10" x14ac:dyDescent="0.45">
      <c r="A1424" s="2" t="s">
        <v>230</v>
      </c>
      <c r="B1424" s="2" t="s">
        <v>15</v>
      </c>
      <c r="C1424" s="2" t="s">
        <v>38</v>
      </c>
      <c r="D1424" s="2" t="s">
        <v>25</v>
      </c>
      <c r="E1424" s="2" t="s">
        <v>26</v>
      </c>
      <c r="F1424" s="2">
        <v>79843</v>
      </c>
      <c r="G1424" s="2">
        <v>2427</v>
      </c>
      <c r="H1424" s="2">
        <v>3470.61</v>
      </c>
      <c r="I1424" s="2">
        <v>127</v>
      </c>
      <c r="J1424" s="2">
        <v>27833.99</v>
      </c>
    </row>
    <row r="1425" spans="1:10" x14ac:dyDescent="0.45">
      <c r="A1425" s="2" t="s">
        <v>312</v>
      </c>
      <c r="B1425" s="2" t="s">
        <v>35</v>
      </c>
      <c r="C1425" s="2" t="s">
        <v>24</v>
      </c>
      <c r="D1425" s="2" t="s">
        <v>29</v>
      </c>
      <c r="E1425" s="2" t="s">
        <v>33</v>
      </c>
      <c r="F1425" s="2">
        <v>128245</v>
      </c>
      <c r="G1425" s="2">
        <v>2949</v>
      </c>
      <c r="H1425" s="2">
        <v>4688.91</v>
      </c>
      <c r="I1425" s="2">
        <v>85</v>
      </c>
      <c r="J1425" s="2">
        <v>8616.7199999999993</v>
      </c>
    </row>
    <row r="1426" spans="1:10" x14ac:dyDescent="0.45">
      <c r="A1426" s="2" t="s">
        <v>306</v>
      </c>
      <c r="B1426" s="2" t="s">
        <v>15</v>
      </c>
      <c r="C1426" s="2" t="s">
        <v>28</v>
      </c>
      <c r="D1426" s="2" t="s">
        <v>17</v>
      </c>
      <c r="E1426" s="2" t="s">
        <v>54</v>
      </c>
      <c r="F1426" s="2">
        <v>161252</v>
      </c>
      <c r="G1426" s="2">
        <v>8046</v>
      </c>
      <c r="H1426" s="2">
        <v>24540.3</v>
      </c>
      <c r="I1426" s="2">
        <v>550</v>
      </c>
      <c r="J1426" s="2">
        <v>130994.6</v>
      </c>
    </row>
    <row r="1427" spans="1:10" x14ac:dyDescent="0.45">
      <c r="A1427" s="2" t="s">
        <v>334</v>
      </c>
      <c r="B1427" s="2" t="s">
        <v>20</v>
      </c>
      <c r="C1427" s="2" t="s">
        <v>28</v>
      </c>
      <c r="D1427" s="2" t="s">
        <v>29</v>
      </c>
      <c r="E1427" s="2" t="s">
        <v>30</v>
      </c>
      <c r="F1427" s="2">
        <v>107262</v>
      </c>
      <c r="G1427" s="2">
        <v>5127</v>
      </c>
      <c r="H1427" s="2">
        <v>6357.48</v>
      </c>
      <c r="I1427" s="2">
        <v>343</v>
      </c>
      <c r="J1427" s="2">
        <v>93405.13</v>
      </c>
    </row>
    <row r="1428" spans="1:10" x14ac:dyDescent="0.45">
      <c r="A1428" s="2" t="s">
        <v>65</v>
      </c>
      <c r="B1428" s="2" t="s">
        <v>35</v>
      </c>
      <c r="C1428" s="2" t="s">
        <v>24</v>
      </c>
      <c r="D1428" s="2" t="s">
        <v>29</v>
      </c>
      <c r="E1428" s="2" t="s">
        <v>30</v>
      </c>
      <c r="F1428" s="2">
        <v>22139</v>
      </c>
      <c r="G1428" s="2">
        <v>458</v>
      </c>
      <c r="H1428" s="2">
        <v>196.94</v>
      </c>
      <c r="I1428" s="2">
        <v>8</v>
      </c>
      <c r="J1428" s="2">
        <v>2367.39</v>
      </c>
    </row>
    <row r="1429" spans="1:10" x14ac:dyDescent="0.45">
      <c r="A1429" s="2" t="s">
        <v>37</v>
      </c>
      <c r="B1429" s="2" t="s">
        <v>35</v>
      </c>
      <c r="C1429" s="2" t="s">
        <v>28</v>
      </c>
      <c r="D1429" s="2" t="s">
        <v>29</v>
      </c>
      <c r="E1429" s="2" t="s">
        <v>51</v>
      </c>
      <c r="F1429" s="2">
        <v>30618</v>
      </c>
      <c r="G1429" s="2">
        <v>719</v>
      </c>
      <c r="H1429" s="2">
        <v>913.13</v>
      </c>
      <c r="I1429" s="2">
        <v>40</v>
      </c>
      <c r="J1429" s="2">
        <v>6289.61</v>
      </c>
    </row>
    <row r="1430" spans="1:10" x14ac:dyDescent="0.45">
      <c r="A1430" s="2" t="s">
        <v>308</v>
      </c>
      <c r="B1430" s="2" t="s">
        <v>15</v>
      </c>
      <c r="C1430" s="2" t="s">
        <v>16</v>
      </c>
      <c r="D1430" s="2" t="s">
        <v>25</v>
      </c>
      <c r="E1430" s="2" t="s">
        <v>33</v>
      </c>
      <c r="F1430" s="2">
        <v>78606</v>
      </c>
      <c r="G1430" s="2">
        <v>3914</v>
      </c>
      <c r="H1430" s="2">
        <v>4814.22</v>
      </c>
      <c r="I1430" s="2">
        <v>88</v>
      </c>
      <c r="J1430" s="2">
        <v>6101.96</v>
      </c>
    </row>
    <row r="1431" spans="1:10" x14ac:dyDescent="0.45">
      <c r="A1431" s="2" t="s">
        <v>31</v>
      </c>
      <c r="B1431" s="2" t="s">
        <v>15</v>
      </c>
      <c r="C1431" s="2" t="s">
        <v>38</v>
      </c>
      <c r="D1431" s="2" t="s">
        <v>29</v>
      </c>
      <c r="E1431" s="2" t="s">
        <v>30</v>
      </c>
      <c r="F1431" s="2">
        <v>31885</v>
      </c>
      <c r="G1431" s="2">
        <v>1613</v>
      </c>
      <c r="H1431" s="2">
        <v>1629.13</v>
      </c>
      <c r="I1431" s="2">
        <v>67</v>
      </c>
      <c r="J1431" s="2">
        <v>19023.45</v>
      </c>
    </row>
    <row r="1432" spans="1:10" x14ac:dyDescent="0.45">
      <c r="A1432" s="2" t="s">
        <v>116</v>
      </c>
      <c r="B1432" s="2" t="s">
        <v>20</v>
      </c>
      <c r="C1432" s="2" t="s">
        <v>28</v>
      </c>
      <c r="D1432" s="2" t="s">
        <v>21</v>
      </c>
      <c r="E1432" s="2" t="s">
        <v>33</v>
      </c>
      <c r="F1432" s="2">
        <v>11713</v>
      </c>
      <c r="G1432" s="2">
        <v>334</v>
      </c>
      <c r="H1432" s="2">
        <v>487.64</v>
      </c>
      <c r="I1432" s="2">
        <v>13</v>
      </c>
      <c r="J1432" s="2">
        <v>2344.33</v>
      </c>
    </row>
    <row r="1433" spans="1:10" x14ac:dyDescent="0.45">
      <c r="A1433" s="2" t="s">
        <v>109</v>
      </c>
      <c r="B1433" s="2" t="s">
        <v>35</v>
      </c>
      <c r="C1433" s="2" t="s">
        <v>28</v>
      </c>
      <c r="D1433" s="2" t="s">
        <v>41</v>
      </c>
      <c r="E1433" s="2" t="s">
        <v>22</v>
      </c>
      <c r="F1433" s="2">
        <v>26637</v>
      </c>
      <c r="G1433" s="2">
        <v>479</v>
      </c>
      <c r="H1433" s="2">
        <v>397.57</v>
      </c>
      <c r="I1433" s="2">
        <v>35</v>
      </c>
      <c r="J1433" s="2">
        <v>1488.52</v>
      </c>
    </row>
    <row r="1434" spans="1:10" x14ac:dyDescent="0.45">
      <c r="A1434" s="2" t="s">
        <v>387</v>
      </c>
      <c r="B1434" s="2" t="s">
        <v>15</v>
      </c>
      <c r="C1434" s="2" t="s">
        <v>38</v>
      </c>
      <c r="D1434" s="2" t="s">
        <v>21</v>
      </c>
      <c r="E1434" s="2" t="s">
        <v>51</v>
      </c>
      <c r="F1434" s="2">
        <v>44387</v>
      </c>
      <c r="G1434" s="2">
        <v>1886</v>
      </c>
      <c r="H1434" s="2">
        <v>5299.66</v>
      </c>
      <c r="I1434" s="2">
        <v>112</v>
      </c>
      <c r="J1434" s="2">
        <v>16115.2</v>
      </c>
    </row>
    <row r="1435" spans="1:10" x14ac:dyDescent="0.45">
      <c r="A1435" s="2" t="s">
        <v>273</v>
      </c>
      <c r="B1435" s="2" t="s">
        <v>35</v>
      </c>
      <c r="C1435" s="2" t="s">
        <v>16</v>
      </c>
      <c r="D1435" s="2" t="s">
        <v>41</v>
      </c>
      <c r="E1435" s="2" t="s">
        <v>22</v>
      </c>
      <c r="F1435" s="2">
        <v>91392</v>
      </c>
      <c r="G1435" s="2">
        <v>2705</v>
      </c>
      <c r="H1435" s="2">
        <v>5518.2</v>
      </c>
      <c r="I1435" s="2">
        <v>87</v>
      </c>
      <c r="J1435" s="2">
        <v>12147.08</v>
      </c>
    </row>
    <row r="1436" spans="1:10" x14ac:dyDescent="0.45">
      <c r="A1436" s="2" t="s">
        <v>261</v>
      </c>
      <c r="B1436" s="2" t="s">
        <v>20</v>
      </c>
      <c r="C1436" s="2" t="s">
        <v>16</v>
      </c>
      <c r="D1436" s="2" t="s">
        <v>21</v>
      </c>
      <c r="E1436" s="2" t="s">
        <v>22</v>
      </c>
      <c r="F1436" s="2">
        <v>31727</v>
      </c>
      <c r="G1436" s="2">
        <v>2233</v>
      </c>
      <c r="H1436" s="2">
        <v>1027.18</v>
      </c>
      <c r="I1436" s="2">
        <v>74</v>
      </c>
      <c r="J1436" s="2">
        <v>9946.57</v>
      </c>
    </row>
    <row r="1437" spans="1:10" x14ac:dyDescent="0.45">
      <c r="A1437" s="2" t="s">
        <v>108</v>
      </c>
      <c r="B1437" s="2" t="s">
        <v>35</v>
      </c>
      <c r="C1437" s="2" t="s">
        <v>28</v>
      </c>
      <c r="D1437" s="2" t="s">
        <v>29</v>
      </c>
      <c r="E1437" s="2" t="s">
        <v>30</v>
      </c>
      <c r="F1437" s="2">
        <v>154676</v>
      </c>
      <c r="G1437" s="2">
        <v>1624</v>
      </c>
      <c r="H1437" s="2">
        <v>2744.56</v>
      </c>
      <c r="I1437" s="2">
        <v>26</v>
      </c>
      <c r="J1437" s="2">
        <v>1813.36</v>
      </c>
    </row>
    <row r="1438" spans="1:10" x14ac:dyDescent="0.45">
      <c r="A1438" s="2" t="s">
        <v>34</v>
      </c>
      <c r="B1438" s="2" t="s">
        <v>35</v>
      </c>
      <c r="C1438" s="2" t="s">
        <v>28</v>
      </c>
      <c r="D1438" s="2" t="s">
        <v>41</v>
      </c>
      <c r="E1438" s="2" t="s">
        <v>22</v>
      </c>
      <c r="F1438" s="2">
        <v>122710</v>
      </c>
      <c r="G1438" s="2">
        <v>5129</v>
      </c>
      <c r="H1438" s="2">
        <v>5231.58</v>
      </c>
      <c r="I1438" s="2">
        <v>157</v>
      </c>
      <c r="J1438" s="2">
        <v>24344.87</v>
      </c>
    </row>
    <row r="1439" spans="1:10" x14ac:dyDescent="0.45">
      <c r="A1439" s="2" t="s">
        <v>162</v>
      </c>
      <c r="B1439" s="2" t="s">
        <v>20</v>
      </c>
      <c r="C1439" s="2" t="s">
        <v>16</v>
      </c>
      <c r="D1439" s="2" t="s">
        <v>21</v>
      </c>
      <c r="E1439" s="2" t="s">
        <v>33</v>
      </c>
      <c r="F1439" s="2">
        <v>194117</v>
      </c>
      <c r="G1439" s="2">
        <v>16422</v>
      </c>
      <c r="H1439" s="2">
        <v>21841.26</v>
      </c>
      <c r="I1439" s="2">
        <v>1133</v>
      </c>
      <c r="J1439" s="2">
        <v>121361.12</v>
      </c>
    </row>
    <row r="1440" spans="1:10" x14ac:dyDescent="0.45">
      <c r="A1440" s="2" t="s">
        <v>337</v>
      </c>
      <c r="B1440" s="2" t="s">
        <v>20</v>
      </c>
      <c r="C1440" s="2" t="s">
        <v>28</v>
      </c>
      <c r="D1440" s="2" t="s">
        <v>25</v>
      </c>
      <c r="E1440" s="2" t="s">
        <v>54</v>
      </c>
      <c r="F1440" s="2">
        <v>23043</v>
      </c>
      <c r="G1440" s="2">
        <v>1534</v>
      </c>
      <c r="H1440" s="2">
        <v>2086.2399999999998</v>
      </c>
      <c r="I1440" s="2">
        <v>119</v>
      </c>
      <c r="J1440" s="2">
        <v>6284.67</v>
      </c>
    </row>
    <row r="1441" spans="1:10" x14ac:dyDescent="0.45">
      <c r="A1441" s="2" t="s">
        <v>310</v>
      </c>
      <c r="B1441" s="2" t="s">
        <v>15</v>
      </c>
      <c r="C1441" s="2" t="s">
        <v>16</v>
      </c>
      <c r="D1441" s="2" t="s">
        <v>17</v>
      </c>
      <c r="E1441" s="2" t="s">
        <v>26</v>
      </c>
      <c r="F1441" s="2">
        <v>21198</v>
      </c>
      <c r="G1441" s="2">
        <v>703</v>
      </c>
      <c r="H1441" s="2">
        <v>1377.88</v>
      </c>
      <c r="I1441" s="2">
        <v>28</v>
      </c>
      <c r="J1441" s="2">
        <v>6226.83</v>
      </c>
    </row>
    <row r="1442" spans="1:10" x14ac:dyDescent="0.45">
      <c r="A1442" s="2" t="s">
        <v>267</v>
      </c>
      <c r="B1442" s="2" t="s">
        <v>35</v>
      </c>
      <c r="C1442" s="2" t="s">
        <v>38</v>
      </c>
      <c r="D1442" s="2" t="s">
        <v>25</v>
      </c>
      <c r="E1442" s="2" t="s">
        <v>51</v>
      </c>
      <c r="F1442" s="2">
        <v>132208</v>
      </c>
      <c r="G1442" s="2">
        <v>3133</v>
      </c>
      <c r="H1442" s="2">
        <v>4918.8100000000004</v>
      </c>
      <c r="I1442" s="2">
        <v>183</v>
      </c>
      <c r="J1442" s="2">
        <v>53669.78</v>
      </c>
    </row>
    <row r="1443" spans="1:10" x14ac:dyDescent="0.45">
      <c r="A1443" s="2" t="s">
        <v>346</v>
      </c>
      <c r="B1443" s="2" t="s">
        <v>35</v>
      </c>
      <c r="C1443" s="2" t="s">
        <v>28</v>
      </c>
      <c r="D1443" s="2" t="s">
        <v>17</v>
      </c>
      <c r="E1443" s="2" t="s">
        <v>51</v>
      </c>
      <c r="F1443" s="2">
        <v>19040</v>
      </c>
      <c r="G1443" s="2">
        <v>784</v>
      </c>
      <c r="H1443" s="2">
        <v>1513.12</v>
      </c>
      <c r="I1443" s="2">
        <v>39</v>
      </c>
      <c r="J1443" s="2">
        <v>5591.9</v>
      </c>
    </row>
    <row r="1444" spans="1:10" x14ac:dyDescent="0.45">
      <c r="A1444" s="2" t="s">
        <v>341</v>
      </c>
      <c r="B1444" s="2" t="s">
        <v>15</v>
      </c>
      <c r="C1444" s="2" t="s">
        <v>38</v>
      </c>
      <c r="D1444" s="2" t="s">
        <v>25</v>
      </c>
      <c r="E1444" s="2" t="s">
        <v>51</v>
      </c>
      <c r="F1444" s="2">
        <v>157270</v>
      </c>
      <c r="G1444" s="2">
        <v>5535</v>
      </c>
      <c r="H1444" s="2">
        <v>5535</v>
      </c>
      <c r="I1444" s="2">
        <v>356</v>
      </c>
      <c r="J1444" s="2">
        <v>86412.59</v>
      </c>
    </row>
    <row r="1445" spans="1:10" x14ac:dyDescent="0.45">
      <c r="A1445" s="2" t="s">
        <v>112</v>
      </c>
      <c r="B1445" s="2" t="s">
        <v>15</v>
      </c>
      <c r="C1445" s="2" t="s">
        <v>24</v>
      </c>
      <c r="D1445" s="2" t="s">
        <v>41</v>
      </c>
      <c r="E1445" s="2" t="s">
        <v>22</v>
      </c>
      <c r="F1445" s="2">
        <v>33433</v>
      </c>
      <c r="G1445" s="2">
        <v>1698</v>
      </c>
      <c r="H1445" s="2">
        <v>4975.1400000000003</v>
      </c>
      <c r="I1445" s="2">
        <v>60</v>
      </c>
      <c r="J1445" s="2">
        <v>4216.8100000000004</v>
      </c>
    </row>
    <row r="1446" spans="1:10" x14ac:dyDescent="0.45">
      <c r="A1446" s="2" t="s">
        <v>137</v>
      </c>
      <c r="B1446" s="2" t="s">
        <v>35</v>
      </c>
      <c r="C1446" s="2" t="s">
        <v>24</v>
      </c>
      <c r="D1446" s="2" t="s">
        <v>17</v>
      </c>
      <c r="E1446" s="2" t="s">
        <v>30</v>
      </c>
      <c r="F1446" s="2">
        <v>94786</v>
      </c>
      <c r="G1446" s="2">
        <v>2682</v>
      </c>
      <c r="H1446" s="2">
        <v>4023</v>
      </c>
      <c r="I1446" s="2">
        <v>155</v>
      </c>
      <c r="J1446" s="2">
        <v>6510.51</v>
      </c>
    </row>
    <row r="1447" spans="1:10" x14ac:dyDescent="0.45">
      <c r="A1447" s="2" t="s">
        <v>311</v>
      </c>
      <c r="B1447" s="2" t="s">
        <v>35</v>
      </c>
      <c r="C1447" s="2" t="s">
        <v>38</v>
      </c>
      <c r="D1447" s="2" t="s">
        <v>41</v>
      </c>
      <c r="E1447" s="2" t="s">
        <v>54</v>
      </c>
      <c r="F1447" s="2">
        <v>144895</v>
      </c>
      <c r="G1447" s="2">
        <v>2158</v>
      </c>
      <c r="H1447" s="2">
        <v>4143.3599999999997</v>
      </c>
      <c r="I1447" s="2">
        <v>151</v>
      </c>
      <c r="J1447" s="2">
        <v>25541.81</v>
      </c>
    </row>
    <row r="1448" spans="1:10" x14ac:dyDescent="0.45">
      <c r="A1448" s="2" t="s">
        <v>348</v>
      </c>
      <c r="B1448" s="2" t="s">
        <v>35</v>
      </c>
      <c r="C1448" s="2" t="s">
        <v>38</v>
      </c>
      <c r="D1448" s="2" t="s">
        <v>17</v>
      </c>
      <c r="E1448" s="2" t="s">
        <v>30</v>
      </c>
      <c r="F1448" s="2">
        <v>57996</v>
      </c>
      <c r="G1448" s="2">
        <v>1705</v>
      </c>
      <c r="H1448" s="2">
        <v>3478.2</v>
      </c>
      <c r="I1448" s="2">
        <v>127</v>
      </c>
      <c r="J1448" s="2">
        <v>26935.06</v>
      </c>
    </row>
    <row r="1449" spans="1:10" x14ac:dyDescent="0.45">
      <c r="A1449" s="2" t="s">
        <v>245</v>
      </c>
      <c r="B1449" s="2" t="s">
        <v>15</v>
      </c>
      <c r="C1449" s="2" t="s">
        <v>28</v>
      </c>
      <c r="D1449" s="2" t="s">
        <v>25</v>
      </c>
      <c r="E1449" s="2" t="s">
        <v>33</v>
      </c>
      <c r="F1449" s="2">
        <v>154631</v>
      </c>
      <c r="G1449" s="2">
        <v>4793</v>
      </c>
      <c r="H1449" s="2">
        <v>15050.02</v>
      </c>
      <c r="I1449" s="2">
        <v>155</v>
      </c>
      <c r="J1449" s="2">
        <v>15403.3</v>
      </c>
    </row>
    <row r="1450" spans="1:10" x14ac:dyDescent="0.45">
      <c r="A1450" s="2" t="s">
        <v>99</v>
      </c>
      <c r="B1450" s="2" t="s">
        <v>35</v>
      </c>
      <c r="C1450" s="2" t="s">
        <v>24</v>
      </c>
      <c r="D1450" s="2" t="s">
        <v>29</v>
      </c>
      <c r="E1450" s="2" t="s">
        <v>30</v>
      </c>
      <c r="F1450" s="2">
        <v>56209</v>
      </c>
      <c r="G1450" s="2">
        <v>1405</v>
      </c>
      <c r="H1450" s="2">
        <v>3357.95</v>
      </c>
      <c r="I1450" s="2">
        <v>94</v>
      </c>
      <c r="J1450" s="2">
        <v>20195.05</v>
      </c>
    </row>
    <row r="1451" spans="1:10" x14ac:dyDescent="0.45">
      <c r="A1451" s="2" t="s">
        <v>241</v>
      </c>
      <c r="B1451" s="2" t="s">
        <v>20</v>
      </c>
      <c r="C1451" s="2" t="s">
        <v>24</v>
      </c>
      <c r="D1451" s="2" t="s">
        <v>29</v>
      </c>
      <c r="E1451" s="2" t="s">
        <v>33</v>
      </c>
      <c r="F1451" s="2">
        <v>187411</v>
      </c>
      <c r="G1451" s="2">
        <v>15667</v>
      </c>
      <c r="H1451" s="2">
        <v>6736.81</v>
      </c>
      <c r="I1451" s="2">
        <v>996</v>
      </c>
      <c r="J1451" s="2">
        <v>51799.95</v>
      </c>
    </row>
    <row r="1452" spans="1:10" x14ac:dyDescent="0.45">
      <c r="A1452" s="2" t="s">
        <v>132</v>
      </c>
      <c r="B1452" s="2" t="s">
        <v>15</v>
      </c>
      <c r="C1452" s="2" t="s">
        <v>24</v>
      </c>
      <c r="D1452" s="2" t="s">
        <v>17</v>
      </c>
      <c r="E1452" s="2" t="s">
        <v>51</v>
      </c>
      <c r="F1452" s="2">
        <v>46583</v>
      </c>
      <c r="G1452" s="2">
        <v>2319</v>
      </c>
      <c r="H1452" s="2">
        <v>6400.44</v>
      </c>
      <c r="I1452" s="2">
        <v>50</v>
      </c>
      <c r="J1452" s="2">
        <v>11413.39</v>
      </c>
    </row>
    <row r="1453" spans="1:10" x14ac:dyDescent="0.45">
      <c r="A1453" s="2" t="s">
        <v>194</v>
      </c>
      <c r="B1453" s="2" t="s">
        <v>35</v>
      </c>
      <c r="C1453" s="2" t="s">
        <v>38</v>
      </c>
      <c r="D1453" s="2" t="s">
        <v>41</v>
      </c>
      <c r="E1453" s="2" t="s">
        <v>33</v>
      </c>
      <c r="F1453" s="2">
        <v>17438</v>
      </c>
      <c r="G1453" s="2">
        <v>371</v>
      </c>
      <c r="H1453" s="2">
        <v>604.73</v>
      </c>
      <c r="I1453" s="2">
        <v>19</v>
      </c>
      <c r="J1453" s="2">
        <v>902.7</v>
      </c>
    </row>
    <row r="1454" spans="1:10" x14ac:dyDescent="0.45">
      <c r="A1454" s="2" t="s">
        <v>367</v>
      </c>
      <c r="B1454" s="2" t="s">
        <v>15</v>
      </c>
      <c r="C1454" s="2" t="s">
        <v>24</v>
      </c>
      <c r="D1454" s="2" t="s">
        <v>29</v>
      </c>
      <c r="E1454" s="2" t="s">
        <v>18</v>
      </c>
      <c r="F1454" s="2">
        <v>122784</v>
      </c>
      <c r="G1454" s="2">
        <v>6237</v>
      </c>
      <c r="H1454" s="2">
        <v>16777.53</v>
      </c>
      <c r="I1454" s="2">
        <v>134</v>
      </c>
      <c r="J1454" s="2">
        <v>15407.61</v>
      </c>
    </row>
    <row r="1455" spans="1:10" x14ac:dyDescent="0.45">
      <c r="A1455" s="2" t="s">
        <v>375</v>
      </c>
      <c r="B1455" s="2" t="s">
        <v>35</v>
      </c>
      <c r="C1455" s="2" t="s">
        <v>28</v>
      </c>
      <c r="D1455" s="2" t="s">
        <v>21</v>
      </c>
      <c r="E1455" s="2" t="s">
        <v>30</v>
      </c>
      <c r="F1455" s="2">
        <v>151730</v>
      </c>
      <c r="G1455" s="2">
        <v>2063</v>
      </c>
      <c r="H1455" s="2">
        <v>1526.62</v>
      </c>
      <c r="I1455" s="2">
        <v>32</v>
      </c>
      <c r="J1455" s="2">
        <v>6146.93</v>
      </c>
    </row>
    <row r="1456" spans="1:10" x14ac:dyDescent="0.45">
      <c r="A1456" s="2" t="s">
        <v>46</v>
      </c>
      <c r="B1456" s="2" t="s">
        <v>15</v>
      </c>
      <c r="C1456" s="2" t="s">
        <v>16</v>
      </c>
      <c r="D1456" s="2" t="s">
        <v>17</v>
      </c>
      <c r="E1456" s="2" t="s">
        <v>51</v>
      </c>
      <c r="F1456" s="2">
        <v>83498</v>
      </c>
      <c r="G1456" s="2">
        <v>3531</v>
      </c>
      <c r="H1456" s="2">
        <v>3636.93</v>
      </c>
      <c r="I1456" s="2">
        <v>234</v>
      </c>
      <c r="J1456" s="2">
        <v>36561.1</v>
      </c>
    </row>
    <row r="1457" spans="1:10" x14ac:dyDescent="0.45">
      <c r="A1457" s="2" t="s">
        <v>388</v>
      </c>
      <c r="B1457" s="2" t="s">
        <v>20</v>
      </c>
      <c r="C1457" s="2" t="s">
        <v>28</v>
      </c>
      <c r="D1457" s="2" t="s">
        <v>17</v>
      </c>
      <c r="E1457" s="2" t="s">
        <v>22</v>
      </c>
      <c r="F1457" s="2">
        <v>194060</v>
      </c>
      <c r="G1457" s="2">
        <v>11721</v>
      </c>
      <c r="H1457" s="2">
        <v>20277.330000000002</v>
      </c>
      <c r="I1457" s="2">
        <v>504</v>
      </c>
      <c r="J1457" s="2">
        <v>76238.77</v>
      </c>
    </row>
    <row r="1458" spans="1:10" x14ac:dyDescent="0.45">
      <c r="A1458" s="2" t="s">
        <v>213</v>
      </c>
      <c r="B1458" s="2" t="s">
        <v>15</v>
      </c>
      <c r="C1458" s="2" t="s">
        <v>28</v>
      </c>
      <c r="D1458" s="2" t="s">
        <v>41</v>
      </c>
      <c r="E1458" s="2" t="s">
        <v>30</v>
      </c>
      <c r="F1458" s="2">
        <v>30118</v>
      </c>
      <c r="G1458" s="2">
        <v>951</v>
      </c>
      <c r="H1458" s="2">
        <v>3119.28</v>
      </c>
      <c r="I1458" s="2">
        <v>30</v>
      </c>
      <c r="J1458" s="2">
        <v>2408.7600000000002</v>
      </c>
    </row>
    <row r="1459" spans="1:10" x14ac:dyDescent="0.45">
      <c r="A1459" s="2" t="s">
        <v>192</v>
      </c>
      <c r="B1459" s="2" t="s">
        <v>35</v>
      </c>
      <c r="C1459" s="2" t="s">
        <v>16</v>
      </c>
      <c r="D1459" s="2" t="s">
        <v>25</v>
      </c>
      <c r="E1459" s="2" t="s">
        <v>26</v>
      </c>
      <c r="F1459" s="2">
        <v>88904</v>
      </c>
      <c r="G1459" s="2">
        <v>1724</v>
      </c>
      <c r="H1459" s="2">
        <v>1724</v>
      </c>
      <c r="I1459" s="2">
        <v>59</v>
      </c>
      <c r="J1459" s="2">
        <v>8894.16</v>
      </c>
    </row>
    <row r="1460" spans="1:10" x14ac:dyDescent="0.45">
      <c r="A1460" s="2" t="s">
        <v>360</v>
      </c>
      <c r="B1460" s="2" t="s">
        <v>15</v>
      </c>
      <c r="C1460" s="2" t="s">
        <v>38</v>
      </c>
      <c r="D1460" s="2" t="s">
        <v>25</v>
      </c>
      <c r="E1460" s="2" t="s">
        <v>54</v>
      </c>
      <c r="F1460" s="2">
        <v>119911</v>
      </c>
      <c r="G1460" s="2">
        <v>4592</v>
      </c>
      <c r="H1460" s="2">
        <v>12995.36</v>
      </c>
      <c r="I1460" s="2">
        <v>163</v>
      </c>
      <c r="J1460" s="2">
        <v>24856.01</v>
      </c>
    </row>
    <row r="1461" spans="1:10" x14ac:dyDescent="0.45">
      <c r="A1461" s="2" t="s">
        <v>148</v>
      </c>
      <c r="B1461" s="2" t="s">
        <v>35</v>
      </c>
      <c r="C1461" s="2" t="s">
        <v>16</v>
      </c>
      <c r="D1461" s="2" t="s">
        <v>21</v>
      </c>
      <c r="E1461" s="2" t="s">
        <v>22</v>
      </c>
      <c r="F1461" s="2">
        <v>184702</v>
      </c>
      <c r="G1461" s="2">
        <v>5134</v>
      </c>
      <c r="H1461" s="2">
        <v>10319.34</v>
      </c>
      <c r="I1461" s="2">
        <v>70</v>
      </c>
      <c r="J1461" s="2">
        <v>16883.490000000002</v>
      </c>
    </row>
    <row r="1462" spans="1:10" x14ac:dyDescent="0.45">
      <c r="A1462" s="2" t="s">
        <v>121</v>
      </c>
      <c r="B1462" s="2" t="s">
        <v>35</v>
      </c>
      <c r="C1462" s="2" t="s">
        <v>24</v>
      </c>
      <c r="D1462" s="2" t="s">
        <v>17</v>
      </c>
      <c r="E1462" s="2" t="s">
        <v>26</v>
      </c>
      <c r="F1462" s="2">
        <v>5209</v>
      </c>
      <c r="G1462" s="2">
        <v>198</v>
      </c>
      <c r="H1462" s="2">
        <v>138.6</v>
      </c>
      <c r="I1462" s="2">
        <v>3</v>
      </c>
      <c r="J1462" s="2">
        <v>490.6</v>
      </c>
    </row>
    <row r="1463" spans="1:10" x14ac:dyDescent="0.45">
      <c r="A1463" s="2" t="s">
        <v>270</v>
      </c>
      <c r="B1463" s="2" t="s">
        <v>35</v>
      </c>
      <c r="C1463" s="2" t="s">
        <v>38</v>
      </c>
      <c r="D1463" s="2" t="s">
        <v>41</v>
      </c>
      <c r="E1463" s="2" t="s">
        <v>51</v>
      </c>
      <c r="F1463" s="2">
        <v>88717</v>
      </c>
      <c r="G1463" s="2">
        <v>816</v>
      </c>
      <c r="H1463" s="2">
        <v>1525.92</v>
      </c>
      <c r="I1463" s="2">
        <v>46</v>
      </c>
      <c r="J1463" s="2">
        <v>4879.0200000000004</v>
      </c>
    </row>
    <row r="1464" spans="1:10" x14ac:dyDescent="0.45">
      <c r="A1464" s="2" t="s">
        <v>190</v>
      </c>
      <c r="B1464" s="2" t="s">
        <v>15</v>
      </c>
      <c r="C1464" s="2" t="s">
        <v>28</v>
      </c>
      <c r="D1464" s="2" t="s">
        <v>41</v>
      </c>
      <c r="E1464" s="2" t="s">
        <v>51</v>
      </c>
      <c r="F1464" s="2">
        <v>146788</v>
      </c>
      <c r="G1464" s="2">
        <v>6003</v>
      </c>
      <c r="H1464" s="2">
        <v>14527.26</v>
      </c>
      <c r="I1464" s="2">
        <v>476</v>
      </c>
      <c r="J1464" s="2">
        <v>104420.05</v>
      </c>
    </row>
    <row r="1465" spans="1:10" x14ac:dyDescent="0.45">
      <c r="A1465" s="2" t="s">
        <v>336</v>
      </c>
      <c r="B1465" s="2" t="s">
        <v>15</v>
      </c>
      <c r="C1465" s="2" t="s">
        <v>24</v>
      </c>
      <c r="D1465" s="2" t="s">
        <v>29</v>
      </c>
      <c r="E1465" s="2" t="s">
        <v>54</v>
      </c>
      <c r="F1465" s="2">
        <v>89052</v>
      </c>
      <c r="G1465" s="2">
        <v>2591</v>
      </c>
      <c r="H1465" s="2">
        <v>9483.06</v>
      </c>
      <c r="I1465" s="2">
        <v>190</v>
      </c>
      <c r="J1465" s="2">
        <v>12653.72</v>
      </c>
    </row>
    <row r="1466" spans="1:10" x14ac:dyDescent="0.45">
      <c r="A1466" s="2" t="s">
        <v>154</v>
      </c>
      <c r="B1466" s="2" t="s">
        <v>15</v>
      </c>
      <c r="C1466" s="2" t="s">
        <v>28</v>
      </c>
      <c r="D1466" s="2" t="s">
        <v>41</v>
      </c>
      <c r="E1466" s="2" t="s">
        <v>30</v>
      </c>
      <c r="F1466" s="2">
        <v>46971</v>
      </c>
      <c r="G1466" s="2">
        <v>2437</v>
      </c>
      <c r="H1466" s="2">
        <v>4971.4799999999996</v>
      </c>
      <c r="I1466" s="2">
        <v>141</v>
      </c>
      <c r="J1466" s="2">
        <v>14817.7</v>
      </c>
    </row>
    <row r="1467" spans="1:10" x14ac:dyDescent="0.45">
      <c r="A1467" s="2" t="s">
        <v>306</v>
      </c>
      <c r="B1467" s="2" t="s">
        <v>35</v>
      </c>
      <c r="C1467" s="2" t="s">
        <v>28</v>
      </c>
      <c r="D1467" s="2" t="s">
        <v>41</v>
      </c>
      <c r="E1467" s="2" t="s">
        <v>22</v>
      </c>
      <c r="F1467" s="2">
        <v>185419</v>
      </c>
      <c r="G1467" s="2">
        <v>7750</v>
      </c>
      <c r="H1467" s="2">
        <v>10695</v>
      </c>
      <c r="I1467" s="2">
        <v>400</v>
      </c>
      <c r="J1467" s="2">
        <v>13470.33</v>
      </c>
    </row>
    <row r="1468" spans="1:10" x14ac:dyDescent="0.45">
      <c r="A1468" s="2" t="s">
        <v>255</v>
      </c>
      <c r="B1468" s="2" t="s">
        <v>15</v>
      </c>
      <c r="C1468" s="2" t="s">
        <v>38</v>
      </c>
      <c r="D1468" s="2" t="s">
        <v>21</v>
      </c>
      <c r="E1468" s="2" t="s">
        <v>18</v>
      </c>
      <c r="F1468" s="2">
        <v>36391</v>
      </c>
      <c r="G1468" s="2">
        <v>1684</v>
      </c>
      <c r="H1468" s="2">
        <v>6045.56</v>
      </c>
      <c r="I1468" s="2">
        <v>18</v>
      </c>
      <c r="J1468" s="2">
        <v>4868.51</v>
      </c>
    </row>
    <row r="1469" spans="1:10" x14ac:dyDescent="0.45">
      <c r="A1469" s="2" t="s">
        <v>220</v>
      </c>
      <c r="B1469" s="2" t="s">
        <v>15</v>
      </c>
      <c r="C1469" s="2" t="s">
        <v>38</v>
      </c>
      <c r="D1469" s="2" t="s">
        <v>21</v>
      </c>
      <c r="E1469" s="2" t="s">
        <v>51</v>
      </c>
      <c r="F1469" s="2">
        <v>169575</v>
      </c>
      <c r="G1469" s="2">
        <v>3730</v>
      </c>
      <c r="H1469" s="2">
        <v>10108.299999999999</v>
      </c>
      <c r="I1469" s="2">
        <v>284</v>
      </c>
      <c r="J1469" s="2">
        <v>8952.89</v>
      </c>
    </row>
    <row r="1470" spans="1:10" x14ac:dyDescent="0.45">
      <c r="A1470" s="2" t="s">
        <v>188</v>
      </c>
      <c r="B1470" s="2" t="s">
        <v>15</v>
      </c>
      <c r="C1470" s="2" t="s">
        <v>24</v>
      </c>
      <c r="D1470" s="2" t="s">
        <v>41</v>
      </c>
      <c r="E1470" s="2" t="s">
        <v>22</v>
      </c>
      <c r="F1470" s="2">
        <v>146656</v>
      </c>
      <c r="G1470" s="2">
        <v>5719</v>
      </c>
      <c r="H1470" s="2">
        <v>10008.25</v>
      </c>
      <c r="I1470" s="2">
        <v>357</v>
      </c>
      <c r="J1470" s="2">
        <v>62250.35</v>
      </c>
    </row>
    <row r="1471" spans="1:10" x14ac:dyDescent="0.45">
      <c r="A1471" s="2" t="s">
        <v>144</v>
      </c>
      <c r="B1471" s="2" t="s">
        <v>15</v>
      </c>
      <c r="C1471" s="2" t="s">
        <v>38</v>
      </c>
      <c r="D1471" s="2" t="s">
        <v>17</v>
      </c>
      <c r="E1471" s="2" t="s">
        <v>30</v>
      </c>
      <c r="F1471" s="2">
        <v>116972</v>
      </c>
      <c r="G1471" s="2">
        <v>6269</v>
      </c>
      <c r="H1471" s="2">
        <v>17741.27</v>
      </c>
      <c r="I1471" s="2">
        <v>83</v>
      </c>
      <c r="J1471" s="2">
        <v>8852.61</v>
      </c>
    </row>
    <row r="1472" spans="1:10" x14ac:dyDescent="0.45">
      <c r="A1472" s="2" t="s">
        <v>366</v>
      </c>
      <c r="B1472" s="2" t="s">
        <v>35</v>
      </c>
      <c r="C1472" s="2" t="s">
        <v>16</v>
      </c>
      <c r="D1472" s="2" t="s">
        <v>29</v>
      </c>
      <c r="E1472" s="2" t="s">
        <v>33</v>
      </c>
      <c r="F1472" s="2">
        <v>45664</v>
      </c>
      <c r="G1472" s="2">
        <v>516</v>
      </c>
      <c r="H1472" s="2">
        <v>861.72</v>
      </c>
      <c r="I1472" s="2">
        <v>34</v>
      </c>
      <c r="J1472" s="2">
        <v>7132.56</v>
      </c>
    </row>
    <row r="1473" spans="1:10" x14ac:dyDescent="0.45">
      <c r="A1473" s="2" t="s">
        <v>124</v>
      </c>
      <c r="B1473" s="2" t="s">
        <v>35</v>
      </c>
      <c r="C1473" s="2" t="s">
        <v>28</v>
      </c>
      <c r="D1473" s="2" t="s">
        <v>29</v>
      </c>
      <c r="E1473" s="2" t="s">
        <v>22</v>
      </c>
      <c r="F1473" s="2">
        <v>125759</v>
      </c>
      <c r="G1473" s="2">
        <v>2804</v>
      </c>
      <c r="H1473" s="2">
        <v>4907</v>
      </c>
      <c r="I1473" s="2">
        <v>164</v>
      </c>
      <c r="J1473" s="2">
        <v>46752.65</v>
      </c>
    </row>
    <row r="1474" spans="1:10" x14ac:dyDescent="0.45">
      <c r="A1474" s="2" t="s">
        <v>262</v>
      </c>
      <c r="B1474" s="2" t="s">
        <v>15</v>
      </c>
      <c r="C1474" s="2" t="s">
        <v>28</v>
      </c>
      <c r="D1474" s="2" t="s">
        <v>21</v>
      </c>
      <c r="E1474" s="2" t="s">
        <v>18</v>
      </c>
      <c r="F1474" s="2">
        <v>26529</v>
      </c>
      <c r="G1474" s="2">
        <v>1106</v>
      </c>
      <c r="H1474" s="2">
        <v>1968.68</v>
      </c>
      <c r="I1474" s="2">
        <v>78</v>
      </c>
      <c r="J1474" s="2">
        <v>2995.39</v>
      </c>
    </row>
    <row r="1475" spans="1:10" x14ac:dyDescent="0.45">
      <c r="A1475" s="2" t="s">
        <v>127</v>
      </c>
      <c r="B1475" s="2" t="s">
        <v>20</v>
      </c>
      <c r="C1475" s="2" t="s">
        <v>28</v>
      </c>
      <c r="D1475" s="2" t="s">
        <v>21</v>
      </c>
      <c r="E1475" s="2" t="s">
        <v>51</v>
      </c>
      <c r="F1475" s="2">
        <v>114863</v>
      </c>
      <c r="G1475" s="2">
        <v>5766</v>
      </c>
      <c r="H1475" s="2">
        <v>9398.58</v>
      </c>
      <c r="I1475" s="2">
        <v>89</v>
      </c>
      <c r="J1475" s="2">
        <v>22499.919999999998</v>
      </c>
    </row>
    <row r="1476" spans="1:10" x14ac:dyDescent="0.45">
      <c r="A1476" s="2" t="s">
        <v>381</v>
      </c>
      <c r="B1476" s="2" t="s">
        <v>35</v>
      </c>
      <c r="C1476" s="2" t="s">
        <v>38</v>
      </c>
      <c r="D1476" s="2" t="s">
        <v>25</v>
      </c>
      <c r="E1476" s="2" t="s">
        <v>26</v>
      </c>
      <c r="F1476" s="2">
        <v>171353</v>
      </c>
      <c r="G1476" s="2">
        <v>5534</v>
      </c>
      <c r="H1476" s="2">
        <v>10293.24</v>
      </c>
      <c r="I1476" s="2">
        <v>221</v>
      </c>
      <c r="J1476" s="2">
        <v>52725.19</v>
      </c>
    </row>
    <row r="1477" spans="1:10" x14ac:dyDescent="0.45">
      <c r="A1477" s="2" t="s">
        <v>162</v>
      </c>
      <c r="B1477" s="2" t="s">
        <v>35</v>
      </c>
      <c r="C1477" s="2" t="s">
        <v>28</v>
      </c>
      <c r="D1477" s="2" t="s">
        <v>21</v>
      </c>
      <c r="E1477" s="2" t="s">
        <v>22</v>
      </c>
      <c r="F1477" s="2">
        <v>49522</v>
      </c>
      <c r="G1477" s="2">
        <v>1554</v>
      </c>
      <c r="H1477" s="2">
        <v>2657.34</v>
      </c>
      <c r="I1477" s="2">
        <v>23</v>
      </c>
      <c r="J1477" s="2">
        <v>1909.73</v>
      </c>
    </row>
    <row r="1478" spans="1:10" x14ac:dyDescent="0.45">
      <c r="A1478" s="2" t="s">
        <v>376</v>
      </c>
      <c r="B1478" s="2" t="s">
        <v>15</v>
      </c>
      <c r="C1478" s="2" t="s">
        <v>16</v>
      </c>
      <c r="D1478" s="2" t="s">
        <v>25</v>
      </c>
      <c r="E1478" s="2" t="s">
        <v>51</v>
      </c>
      <c r="F1478" s="2">
        <v>136135</v>
      </c>
      <c r="G1478" s="2">
        <v>7936</v>
      </c>
      <c r="H1478" s="2">
        <v>10792.96</v>
      </c>
      <c r="I1478" s="2">
        <v>406</v>
      </c>
      <c r="J1478" s="2">
        <v>40442.85</v>
      </c>
    </row>
    <row r="1479" spans="1:10" x14ac:dyDescent="0.45">
      <c r="A1479" s="2" t="s">
        <v>183</v>
      </c>
      <c r="B1479" s="2" t="s">
        <v>35</v>
      </c>
      <c r="C1479" s="2" t="s">
        <v>24</v>
      </c>
      <c r="D1479" s="2" t="s">
        <v>25</v>
      </c>
      <c r="E1479" s="2" t="s">
        <v>22</v>
      </c>
      <c r="F1479" s="2">
        <v>172108</v>
      </c>
      <c r="G1479" s="2">
        <v>6109</v>
      </c>
      <c r="H1479" s="2">
        <v>13928.52</v>
      </c>
      <c r="I1479" s="2">
        <v>435</v>
      </c>
      <c r="J1479" s="2">
        <v>13163.33</v>
      </c>
    </row>
    <row r="1480" spans="1:10" x14ac:dyDescent="0.45">
      <c r="A1480" s="2" t="s">
        <v>381</v>
      </c>
      <c r="B1480" s="2" t="s">
        <v>20</v>
      </c>
      <c r="C1480" s="2" t="s">
        <v>24</v>
      </c>
      <c r="D1480" s="2" t="s">
        <v>21</v>
      </c>
      <c r="E1480" s="2" t="s">
        <v>51</v>
      </c>
      <c r="F1480" s="2">
        <v>193151</v>
      </c>
      <c r="G1480" s="2">
        <v>12168</v>
      </c>
      <c r="H1480" s="2">
        <v>13749.84</v>
      </c>
      <c r="I1480" s="2">
        <v>612</v>
      </c>
      <c r="J1480" s="2">
        <v>109401</v>
      </c>
    </row>
    <row r="1481" spans="1:10" x14ac:dyDescent="0.45">
      <c r="A1481" s="2" t="s">
        <v>203</v>
      </c>
      <c r="B1481" s="2" t="s">
        <v>20</v>
      </c>
      <c r="C1481" s="2" t="s">
        <v>38</v>
      </c>
      <c r="D1481" s="2" t="s">
        <v>21</v>
      </c>
      <c r="E1481" s="2" t="s">
        <v>33</v>
      </c>
      <c r="F1481" s="2">
        <v>102519</v>
      </c>
      <c r="G1481" s="2">
        <v>4285</v>
      </c>
      <c r="H1481" s="2">
        <v>5142</v>
      </c>
      <c r="I1481" s="2">
        <v>137</v>
      </c>
      <c r="J1481" s="2">
        <v>26733.75</v>
      </c>
    </row>
    <row r="1482" spans="1:10" x14ac:dyDescent="0.45">
      <c r="A1482" s="2" t="s">
        <v>115</v>
      </c>
      <c r="B1482" s="2" t="s">
        <v>15</v>
      </c>
      <c r="C1482" s="2" t="s">
        <v>28</v>
      </c>
      <c r="D1482" s="2" t="s">
        <v>25</v>
      </c>
      <c r="E1482" s="2" t="s">
        <v>30</v>
      </c>
      <c r="F1482" s="2">
        <v>36092</v>
      </c>
      <c r="G1482" s="2">
        <v>1050</v>
      </c>
      <c r="H1482" s="2">
        <v>3864</v>
      </c>
      <c r="I1482" s="2">
        <v>34</v>
      </c>
      <c r="J1482" s="2">
        <v>1685.69</v>
      </c>
    </row>
    <row r="1483" spans="1:10" x14ac:dyDescent="0.45">
      <c r="A1483" s="2" t="s">
        <v>251</v>
      </c>
      <c r="B1483" s="2" t="s">
        <v>20</v>
      </c>
      <c r="C1483" s="2" t="s">
        <v>24</v>
      </c>
      <c r="D1483" s="2" t="s">
        <v>21</v>
      </c>
      <c r="E1483" s="2" t="s">
        <v>54</v>
      </c>
      <c r="F1483" s="2">
        <v>6628</v>
      </c>
      <c r="G1483" s="2">
        <v>261</v>
      </c>
      <c r="H1483" s="2">
        <v>334.08</v>
      </c>
      <c r="I1483" s="2">
        <v>11</v>
      </c>
      <c r="J1483" s="2">
        <v>2224.48</v>
      </c>
    </row>
    <row r="1484" spans="1:10" x14ac:dyDescent="0.45">
      <c r="A1484" s="2" t="s">
        <v>281</v>
      </c>
      <c r="B1484" s="2" t="s">
        <v>35</v>
      </c>
      <c r="C1484" s="2" t="s">
        <v>24</v>
      </c>
      <c r="D1484" s="2" t="s">
        <v>29</v>
      </c>
      <c r="E1484" s="2" t="s">
        <v>22</v>
      </c>
      <c r="F1484" s="2">
        <v>28593</v>
      </c>
      <c r="G1484" s="2">
        <v>694</v>
      </c>
      <c r="H1484" s="2">
        <v>1096.52</v>
      </c>
      <c r="I1484" s="2">
        <v>7</v>
      </c>
      <c r="J1484" s="2">
        <v>2098</v>
      </c>
    </row>
    <row r="1485" spans="1:10" x14ac:dyDescent="0.45">
      <c r="A1485" s="2" t="s">
        <v>206</v>
      </c>
      <c r="B1485" s="2" t="s">
        <v>35</v>
      </c>
      <c r="C1485" s="2" t="s">
        <v>16</v>
      </c>
      <c r="D1485" s="2" t="s">
        <v>21</v>
      </c>
      <c r="E1485" s="2" t="s">
        <v>30</v>
      </c>
      <c r="F1485" s="2">
        <v>186845</v>
      </c>
      <c r="G1485" s="2">
        <v>4204</v>
      </c>
      <c r="H1485" s="2">
        <v>7609.24</v>
      </c>
      <c r="I1485" s="2">
        <v>275</v>
      </c>
      <c r="J1485" s="2">
        <v>24004.25</v>
      </c>
    </row>
    <row r="1486" spans="1:10" x14ac:dyDescent="0.45">
      <c r="A1486" s="2" t="s">
        <v>34</v>
      </c>
      <c r="B1486" s="2" t="s">
        <v>35</v>
      </c>
      <c r="C1486" s="2" t="s">
        <v>16</v>
      </c>
      <c r="D1486" s="2" t="s">
        <v>17</v>
      </c>
      <c r="E1486" s="2" t="s">
        <v>26</v>
      </c>
      <c r="F1486" s="2">
        <v>25930</v>
      </c>
      <c r="G1486" s="2">
        <v>609</v>
      </c>
      <c r="H1486" s="2">
        <v>334.95</v>
      </c>
      <c r="I1486" s="2">
        <v>7</v>
      </c>
      <c r="J1486" s="2">
        <v>509.29</v>
      </c>
    </row>
    <row r="1487" spans="1:10" x14ac:dyDescent="0.45">
      <c r="A1487" s="2" t="s">
        <v>122</v>
      </c>
      <c r="B1487" s="2" t="s">
        <v>15</v>
      </c>
      <c r="C1487" s="2" t="s">
        <v>38</v>
      </c>
      <c r="D1487" s="2" t="s">
        <v>17</v>
      </c>
      <c r="E1487" s="2" t="s">
        <v>18</v>
      </c>
      <c r="F1487" s="2">
        <v>114914</v>
      </c>
      <c r="G1487" s="2">
        <v>3803</v>
      </c>
      <c r="H1487" s="2">
        <v>10230.07</v>
      </c>
      <c r="I1487" s="2">
        <v>224</v>
      </c>
      <c r="J1487" s="2">
        <v>67007.759999999995</v>
      </c>
    </row>
    <row r="1488" spans="1:10" x14ac:dyDescent="0.45">
      <c r="A1488" s="2" t="s">
        <v>106</v>
      </c>
      <c r="B1488" s="2" t="s">
        <v>15</v>
      </c>
      <c r="C1488" s="2" t="s">
        <v>38</v>
      </c>
      <c r="D1488" s="2" t="s">
        <v>21</v>
      </c>
      <c r="E1488" s="2" t="s">
        <v>54</v>
      </c>
      <c r="F1488" s="2">
        <v>34652</v>
      </c>
      <c r="G1488" s="2">
        <v>866</v>
      </c>
      <c r="H1488" s="2">
        <v>1359.62</v>
      </c>
      <c r="I1488" s="2">
        <v>43</v>
      </c>
      <c r="J1488" s="2">
        <v>2728.57</v>
      </c>
    </row>
    <row r="1489" spans="1:10" x14ac:dyDescent="0.45">
      <c r="A1489" s="2" t="s">
        <v>361</v>
      </c>
      <c r="B1489" s="2" t="s">
        <v>15</v>
      </c>
      <c r="C1489" s="2" t="s">
        <v>38</v>
      </c>
      <c r="D1489" s="2" t="s">
        <v>21</v>
      </c>
      <c r="E1489" s="2" t="s">
        <v>51</v>
      </c>
      <c r="F1489" s="2">
        <v>136585</v>
      </c>
      <c r="G1489" s="2">
        <v>5668</v>
      </c>
      <c r="H1489" s="2">
        <v>16380.52</v>
      </c>
      <c r="I1489" s="2">
        <v>120</v>
      </c>
      <c r="J1489" s="2">
        <v>20065.189999999999</v>
      </c>
    </row>
    <row r="1490" spans="1:10" x14ac:dyDescent="0.45">
      <c r="A1490" s="2" t="s">
        <v>301</v>
      </c>
      <c r="B1490" s="2" t="s">
        <v>15</v>
      </c>
      <c r="C1490" s="2" t="s">
        <v>38</v>
      </c>
      <c r="D1490" s="2" t="s">
        <v>25</v>
      </c>
      <c r="E1490" s="2" t="s">
        <v>33</v>
      </c>
      <c r="F1490" s="2">
        <v>192822</v>
      </c>
      <c r="G1490" s="2">
        <v>6228</v>
      </c>
      <c r="H1490" s="2">
        <v>20863.8</v>
      </c>
      <c r="I1490" s="2">
        <v>87</v>
      </c>
      <c r="J1490" s="2">
        <v>18207.05</v>
      </c>
    </row>
    <row r="1491" spans="1:10" x14ac:dyDescent="0.45">
      <c r="A1491" s="2" t="s">
        <v>50</v>
      </c>
      <c r="B1491" s="2" t="s">
        <v>15</v>
      </c>
      <c r="C1491" s="2" t="s">
        <v>16</v>
      </c>
      <c r="D1491" s="2" t="s">
        <v>25</v>
      </c>
      <c r="E1491" s="2" t="s">
        <v>22</v>
      </c>
      <c r="F1491" s="2">
        <v>63738</v>
      </c>
      <c r="G1491" s="2">
        <v>1306</v>
      </c>
      <c r="H1491" s="2">
        <v>1214.58</v>
      </c>
      <c r="I1491" s="2">
        <v>87</v>
      </c>
      <c r="J1491" s="2">
        <v>16951.52</v>
      </c>
    </row>
    <row r="1492" spans="1:10" x14ac:dyDescent="0.45">
      <c r="A1492" s="2" t="s">
        <v>99</v>
      </c>
      <c r="B1492" s="2" t="s">
        <v>15</v>
      </c>
      <c r="C1492" s="2" t="s">
        <v>16</v>
      </c>
      <c r="D1492" s="2" t="s">
        <v>17</v>
      </c>
      <c r="E1492" s="2" t="s">
        <v>51</v>
      </c>
      <c r="F1492" s="2">
        <v>28267</v>
      </c>
      <c r="G1492" s="2">
        <v>1769</v>
      </c>
      <c r="H1492" s="2">
        <v>4581.71</v>
      </c>
      <c r="I1492" s="2">
        <v>33</v>
      </c>
      <c r="J1492" s="2">
        <v>1968.12</v>
      </c>
    </row>
    <row r="1493" spans="1:10" x14ac:dyDescent="0.45">
      <c r="A1493" s="2" t="s">
        <v>109</v>
      </c>
      <c r="B1493" s="2" t="s">
        <v>35</v>
      </c>
      <c r="C1493" s="2" t="s">
        <v>38</v>
      </c>
      <c r="D1493" s="2" t="s">
        <v>17</v>
      </c>
      <c r="E1493" s="2" t="s">
        <v>54</v>
      </c>
      <c r="F1493" s="2">
        <v>42606</v>
      </c>
      <c r="G1493" s="2">
        <v>1495</v>
      </c>
      <c r="H1493" s="2">
        <v>1151.1500000000001</v>
      </c>
      <c r="I1493" s="2">
        <v>96</v>
      </c>
      <c r="J1493" s="2">
        <v>14890.27</v>
      </c>
    </row>
    <row r="1494" spans="1:10" x14ac:dyDescent="0.45">
      <c r="A1494" s="2" t="s">
        <v>19</v>
      </c>
      <c r="B1494" s="2" t="s">
        <v>20</v>
      </c>
      <c r="C1494" s="2" t="s">
        <v>38</v>
      </c>
      <c r="D1494" s="2" t="s">
        <v>25</v>
      </c>
      <c r="E1494" s="2" t="s">
        <v>33</v>
      </c>
      <c r="F1494" s="2">
        <v>120409</v>
      </c>
      <c r="G1494" s="2">
        <v>8356</v>
      </c>
      <c r="H1494" s="2">
        <v>8021.76</v>
      </c>
      <c r="I1494" s="2">
        <v>663</v>
      </c>
      <c r="J1494" s="2">
        <v>50787.7</v>
      </c>
    </row>
    <row r="1495" spans="1:10" x14ac:dyDescent="0.45">
      <c r="A1495" s="2" t="s">
        <v>389</v>
      </c>
      <c r="B1495" s="2" t="s">
        <v>20</v>
      </c>
      <c r="C1495" s="2" t="s">
        <v>38</v>
      </c>
      <c r="D1495" s="2" t="s">
        <v>21</v>
      </c>
      <c r="E1495" s="2" t="s">
        <v>30</v>
      </c>
      <c r="F1495" s="2">
        <v>120210</v>
      </c>
      <c r="G1495" s="2">
        <v>6455</v>
      </c>
      <c r="H1495" s="2">
        <v>11489.9</v>
      </c>
      <c r="I1495" s="2">
        <v>289</v>
      </c>
      <c r="J1495" s="2">
        <v>23286.47</v>
      </c>
    </row>
    <row r="1496" spans="1:10" x14ac:dyDescent="0.45">
      <c r="A1496" s="2" t="s">
        <v>268</v>
      </c>
      <c r="B1496" s="2" t="s">
        <v>35</v>
      </c>
      <c r="C1496" s="2" t="s">
        <v>16</v>
      </c>
      <c r="D1496" s="2" t="s">
        <v>25</v>
      </c>
      <c r="E1496" s="2" t="s">
        <v>18</v>
      </c>
      <c r="F1496" s="2">
        <v>96360</v>
      </c>
      <c r="G1496" s="2">
        <v>3247</v>
      </c>
      <c r="H1496" s="2">
        <v>1396.21</v>
      </c>
      <c r="I1496" s="2">
        <v>211</v>
      </c>
      <c r="J1496" s="2">
        <v>50567.51</v>
      </c>
    </row>
    <row r="1497" spans="1:10" x14ac:dyDescent="0.45">
      <c r="A1497" s="2" t="s">
        <v>40</v>
      </c>
      <c r="B1497" s="2" t="s">
        <v>20</v>
      </c>
      <c r="C1497" s="2" t="s">
        <v>28</v>
      </c>
      <c r="D1497" s="2" t="s">
        <v>21</v>
      </c>
      <c r="E1497" s="2" t="s">
        <v>33</v>
      </c>
      <c r="F1497" s="2">
        <v>186006</v>
      </c>
      <c r="G1497" s="2">
        <v>9002</v>
      </c>
      <c r="H1497" s="2">
        <v>13683.04</v>
      </c>
      <c r="I1497" s="2">
        <v>266</v>
      </c>
      <c r="J1497" s="2">
        <v>31194.26</v>
      </c>
    </row>
    <row r="1498" spans="1:10" x14ac:dyDescent="0.45">
      <c r="A1498" s="2" t="s">
        <v>68</v>
      </c>
      <c r="B1498" s="2" t="s">
        <v>15</v>
      </c>
      <c r="C1498" s="2" t="s">
        <v>28</v>
      </c>
      <c r="D1498" s="2" t="s">
        <v>41</v>
      </c>
      <c r="E1498" s="2" t="s">
        <v>30</v>
      </c>
      <c r="F1498" s="2">
        <v>34036</v>
      </c>
      <c r="G1498" s="2">
        <v>2086</v>
      </c>
      <c r="H1498" s="2">
        <v>7196.7</v>
      </c>
      <c r="I1498" s="2">
        <v>110</v>
      </c>
      <c r="J1498" s="2">
        <v>21503.08</v>
      </c>
    </row>
    <row r="1499" spans="1:10" x14ac:dyDescent="0.45">
      <c r="A1499" s="2" t="s">
        <v>313</v>
      </c>
      <c r="B1499" s="2" t="s">
        <v>20</v>
      </c>
      <c r="C1499" s="2" t="s">
        <v>28</v>
      </c>
      <c r="D1499" s="2" t="s">
        <v>29</v>
      </c>
      <c r="E1499" s="2" t="s">
        <v>26</v>
      </c>
      <c r="F1499" s="2">
        <v>116709</v>
      </c>
      <c r="G1499" s="2">
        <v>6640</v>
      </c>
      <c r="H1499" s="2">
        <v>13080.8</v>
      </c>
      <c r="I1499" s="2">
        <v>304</v>
      </c>
      <c r="J1499" s="2">
        <v>83458.179999999993</v>
      </c>
    </row>
    <row r="1500" spans="1:10" x14ac:dyDescent="0.45">
      <c r="A1500" s="2" t="s">
        <v>81</v>
      </c>
      <c r="B1500" s="2" t="s">
        <v>35</v>
      </c>
      <c r="C1500" s="2" t="s">
        <v>28</v>
      </c>
      <c r="D1500" s="2" t="s">
        <v>21</v>
      </c>
      <c r="E1500" s="2" t="s">
        <v>22</v>
      </c>
      <c r="F1500" s="2">
        <v>98276</v>
      </c>
      <c r="G1500" s="2">
        <v>2368</v>
      </c>
      <c r="H1500" s="2">
        <v>3338.88</v>
      </c>
      <c r="I1500" s="2">
        <v>115</v>
      </c>
      <c r="J1500" s="2">
        <v>21637.86</v>
      </c>
    </row>
    <row r="1501" spans="1:10" x14ac:dyDescent="0.45">
      <c r="A1501" s="2" t="s">
        <v>377</v>
      </c>
      <c r="B1501" s="2" t="s">
        <v>15</v>
      </c>
      <c r="C1501" s="2" t="s">
        <v>28</v>
      </c>
      <c r="D1501" s="2" t="s">
        <v>21</v>
      </c>
      <c r="E1501" s="2" t="s">
        <v>22</v>
      </c>
      <c r="F1501" s="2">
        <v>162353</v>
      </c>
      <c r="G1501" s="2">
        <v>3977</v>
      </c>
      <c r="H1501" s="2">
        <v>5766.65</v>
      </c>
      <c r="I1501" s="2">
        <v>57</v>
      </c>
      <c r="J1501" s="2">
        <v>15175.48</v>
      </c>
    </row>
    <row r="1502" spans="1:10" x14ac:dyDescent="0.45">
      <c r="A1502" s="2" t="s">
        <v>302</v>
      </c>
      <c r="B1502" s="2" t="s">
        <v>35</v>
      </c>
      <c r="C1502" s="2" t="s">
        <v>16</v>
      </c>
      <c r="D1502" s="2" t="s">
        <v>29</v>
      </c>
      <c r="E1502" s="2" t="s">
        <v>22</v>
      </c>
      <c r="F1502" s="2">
        <v>129790</v>
      </c>
      <c r="G1502" s="2">
        <v>5697</v>
      </c>
      <c r="H1502" s="2">
        <v>2962.44</v>
      </c>
      <c r="I1502" s="2">
        <v>223</v>
      </c>
      <c r="J1502" s="2">
        <v>58627.34</v>
      </c>
    </row>
    <row r="1503" spans="1:10" x14ac:dyDescent="0.45">
      <c r="A1503" s="2" t="s">
        <v>360</v>
      </c>
      <c r="B1503" s="2" t="s">
        <v>15</v>
      </c>
      <c r="C1503" s="2" t="s">
        <v>24</v>
      </c>
      <c r="D1503" s="2" t="s">
        <v>25</v>
      </c>
      <c r="E1503" s="2" t="s">
        <v>51</v>
      </c>
      <c r="F1503" s="2">
        <v>184982</v>
      </c>
      <c r="G1503" s="2">
        <v>4772</v>
      </c>
      <c r="H1503" s="2">
        <v>14697.76</v>
      </c>
      <c r="I1503" s="2">
        <v>141</v>
      </c>
      <c r="J1503" s="2">
        <v>26098.46</v>
      </c>
    </row>
    <row r="1504" spans="1:10" x14ac:dyDescent="0.45">
      <c r="A1504" s="2" t="s">
        <v>74</v>
      </c>
      <c r="B1504" s="2" t="s">
        <v>15</v>
      </c>
      <c r="C1504" s="2" t="s">
        <v>16</v>
      </c>
      <c r="D1504" s="2" t="s">
        <v>17</v>
      </c>
      <c r="E1504" s="2" t="s">
        <v>22</v>
      </c>
      <c r="F1504" s="2">
        <v>166673</v>
      </c>
      <c r="G1504" s="2">
        <v>4733</v>
      </c>
      <c r="H1504" s="2">
        <v>3975.72</v>
      </c>
      <c r="I1504" s="2">
        <v>336</v>
      </c>
      <c r="J1504" s="2">
        <v>98987.51</v>
      </c>
    </row>
    <row r="1505" spans="1:10" x14ac:dyDescent="0.45">
      <c r="A1505" s="2" t="s">
        <v>81</v>
      </c>
      <c r="B1505" s="2" t="s">
        <v>15</v>
      </c>
      <c r="C1505" s="2" t="s">
        <v>24</v>
      </c>
      <c r="D1505" s="2" t="s">
        <v>21</v>
      </c>
      <c r="E1505" s="2" t="s">
        <v>18</v>
      </c>
      <c r="F1505" s="2">
        <v>109148</v>
      </c>
      <c r="G1505" s="2">
        <v>3951</v>
      </c>
      <c r="H1505" s="2">
        <v>7072.29</v>
      </c>
      <c r="I1505" s="2">
        <v>249</v>
      </c>
      <c r="J1505" s="2">
        <v>56329.34</v>
      </c>
    </row>
    <row r="1506" spans="1:10" x14ac:dyDescent="0.45">
      <c r="A1506" s="2" t="s">
        <v>58</v>
      </c>
      <c r="B1506" s="2" t="s">
        <v>15</v>
      </c>
      <c r="C1506" s="2" t="s">
        <v>24</v>
      </c>
      <c r="D1506" s="2" t="s">
        <v>21</v>
      </c>
      <c r="E1506" s="2" t="s">
        <v>26</v>
      </c>
      <c r="F1506" s="2">
        <v>173700</v>
      </c>
      <c r="G1506" s="2">
        <v>7208</v>
      </c>
      <c r="H1506" s="2">
        <v>16506.32</v>
      </c>
      <c r="I1506" s="2">
        <v>178</v>
      </c>
      <c r="J1506" s="2">
        <v>32171.360000000001</v>
      </c>
    </row>
    <row r="1507" spans="1:10" x14ac:dyDescent="0.45">
      <c r="A1507" s="2" t="s">
        <v>76</v>
      </c>
      <c r="B1507" s="2" t="s">
        <v>35</v>
      </c>
      <c r="C1507" s="2" t="s">
        <v>24</v>
      </c>
      <c r="D1507" s="2" t="s">
        <v>21</v>
      </c>
      <c r="E1507" s="2" t="s">
        <v>18</v>
      </c>
      <c r="F1507" s="2">
        <v>173001</v>
      </c>
      <c r="G1507" s="2">
        <v>3477</v>
      </c>
      <c r="H1507" s="2">
        <v>3303.15</v>
      </c>
      <c r="I1507" s="2">
        <v>51</v>
      </c>
      <c r="J1507" s="2">
        <v>11186.61</v>
      </c>
    </row>
    <row r="1508" spans="1:10" x14ac:dyDescent="0.45">
      <c r="A1508" s="2" t="s">
        <v>240</v>
      </c>
      <c r="B1508" s="2" t="s">
        <v>35</v>
      </c>
      <c r="C1508" s="2" t="s">
        <v>16</v>
      </c>
      <c r="D1508" s="2" t="s">
        <v>17</v>
      </c>
      <c r="E1508" s="2" t="s">
        <v>22</v>
      </c>
      <c r="F1508" s="2">
        <v>56534</v>
      </c>
      <c r="G1508" s="2">
        <v>1079</v>
      </c>
      <c r="H1508" s="2">
        <v>647.4</v>
      </c>
      <c r="I1508" s="2">
        <v>27</v>
      </c>
      <c r="J1508" s="2">
        <v>4508.3900000000003</v>
      </c>
    </row>
    <row r="1509" spans="1:10" x14ac:dyDescent="0.45">
      <c r="A1509" s="2" t="s">
        <v>124</v>
      </c>
      <c r="B1509" s="2" t="s">
        <v>15</v>
      </c>
      <c r="C1509" s="2" t="s">
        <v>16</v>
      </c>
      <c r="D1509" s="2" t="s">
        <v>25</v>
      </c>
      <c r="E1509" s="2" t="s">
        <v>54</v>
      </c>
      <c r="F1509" s="2">
        <v>58520</v>
      </c>
      <c r="G1509" s="2">
        <v>3604</v>
      </c>
      <c r="H1509" s="2">
        <v>5333.92</v>
      </c>
      <c r="I1509" s="2">
        <v>265</v>
      </c>
      <c r="J1509" s="2">
        <v>78186.23</v>
      </c>
    </row>
    <row r="1510" spans="1:10" x14ac:dyDescent="0.45">
      <c r="A1510" s="2" t="s">
        <v>132</v>
      </c>
      <c r="B1510" s="2" t="s">
        <v>15</v>
      </c>
      <c r="C1510" s="2" t="s">
        <v>24</v>
      </c>
      <c r="D1510" s="2" t="s">
        <v>25</v>
      </c>
      <c r="E1510" s="2" t="s">
        <v>33</v>
      </c>
      <c r="F1510" s="2">
        <v>111071</v>
      </c>
      <c r="G1510" s="2">
        <v>2865</v>
      </c>
      <c r="H1510" s="2">
        <v>8107.95</v>
      </c>
      <c r="I1510" s="2">
        <v>39</v>
      </c>
      <c r="J1510" s="2">
        <v>8971.2800000000007</v>
      </c>
    </row>
    <row r="1511" spans="1:10" x14ac:dyDescent="0.45">
      <c r="A1511" s="2" t="s">
        <v>100</v>
      </c>
      <c r="B1511" s="2" t="s">
        <v>15</v>
      </c>
      <c r="C1511" s="2" t="s">
        <v>28</v>
      </c>
      <c r="D1511" s="2" t="s">
        <v>29</v>
      </c>
      <c r="E1511" s="2" t="s">
        <v>51</v>
      </c>
      <c r="F1511" s="2">
        <v>153750</v>
      </c>
      <c r="G1511" s="2">
        <v>4920</v>
      </c>
      <c r="H1511" s="2">
        <v>14661.6</v>
      </c>
      <c r="I1511" s="2">
        <v>117</v>
      </c>
      <c r="J1511" s="2">
        <v>30000.6</v>
      </c>
    </row>
    <row r="1512" spans="1:10" x14ac:dyDescent="0.45">
      <c r="A1512" s="2" t="s">
        <v>288</v>
      </c>
      <c r="B1512" s="2" t="s">
        <v>35</v>
      </c>
      <c r="C1512" s="2" t="s">
        <v>38</v>
      </c>
      <c r="D1512" s="2" t="s">
        <v>29</v>
      </c>
      <c r="E1512" s="2" t="s">
        <v>26</v>
      </c>
      <c r="F1512" s="2">
        <v>108717</v>
      </c>
      <c r="G1512" s="2">
        <v>1435</v>
      </c>
      <c r="H1512" s="2">
        <v>2511.25</v>
      </c>
      <c r="I1512" s="2">
        <v>108</v>
      </c>
      <c r="J1512" s="2">
        <v>22074.54</v>
      </c>
    </row>
    <row r="1513" spans="1:10" x14ac:dyDescent="0.45">
      <c r="A1513" s="2" t="s">
        <v>88</v>
      </c>
      <c r="B1513" s="2" t="s">
        <v>15</v>
      </c>
      <c r="C1513" s="2" t="s">
        <v>28</v>
      </c>
      <c r="D1513" s="2" t="s">
        <v>41</v>
      </c>
      <c r="E1513" s="2" t="s">
        <v>51</v>
      </c>
      <c r="F1513" s="2">
        <v>141455</v>
      </c>
      <c r="G1513" s="2">
        <v>2673</v>
      </c>
      <c r="H1513" s="2">
        <v>7537.86</v>
      </c>
      <c r="I1513" s="2">
        <v>122</v>
      </c>
      <c r="J1513" s="2">
        <v>19810.32</v>
      </c>
    </row>
    <row r="1514" spans="1:10" x14ac:dyDescent="0.45">
      <c r="A1514" s="2" t="s">
        <v>79</v>
      </c>
      <c r="B1514" s="2" t="s">
        <v>35</v>
      </c>
      <c r="C1514" s="2" t="s">
        <v>16</v>
      </c>
      <c r="D1514" s="2" t="s">
        <v>25</v>
      </c>
      <c r="E1514" s="2" t="s">
        <v>26</v>
      </c>
      <c r="F1514" s="2">
        <v>158742</v>
      </c>
      <c r="G1514" s="2">
        <v>5778</v>
      </c>
      <c r="H1514" s="2">
        <v>12538.26</v>
      </c>
      <c r="I1514" s="2">
        <v>388</v>
      </c>
      <c r="J1514" s="2">
        <v>68610.11</v>
      </c>
    </row>
    <row r="1515" spans="1:10" x14ac:dyDescent="0.45">
      <c r="A1515" s="2" t="s">
        <v>277</v>
      </c>
      <c r="B1515" s="2" t="s">
        <v>35</v>
      </c>
      <c r="C1515" s="2" t="s">
        <v>16</v>
      </c>
      <c r="D1515" s="2" t="s">
        <v>41</v>
      </c>
      <c r="E1515" s="2" t="s">
        <v>30</v>
      </c>
      <c r="F1515" s="2">
        <v>26845</v>
      </c>
      <c r="G1515" s="2">
        <v>528</v>
      </c>
      <c r="H1515" s="2">
        <v>1098.24</v>
      </c>
      <c r="I1515" s="2">
        <v>11</v>
      </c>
      <c r="J1515" s="2">
        <v>1590.52</v>
      </c>
    </row>
    <row r="1516" spans="1:10" x14ac:dyDescent="0.45">
      <c r="A1516" s="2" t="s">
        <v>358</v>
      </c>
      <c r="B1516" s="2" t="s">
        <v>15</v>
      </c>
      <c r="C1516" s="2" t="s">
        <v>24</v>
      </c>
      <c r="D1516" s="2" t="s">
        <v>17</v>
      </c>
      <c r="E1516" s="2" t="s">
        <v>26</v>
      </c>
      <c r="F1516" s="2">
        <v>92332</v>
      </c>
      <c r="G1516" s="2">
        <v>5336</v>
      </c>
      <c r="H1516" s="2">
        <v>5015.84</v>
      </c>
      <c r="I1516" s="2">
        <v>213</v>
      </c>
      <c r="J1516" s="2">
        <v>39347.29</v>
      </c>
    </row>
    <row r="1517" spans="1:10" x14ac:dyDescent="0.45">
      <c r="A1517" s="2" t="s">
        <v>57</v>
      </c>
      <c r="B1517" s="2" t="s">
        <v>15</v>
      </c>
      <c r="C1517" s="2" t="s">
        <v>16</v>
      </c>
      <c r="D1517" s="2" t="s">
        <v>41</v>
      </c>
      <c r="E1517" s="2" t="s">
        <v>51</v>
      </c>
      <c r="F1517" s="2">
        <v>90953</v>
      </c>
      <c r="G1517" s="2">
        <v>4365</v>
      </c>
      <c r="H1517" s="2">
        <v>13269.6</v>
      </c>
      <c r="I1517" s="2">
        <v>73</v>
      </c>
      <c r="J1517" s="2">
        <v>19836.75</v>
      </c>
    </row>
    <row r="1518" spans="1:10" x14ac:dyDescent="0.45">
      <c r="A1518" s="2" t="s">
        <v>306</v>
      </c>
      <c r="B1518" s="2" t="s">
        <v>35</v>
      </c>
      <c r="C1518" s="2" t="s">
        <v>28</v>
      </c>
      <c r="D1518" s="2" t="s">
        <v>29</v>
      </c>
      <c r="E1518" s="2" t="s">
        <v>33</v>
      </c>
      <c r="F1518" s="2">
        <v>15047</v>
      </c>
      <c r="G1518" s="2">
        <v>368</v>
      </c>
      <c r="H1518" s="2">
        <v>390.08</v>
      </c>
      <c r="I1518" s="2">
        <v>27</v>
      </c>
      <c r="J1518" s="2">
        <v>6244.19</v>
      </c>
    </row>
    <row r="1519" spans="1:10" x14ac:dyDescent="0.45">
      <c r="A1519" s="2" t="s">
        <v>370</v>
      </c>
      <c r="B1519" s="2" t="s">
        <v>15</v>
      </c>
      <c r="C1519" s="2" t="s">
        <v>16</v>
      </c>
      <c r="D1519" s="2" t="s">
        <v>25</v>
      </c>
      <c r="E1519" s="2" t="s">
        <v>18</v>
      </c>
      <c r="F1519" s="2">
        <v>57632</v>
      </c>
      <c r="G1519" s="2">
        <v>1256</v>
      </c>
      <c r="H1519" s="2">
        <v>2198</v>
      </c>
      <c r="I1519" s="2">
        <v>20</v>
      </c>
      <c r="J1519" s="2">
        <v>1647.61</v>
      </c>
    </row>
    <row r="1520" spans="1:10" x14ac:dyDescent="0.45">
      <c r="A1520" s="2" t="s">
        <v>146</v>
      </c>
      <c r="B1520" s="2" t="s">
        <v>20</v>
      </c>
      <c r="C1520" s="2" t="s">
        <v>28</v>
      </c>
      <c r="D1520" s="2" t="s">
        <v>21</v>
      </c>
      <c r="E1520" s="2" t="s">
        <v>18</v>
      </c>
      <c r="F1520" s="2">
        <v>193568</v>
      </c>
      <c r="G1520" s="2">
        <v>12659</v>
      </c>
      <c r="H1520" s="2">
        <v>15697.16</v>
      </c>
      <c r="I1520" s="2">
        <v>366</v>
      </c>
      <c r="J1520" s="2">
        <v>17585.84</v>
      </c>
    </row>
    <row r="1521" spans="1:10" x14ac:dyDescent="0.45">
      <c r="A1521" s="2" t="s">
        <v>128</v>
      </c>
      <c r="B1521" s="2" t="s">
        <v>15</v>
      </c>
      <c r="C1521" s="2" t="s">
        <v>24</v>
      </c>
      <c r="D1521" s="2" t="s">
        <v>29</v>
      </c>
      <c r="E1521" s="2" t="s">
        <v>30</v>
      </c>
      <c r="F1521" s="2">
        <v>30343</v>
      </c>
      <c r="G1521" s="2">
        <v>743</v>
      </c>
      <c r="H1521" s="2">
        <v>2266.15</v>
      </c>
      <c r="I1521" s="2">
        <v>39</v>
      </c>
      <c r="J1521" s="2">
        <v>7450.31</v>
      </c>
    </row>
    <row r="1522" spans="1:10" x14ac:dyDescent="0.45">
      <c r="A1522" s="2" t="s">
        <v>108</v>
      </c>
      <c r="B1522" s="2" t="s">
        <v>35</v>
      </c>
      <c r="C1522" s="2" t="s">
        <v>38</v>
      </c>
      <c r="D1522" s="2" t="s">
        <v>29</v>
      </c>
      <c r="E1522" s="2" t="s">
        <v>30</v>
      </c>
      <c r="F1522" s="2">
        <v>6903</v>
      </c>
      <c r="G1522" s="2">
        <v>225</v>
      </c>
      <c r="H1522" s="2">
        <v>432</v>
      </c>
      <c r="I1522" s="2">
        <v>7</v>
      </c>
      <c r="J1522" s="2">
        <v>513.46</v>
      </c>
    </row>
    <row r="1523" spans="1:10" x14ac:dyDescent="0.45">
      <c r="A1523" s="2" t="s">
        <v>139</v>
      </c>
      <c r="B1523" s="2" t="s">
        <v>20</v>
      </c>
      <c r="C1523" s="2" t="s">
        <v>38</v>
      </c>
      <c r="D1523" s="2" t="s">
        <v>29</v>
      </c>
      <c r="E1523" s="2" t="s">
        <v>26</v>
      </c>
      <c r="F1523" s="2">
        <v>194291</v>
      </c>
      <c r="G1523" s="2">
        <v>9248</v>
      </c>
      <c r="H1523" s="2">
        <v>9987.84</v>
      </c>
      <c r="I1523" s="2">
        <v>669</v>
      </c>
      <c r="J1523" s="2">
        <v>34771.85</v>
      </c>
    </row>
    <row r="1524" spans="1:10" x14ac:dyDescent="0.45">
      <c r="A1524" s="2" t="s">
        <v>283</v>
      </c>
      <c r="B1524" s="2" t="s">
        <v>35</v>
      </c>
      <c r="C1524" s="2" t="s">
        <v>28</v>
      </c>
      <c r="D1524" s="2" t="s">
        <v>25</v>
      </c>
      <c r="E1524" s="2" t="s">
        <v>51</v>
      </c>
      <c r="F1524" s="2">
        <v>25704</v>
      </c>
      <c r="G1524" s="2">
        <v>616</v>
      </c>
      <c r="H1524" s="2">
        <v>616</v>
      </c>
      <c r="I1524" s="2">
        <v>18</v>
      </c>
      <c r="J1524" s="2">
        <v>2381.36</v>
      </c>
    </row>
    <row r="1525" spans="1:10" x14ac:dyDescent="0.45">
      <c r="A1525" s="2" t="s">
        <v>246</v>
      </c>
      <c r="B1525" s="2" t="s">
        <v>15</v>
      </c>
      <c r="C1525" s="2" t="s">
        <v>38</v>
      </c>
      <c r="D1525" s="2" t="s">
        <v>25</v>
      </c>
      <c r="E1525" s="2" t="s">
        <v>30</v>
      </c>
      <c r="F1525" s="2">
        <v>18696</v>
      </c>
      <c r="G1525" s="2">
        <v>327</v>
      </c>
      <c r="H1525" s="2">
        <v>853.47</v>
      </c>
      <c r="I1525" s="2">
        <v>8</v>
      </c>
      <c r="J1525" s="2">
        <v>1284.99</v>
      </c>
    </row>
    <row r="1526" spans="1:10" x14ac:dyDescent="0.45">
      <c r="A1526" s="2" t="s">
        <v>346</v>
      </c>
      <c r="B1526" s="2" t="s">
        <v>35</v>
      </c>
      <c r="C1526" s="2" t="s">
        <v>24</v>
      </c>
      <c r="D1526" s="2" t="s">
        <v>21</v>
      </c>
      <c r="E1526" s="2" t="s">
        <v>22</v>
      </c>
      <c r="F1526" s="2">
        <v>165408</v>
      </c>
      <c r="G1526" s="2">
        <v>1670</v>
      </c>
      <c r="H1526" s="2">
        <v>2171</v>
      </c>
      <c r="I1526" s="2">
        <v>80</v>
      </c>
      <c r="J1526" s="2">
        <v>9561</v>
      </c>
    </row>
    <row r="1527" spans="1:10" x14ac:dyDescent="0.45">
      <c r="A1527" s="2" t="s">
        <v>252</v>
      </c>
      <c r="B1527" s="2" t="s">
        <v>15</v>
      </c>
      <c r="C1527" s="2" t="s">
        <v>16</v>
      </c>
      <c r="D1527" s="2" t="s">
        <v>41</v>
      </c>
      <c r="E1527" s="2" t="s">
        <v>54</v>
      </c>
      <c r="F1527" s="2">
        <v>191372</v>
      </c>
      <c r="G1527" s="2">
        <v>11711</v>
      </c>
      <c r="H1527" s="2">
        <v>29043.279999999999</v>
      </c>
      <c r="I1527" s="2">
        <v>335</v>
      </c>
      <c r="J1527" s="2">
        <v>75028.42</v>
      </c>
    </row>
    <row r="1528" spans="1:10" x14ac:dyDescent="0.45">
      <c r="A1528" s="2" t="s">
        <v>115</v>
      </c>
      <c r="B1528" s="2" t="s">
        <v>35</v>
      </c>
      <c r="C1528" s="2" t="s">
        <v>38</v>
      </c>
      <c r="D1528" s="2" t="s">
        <v>21</v>
      </c>
      <c r="E1528" s="2" t="s">
        <v>26</v>
      </c>
      <c r="F1528" s="2">
        <v>71247</v>
      </c>
      <c r="G1528" s="2">
        <v>1888</v>
      </c>
      <c r="H1528" s="2">
        <v>887.36</v>
      </c>
      <c r="I1528" s="2">
        <v>57</v>
      </c>
      <c r="J1528" s="2">
        <v>9045.86</v>
      </c>
    </row>
    <row r="1529" spans="1:10" x14ac:dyDescent="0.45">
      <c r="A1529" s="2" t="s">
        <v>121</v>
      </c>
      <c r="B1529" s="2" t="s">
        <v>20</v>
      </c>
      <c r="C1529" s="2" t="s">
        <v>16</v>
      </c>
      <c r="D1529" s="2" t="s">
        <v>17</v>
      </c>
      <c r="E1529" s="2" t="s">
        <v>18</v>
      </c>
      <c r="F1529" s="2">
        <v>132294</v>
      </c>
      <c r="G1529" s="2">
        <v>7527</v>
      </c>
      <c r="H1529" s="2">
        <v>6774.3</v>
      </c>
      <c r="I1529" s="2">
        <v>262</v>
      </c>
      <c r="J1529" s="2">
        <v>50030.33</v>
      </c>
    </row>
    <row r="1530" spans="1:10" x14ac:dyDescent="0.45">
      <c r="A1530" s="2" t="s">
        <v>353</v>
      </c>
      <c r="B1530" s="2" t="s">
        <v>20</v>
      </c>
      <c r="C1530" s="2" t="s">
        <v>38</v>
      </c>
      <c r="D1530" s="2" t="s">
        <v>41</v>
      </c>
      <c r="E1530" s="2" t="s">
        <v>30</v>
      </c>
      <c r="F1530" s="2">
        <v>66086</v>
      </c>
      <c r="G1530" s="2">
        <v>3317</v>
      </c>
      <c r="H1530" s="2">
        <v>1094.6099999999999</v>
      </c>
      <c r="I1530" s="2">
        <v>206</v>
      </c>
      <c r="J1530" s="2">
        <v>51119.73</v>
      </c>
    </row>
    <row r="1531" spans="1:10" x14ac:dyDescent="0.45">
      <c r="A1531" s="2" t="s">
        <v>195</v>
      </c>
      <c r="B1531" s="2" t="s">
        <v>15</v>
      </c>
      <c r="C1531" s="2" t="s">
        <v>16</v>
      </c>
      <c r="D1531" s="2" t="s">
        <v>25</v>
      </c>
      <c r="E1531" s="2" t="s">
        <v>22</v>
      </c>
      <c r="F1531" s="2">
        <v>186232</v>
      </c>
      <c r="G1531" s="2">
        <v>9292</v>
      </c>
      <c r="H1531" s="2">
        <v>22300.799999999999</v>
      </c>
      <c r="I1531" s="2">
        <v>265</v>
      </c>
      <c r="J1531" s="2">
        <v>67766.02</v>
      </c>
    </row>
    <row r="1532" spans="1:10" x14ac:dyDescent="0.45">
      <c r="A1532" s="2" t="s">
        <v>48</v>
      </c>
      <c r="B1532" s="2" t="s">
        <v>20</v>
      </c>
      <c r="C1532" s="2" t="s">
        <v>28</v>
      </c>
      <c r="D1532" s="2" t="s">
        <v>25</v>
      </c>
      <c r="E1532" s="2" t="s">
        <v>51</v>
      </c>
      <c r="F1532" s="2">
        <v>145225</v>
      </c>
      <c r="G1532" s="2">
        <v>5562</v>
      </c>
      <c r="H1532" s="2">
        <v>4672.08</v>
      </c>
      <c r="I1532" s="2">
        <v>378</v>
      </c>
      <c r="J1532" s="2">
        <v>102053.93</v>
      </c>
    </row>
    <row r="1533" spans="1:10" x14ac:dyDescent="0.45">
      <c r="A1533" s="2" t="s">
        <v>191</v>
      </c>
      <c r="B1533" s="2" t="s">
        <v>15</v>
      </c>
      <c r="C1533" s="2" t="s">
        <v>16</v>
      </c>
      <c r="D1533" s="2" t="s">
        <v>29</v>
      </c>
      <c r="E1533" s="2" t="s">
        <v>30</v>
      </c>
      <c r="F1533" s="2">
        <v>15470</v>
      </c>
      <c r="G1533" s="2">
        <v>529</v>
      </c>
      <c r="H1533" s="2">
        <v>634.79999999999995</v>
      </c>
      <c r="I1533" s="2">
        <v>5</v>
      </c>
      <c r="J1533" s="2">
        <v>1223.76</v>
      </c>
    </row>
    <row r="1534" spans="1:10" x14ac:dyDescent="0.45">
      <c r="A1534" s="2" t="s">
        <v>36</v>
      </c>
      <c r="B1534" s="2" t="s">
        <v>15</v>
      </c>
      <c r="C1534" s="2" t="s">
        <v>38</v>
      </c>
      <c r="D1534" s="2" t="s">
        <v>25</v>
      </c>
      <c r="E1534" s="2" t="s">
        <v>54</v>
      </c>
      <c r="F1534" s="2">
        <v>91814</v>
      </c>
      <c r="G1534" s="2">
        <v>2607</v>
      </c>
      <c r="H1534" s="2">
        <v>6465.36</v>
      </c>
      <c r="I1534" s="2">
        <v>129</v>
      </c>
      <c r="J1534" s="2">
        <v>25405.84</v>
      </c>
    </row>
    <row r="1535" spans="1:10" x14ac:dyDescent="0.45">
      <c r="A1535" s="2" t="s">
        <v>262</v>
      </c>
      <c r="B1535" s="2" t="s">
        <v>15</v>
      </c>
      <c r="C1535" s="2" t="s">
        <v>38</v>
      </c>
      <c r="D1535" s="2" t="s">
        <v>21</v>
      </c>
      <c r="E1535" s="2" t="s">
        <v>54</v>
      </c>
      <c r="F1535" s="2">
        <v>96087</v>
      </c>
      <c r="G1535" s="2">
        <v>3238</v>
      </c>
      <c r="H1535" s="2">
        <v>9843.52</v>
      </c>
      <c r="I1535" s="2">
        <v>45</v>
      </c>
      <c r="J1535" s="2">
        <v>7783</v>
      </c>
    </row>
    <row r="1536" spans="1:10" x14ac:dyDescent="0.45">
      <c r="A1536" s="2" t="s">
        <v>320</v>
      </c>
      <c r="B1536" s="2" t="s">
        <v>15</v>
      </c>
      <c r="C1536" s="2" t="s">
        <v>28</v>
      </c>
      <c r="D1536" s="2" t="s">
        <v>17</v>
      </c>
      <c r="E1536" s="2" t="s">
        <v>30</v>
      </c>
      <c r="F1536" s="2">
        <v>92943</v>
      </c>
      <c r="G1536" s="2">
        <v>5037</v>
      </c>
      <c r="H1536" s="2">
        <v>11383.62</v>
      </c>
      <c r="I1536" s="2">
        <v>232</v>
      </c>
      <c r="J1536" s="2">
        <v>64994.16</v>
      </c>
    </row>
    <row r="1537" spans="1:10" x14ac:dyDescent="0.45">
      <c r="A1537" s="2" t="s">
        <v>379</v>
      </c>
      <c r="B1537" s="2" t="s">
        <v>35</v>
      </c>
      <c r="C1537" s="2" t="s">
        <v>38</v>
      </c>
      <c r="D1537" s="2" t="s">
        <v>29</v>
      </c>
      <c r="E1537" s="2" t="s">
        <v>51</v>
      </c>
      <c r="F1537" s="2">
        <v>36411</v>
      </c>
      <c r="G1537" s="2">
        <v>873</v>
      </c>
      <c r="H1537" s="2">
        <v>1772.19</v>
      </c>
      <c r="I1537" s="2">
        <v>47</v>
      </c>
      <c r="J1537" s="2">
        <v>13565.96</v>
      </c>
    </row>
    <row r="1538" spans="1:10" x14ac:dyDescent="0.45">
      <c r="A1538" s="2" t="s">
        <v>223</v>
      </c>
      <c r="B1538" s="2" t="s">
        <v>35</v>
      </c>
      <c r="C1538" s="2" t="s">
        <v>24</v>
      </c>
      <c r="D1538" s="2" t="s">
        <v>21</v>
      </c>
      <c r="E1538" s="2" t="s">
        <v>26</v>
      </c>
      <c r="F1538" s="2">
        <v>145170</v>
      </c>
      <c r="G1538" s="2">
        <v>4688</v>
      </c>
      <c r="H1538" s="2">
        <v>8204</v>
      </c>
      <c r="I1538" s="2">
        <v>106</v>
      </c>
      <c r="J1538" s="2">
        <v>30413.14</v>
      </c>
    </row>
    <row r="1539" spans="1:10" x14ac:dyDescent="0.45">
      <c r="A1539" s="2" t="s">
        <v>316</v>
      </c>
      <c r="B1539" s="2" t="s">
        <v>15</v>
      </c>
      <c r="C1539" s="2" t="s">
        <v>24</v>
      </c>
      <c r="D1539" s="2" t="s">
        <v>41</v>
      </c>
      <c r="E1539" s="2" t="s">
        <v>30</v>
      </c>
      <c r="F1539" s="2">
        <v>146428</v>
      </c>
      <c r="G1539" s="2">
        <v>2796</v>
      </c>
      <c r="H1539" s="2">
        <v>6263.04</v>
      </c>
      <c r="I1539" s="2">
        <v>164</v>
      </c>
      <c r="J1539" s="2">
        <v>33829.22</v>
      </c>
    </row>
    <row r="1540" spans="1:10" x14ac:dyDescent="0.45">
      <c r="A1540" s="2" t="s">
        <v>170</v>
      </c>
      <c r="B1540" s="2" t="s">
        <v>15</v>
      </c>
      <c r="C1540" s="2" t="s">
        <v>16</v>
      </c>
      <c r="D1540" s="2" t="s">
        <v>17</v>
      </c>
      <c r="E1540" s="2" t="s">
        <v>30</v>
      </c>
      <c r="F1540" s="2">
        <v>151772</v>
      </c>
      <c r="G1540" s="2">
        <v>6237</v>
      </c>
      <c r="H1540" s="2">
        <v>6361.74</v>
      </c>
      <c r="I1540" s="2">
        <v>302</v>
      </c>
      <c r="J1540" s="2">
        <v>77929.210000000006</v>
      </c>
    </row>
    <row r="1541" spans="1:10" x14ac:dyDescent="0.45">
      <c r="A1541" s="2" t="s">
        <v>126</v>
      </c>
      <c r="B1541" s="2" t="s">
        <v>20</v>
      </c>
      <c r="C1541" s="2" t="s">
        <v>16</v>
      </c>
      <c r="D1541" s="2" t="s">
        <v>41</v>
      </c>
      <c r="E1541" s="2" t="s">
        <v>26</v>
      </c>
      <c r="F1541" s="2">
        <v>179561</v>
      </c>
      <c r="G1541" s="2">
        <v>8600</v>
      </c>
      <c r="H1541" s="2">
        <v>12384</v>
      </c>
      <c r="I1541" s="2">
        <v>212</v>
      </c>
      <c r="J1541" s="2">
        <v>34386.07</v>
      </c>
    </row>
    <row r="1542" spans="1:10" x14ac:dyDescent="0.45">
      <c r="A1542" s="2" t="s">
        <v>42</v>
      </c>
      <c r="B1542" s="2" t="s">
        <v>15</v>
      </c>
      <c r="C1542" s="2" t="s">
        <v>16</v>
      </c>
      <c r="D1542" s="2" t="s">
        <v>21</v>
      </c>
      <c r="E1542" s="2" t="s">
        <v>18</v>
      </c>
      <c r="F1542" s="2">
        <v>100381</v>
      </c>
      <c r="G1542" s="2">
        <v>5691</v>
      </c>
      <c r="H1542" s="2">
        <v>4723.53</v>
      </c>
      <c r="I1542" s="2">
        <v>321</v>
      </c>
      <c r="J1542" s="2">
        <v>58283.85</v>
      </c>
    </row>
    <row r="1543" spans="1:10" x14ac:dyDescent="0.45">
      <c r="A1543" s="2" t="s">
        <v>195</v>
      </c>
      <c r="B1543" s="2" t="s">
        <v>20</v>
      </c>
      <c r="C1543" s="2" t="s">
        <v>38</v>
      </c>
      <c r="D1543" s="2" t="s">
        <v>41</v>
      </c>
      <c r="E1543" s="2" t="s">
        <v>51</v>
      </c>
      <c r="F1543" s="2">
        <v>180552</v>
      </c>
      <c r="G1543" s="2">
        <v>6030</v>
      </c>
      <c r="H1543" s="2">
        <v>10251</v>
      </c>
      <c r="I1543" s="2">
        <v>383</v>
      </c>
      <c r="J1543" s="2">
        <v>23539.41</v>
      </c>
    </row>
    <row r="1544" spans="1:10" x14ac:dyDescent="0.45">
      <c r="A1544" s="2" t="s">
        <v>280</v>
      </c>
      <c r="B1544" s="2" t="s">
        <v>20</v>
      </c>
      <c r="C1544" s="2" t="s">
        <v>38</v>
      </c>
      <c r="D1544" s="2" t="s">
        <v>21</v>
      </c>
      <c r="E1544" s="2" t="s">
        <v>26</v>
      </c>
      <c r="F1544" s="2">
        <v>163328</v>
      </c>
      <c r="G1544" s="2">
        <v>4981</v>
      </c>
      <c r="H1544" s="2">
        <v>6027.01</v>
      </c>
      <c r="I1544" s="2">
        <v>142</v>
      </c>
      <c r="J1544" s="2">
        <v>21158.33</v>
      </c>
    </row>
    <row r="1545" spans="1:10" x14ac:dyDescent="0.45">
      <c r="A1545" s="2" t="s">
        <v>206</v>
      </c>
      <c r="B1545" s="2" t="s">
        <v>20</v>
      </c>
      <c r="C1545" s="2" t="s">
        <v>38</v>
      </c>
      <c r="D1545" s="2" t="s">
        <v>21</v>
      </c>
      <c r="E1545" s="2" t="s">
        <v>26</v>
      </c>
      <c r="F1545" s="2">
        <v>93635</v>
      </c>
      <c r="G1545" s="2">
        <v>4363</v>
      </c>
      <c r="H1545" s="2">
        <v>5933.68</v>
      </c>
      <c r="I1545" s="2">
        <v>117</v>
      </c>
      <c r="J1545" s="2">
        <v>29999.39</v>
      </c>
    </row>
    <row r="1546" spans="1:10" x14ac:dyDescent="0.45">
      <c r="A1546" s="2" t="s">
        <v>353</v>
      </c>
      <c r="B1546" s="2" t="s">
        <v>15</v>
      </c>
      <c r="C1546" s="2" t="s">
        <v>38</v>
      </c>
      <c r="D1546" s="2" t="s">
        <v>29</v>
      </c>
      <c r="E1546" s="2" t="s">
        <v>18</v>
      </c>
      <c r="F1546" s="2">
        <v>133526</v>
      </c>
      <c r="G1546" s="2">
        <v>4633</v>
      </c>
      <c r="H1546" s="2">
        <v>14223.31</v>
      </c>
      <c r="I1546" s="2">
        <v>340</v>
      </c>
      <c r="J1546" s="2">
        <v>62193.85</v>
      </c>
    </row>
    <row r="1547" spans="1:10" x14ac:dyDescent="0.45">
      <c r="A1547" s="2" t="s">
        <v>347</v>
      </c>
      <c r="B1547" s="2" t="s">
        <v>20</v>
      </c>
      <c r="C1547" s="2" t="s">
        <v>24</v>
      </c>
      <c r="D1547" s="2" t="s">
        <v>41</v>
      </c>
      <c r="E1547" s="2" t="s">
        <v>33</v>
      </c>
      <c r="F1547" s="2">
        <v>48475</v>
      </c>
      <c r="G1547" s="2">
        <v>3160</v>
      </c>
      <c r="H1547" s="2">
        <v>2401.6</v>
      </c>
      <c r="I1547" s="2">
        <v>124</v>
      </c>
      <c r="J1547" s="2">
        <v>19990.89</v>
      </c>
    </row>
    <row r="1548" spans="1:10" x14ac:dyDescent="0.45">
      <c r="A1548" s="2" t="s">
        <v>39</v>
      </c>
      <c r="B1548" s="2" t="s">
        <v>20</v>
      </c>
      <c r="C1548" s="2" t="s">
        <v>24</v>
      </c>
      <c r="D1548" s="2" t="s">
        <v>17</v>
      </c>
      <c r="E1548" s="2" t="s">
        <v>51</v>
      </c>
      <c r="F1548" s="2">
        <v>195722</v>
      </c>
      <c r="G1548" s="2">
        <v>12624</v>
      </c>
      <c r="H1548" s="2">
        <v>25374.240000000002</v>
      </c>
      <c r="I1548" s="2">
        <v>755</v>
      </c>
      <c r="J1548" s="2">
        <v>129016.77</v>
      </c>
    </row>
    <row r="1549" spans="1:10" x14ac:dyDescent="0.45">
      <c r="A1549" s="2" t="s">
        <v>389</v>
      </c>
      <c r="B1549" s="2" t="s">
        <v>15</v>
      </c>
      <c r="C1549" s="2" t="s">
        <v>16</v>
      </c>
      <c r="D1549" s="2" t="s">
        <v>25</v>
      </c>
      <c r="E1549" s="2" t="s">
        <v>22</v>
      </c>
      <c r="F1549" s="2">
        <v>106277</v>
      </c>
      <c r="G1549" s="2">
        <v>6961</v>
      </c>
      <c r="H1549" s="2">
        <v>20604.560000000001</v>
      </c>
      <c r="I1549" s="2">
        <v>180</v>
      </c>
      <c r="J1549" s="2">
        <v>42397.440000000002</v>
      </c>
    </row>
    <row r="1550" spans="1:10" x14ac:dyDescent="0.45">
      <c r="A1550" s="2" t="s">
        <v>19</v>
      </c>
      <c r="B1550" s="2" t="s">
        <v>15</v>
      </c>
      <c r="C1550" s="2" t="s">
        <v>28</v>
      </c>
      <c r="D1550" s="2" t="s">
        <v>17</v>
      </c>
      <c r="E1550" s="2" t="s">
        <v>54</v>
      </c>
      <c r="F1550" s="2">
        <v>153953</v>
      </c>
      <c r="G1550" s="2">
        <v>5095</v>
      </c>
      <c r="H1550" s="2">
        <v>14571.7</v>
      </c>
      <c r="I1550" s="2">
        <v>110</v>
      </c>
      <c r="J1550" s="2">
        <v>30634.7</v>
      </c>
    </row>
    <row r="1551" spans="1:10" x14ac:dyDescent="0.45">
      <c r="A1551" s="2" t="s">
        <v>187</v>
      </c>
      <c r="B1551" s="2" t="s">
        <v>35</v>
      </c>
      <c r="C1551" s="2" t="s">
        <v>24</v>
      </c>
      <c r="D1551" s="2" t="s">
        <v>25</v>
      </c>
      <c r="E1551" s="2" t="s">
        <v>30</v>
      </c>
      <c r="F1551" s="2">
        <v>142135</v>
      </c>
      <c r="G1551" s="2">
        <v>2387</v>
      </c>
      <c r="H1551" s="2">
        <v>4583.04</v>
      </c>
      <c r="I1551" s="2">
        <v>98</v>
      </c>
      <c r="J1551" s="2">
        <v>25385.35</v>
      </c>
    </row>
    <row r="1552" spans="1:10" x14ac:dyDescent="0.45">
      <c r="A1552" s="2" t="s">
        <v>149</v>
      </c>
      <c r="B1552" s="2" t="s">
        <v>15</v>
      </c>
      <c r="C1552" s="2" t="s">
        <v>28</v>
      </c>
      <c r="D1552" s="2" t="s">
        <v>21</v>
      </c>
      <c r="E1552" s="2" t="s">
        <v>33</v>
      </c>
      <c r="F1552" s="2">
        <v>107891</v>
      </c>
      <c r="G1552" s="2">
        <v>3733</v>
      </c>
      <c r="H1552" s="2">
        <v>8623.23</v>
      </c>
      <c r="I1552" s="2">
        <v>148</v>
      </c>
      <c r="J1552" s="2">
        <v>15202.91</v>
      </c>
    </row>
    <row r="1553" spans="1:10" x14ac:dyDescent="0.45">
      <c r="A1553" s="2" t="s">
        <v>384</v>
      </c>
      <c r="B1553" s="2" t="s">
        <v>20</v>
      </c>
      <c r="C1553" s="2" t="s">
        <v>24</v>
      </c>
      <c r="D1553" s="2" t="s">
        <v>29</v>
      </c>
      <c r="E1553" s="2" t="s">
        <v>26</v>
      </c>
      <c r="F1553" s="2">
        <v>191380</v>
      </c>
      <c r="G1553" s="2">
        <v>8171</v>
      </c>
      <c r="H1553" s="2">
        <v>4085.5</v>
      </c>
      <c r="I1553" s="2">
        <v>572</v>
      </c>
      <c r="J1553" s="2">
        <v>155778.92000000001</v>
      </c>
    </row>
    <row r="1554" spans="1:10" x14ac:dyDescent="0.45">
      <c r="A1554" s="2" t="s">
        <v>226</v>
      </c>
      <c r="B1554" s="2" t="s">
        <v>35</v>
      </c>
      <c r="C1554" s="2" t="s">
        <v>16</v>
      </c>
      <c r="D1554" s="2" t="s">
        <v>25</v>
      </c>
      <c r="E1554" s="2" t="s">
        <v>22</v>
      </c>
      <c r="F1554" s="2">
        <v>123372</v>
      </c>
      <c r="G1554" s="2">
        <v>3355</v>
      </c>
      <c r="H1554" s="2">
        <v>7716.5</v>
      </c>
      <c r="I1554" s="2">
        <v>224</v>
      </c>
      <c r="J1554" s="2">
        <v>57352.38</v>
      </c>
    </row>
    <row r="1555" spans="1:10" x14ac:dyDescent="0.45">
      <c r="A1555" s="2" t="s">
        <v>145</v>
      </c>
      <c r="B1555" s="2" t="s">
        <v>15</v>
      </c>
      <c r="C1555" s="2" t="s">
        <v>16</v>
      </c>
      <c r="D1555" s="2" t="s">
        <v>41</v>
      </c>
      <c r="E1555" s="2" t="s">
        <v>18</v>
      </c>
      <c r="F1555" s="2">
        <v>104464</v>
      </c>
      <c r="G1555" s="2">
        <v>4314</v>
      </c>
      <c r="H1555" s="2">
        <v>9749.64</v>
      </c>
      <c r="I1555" s="2">
        <v>82</v>
      </c>
      <c r="J1555" s="2">
        <v>10226.11</v>
      </c>
    </row>
    <row r="1556" spans="1:10" x14ac:dyDescent="0.45">
      <c r="A1556" s="2" t="s">
        <v>206</v>
      </c>
      <c r="B1556" s="2" t="s">
        <v>15</v>
      </c>
      <c r="C1556" s="2" t="s">
        <v>24</v>
      </c>
      <c r="D1556" s="2" t="s">
        <v>29</v>
      </c>
      <c r="E1556" s="2" t="s">
        <v>22</v>
      </c>
      <c r="F1556" s="2">
        <v>113502</v>
      </c>
      <c r="G1556" s="2">
        <v>2235</v>
      </c>
      <c r="H1556" s="2">
        <v>2704.35</v>
      </c>
      <c r="I1556" s="2">
        <v>34</v>
      </c>
      <c r="J1556" s="2">
        <v>6126.9</v>
      </c>
    </row>
    <row r="1557" spans="1:10" x14ac:dyDescent="0.45">
      <c r="A1557" s="2" t="s">
        <v>383</v>
      </c>
      <c r="B1557" s="2" t="s">
        <v>15</v>
      </c>
      <c r="C1557" s="2" t="s">
        <v>28</v>
      </c>
      <c r="D1557" s="2" t="s">
        <v>25</v>
      </c>
      <c r="E1557" s="2" t="s">
        <v>54</v>
      </c>
      <c r="F1557" s="2">
        <v>95196</v>
      </c>
      <c r="G1557" s="2">
        <v>3170</v>
      </c>
      <c r="H1557" s="2">
        <v>3328.5</v>
      </c>
      <c r="I1557" s="2">
        <v>170</v>
      </c>
      <c r="J1557" s="2">
        <v>13047.52</v>
      </c>
    </row>
    <row r="1558" spans="1:10" x14ac:dyDescent="0.45">
      <c r="A1558" s="2" t="s">
        <v>265</v>
      </c>
      <c r="B1558" s="2" t="s">
        <v>15</v>
      </c>
      <c r="C1558" s="2" t="s">
        <v>38</v>
      </c>
      <c r="D1558" s="2" t="s">
        <v>25</v>
      </c>
      <c r="E1558" s="2" t="s">
        <v>22</v>
      </c>
      <c r="F1558" s="2">
        <v>86362</v>
      </c>
      <c r="G1558" s="2">
        <v>2547</v>
      </c>
      <c r="H1558" s="2">
        <v>3591.27</v>
      </c>
      <c r="I1558" s="2">
        <v>164</v>
      </c>
      <c r="J1558" s="2">
        <v>33307.300000000003</v>
      </c>
    </row>
    <row r="1559" spans="1:10" x14ac:dyDescent="0.45">
      <c r="A1559" s="2" t="s">
        <v>225</v>
      </c>
      <c r="B1559" s="2" t="s">
        <v>15</v>
      </c>
      <c r="C1559" s="2" t="s">
        <v>16</v>
      </c>
      <c r="D1559" s="2" t="s">
        <v>41</v>
      </c>
      <c r="E1559" s="2" t="s">
        <v>26</v>
      </c>
      <c r="F1559" s="2">
        <v>78532</v>
      </c>
      <c r="G1559" s="2">
        <v>4735</v>
      </c>
      <c r="H1559" s="2">
        <v>13352.7</v>
      </c>
      <c r="I1559" s="2">
        <v>310</v>
      </c>
      <c r="J1559" s="2">
        <v>45765.16</v>
      </c>
    </row>
    <row r="1560" spans="1:10" x14ac:dyDescent="0.45">
      <c r="A1560" s="2" t="s">
        <v>322</v>
      </c>
      <c r="B1560" s="2" t="s">
        <v>15</v>
      </c>
      <c r="C1560" s="2" t="s">
        <v>28</v>
      </c>
      <c r="D1560" s="2" t="s">
        <v>25</v>
      </c>
      <c r="E1560" s="2" t="s">
        <v>33</v>
      </c>
      <c r="F1560" s="2">
        <v>184081</v>
      </c>
      <c r="G1560" s="2">
        <v>5135</v>
      </c>
      <c r="H1560" s="2">
        <v>11194.3</v>
      </c>
      <c r="I1560" s="2">
        <v>96</v>
      </c>
      <c r="J1560" s="2">
        <v>24545.05</v>
      </c>
    </row>
    <row r="1561" spans="1:10" x14ac:dyDescent="0.45">
      <c r="A1561" s="2" t="s">
        <v>138</v>
      </c>
      <c r="B1561" s="2" t="s">
        <v>35</v>
      </c>
      <c r="C1561" s="2" t="s">
        <v>38</v>
      </c>
      <c r="D1561" s="2" t="s">
        <v>25</v>
      </c>
      <c r="E1561" s="2" t="s">
        <v>33</v>
      </c>
      <c r="F1561" s="2">
        <v>93966</v>
      </c>
      <c r="G1561" s="2">
        <v>2104</v>
      </c>
      <c r="H1561" s="2">
        <v>2040.88</v>
      </c>
      <c r="I1561" s="2">
        <v>157</v>
      </c>
      <c r="J1561" s="2">
        <v>6975.9</v>
      </c>
    </row>
    <row r="1562" spans="1:10" x14ac:dyDescent="0.45">
      <c r="A1562" s="2" t="s">
        <v>386</v>
      </c>
      <c r="B1562" s="2" t="s">
        <v>15</v>
      </c>
      <c r="C1562" s="2" t="s">
        <v>24</v>
      </c>
      <c r="D1562" s="2" t="s">
        <v>29</v>
      </c>
      <c r="E1562" s="2" t="s">
        <v>18</v>
      </c>
      <c r="F1562" s="2">
        <v>28667</v>
      </c>
      <c r="G1562" s="2">
        <v>1338</v>
      </c>
      <c r="H1562" s="2">
        <v>3880.2</v>
      </c>
      <c r="I1562" s="2">
        <v>24</v>
      </c>
      <c r="J1562" s="2">
        <v>3421.56</v>
      </c>
    </row>
    <row r="1563" spans="1:10" x14ac:dyDescent="0.45">
      <c r="A1563" s="2" t="s">
        <v>14</v>
      </c>
      <c r="B1563" s="2" t="s">
        <v>15</v>
      </c>
      <c r="C1563" s="2" t="s">
        <v>38</v>
      </c>
      <c r="D1563" s="2" t="s">
        <v>25</v>
      </c>
      <c r="E1563" s="2" t="s">
        <v>54</v>
      </c>
      <c r="F1563" s="2">
        <v>154239</v>
      </c>
      <c r="G1563" s="2">
        <v>7465</v>
      </c>
      <c r="H1563" s="2">
        <v>23888</v>
      </c>
      <c r="I1563" s="2">
        <v>484</v>
      </c>
      <c r="J1563" s="2">
        <v>25632.04</v>
      </c>
    </row>
    <row r="1564" spans="1:10" x14ac:dyDescent="0.45">
      <c r="A1564" s="2" t="s">
        <v>36</v>
      </c>
      <c r="B1564" s="2" t="s">
        <v>35</v>
      </c>
      <c r="C1564" s="2" t="s">
        <v>24</v>
      </c>
      <c r="D1564" s="2" t="s">
        <v>17</v>
      </c>
      <c r="E1564" s="2" t="s">
        <v>18</v>
      </c>
      <c r="F1564" s="2">
        <v>103576</v>
      </c>
      <c r="G1564" s="2">
        <v>1263</v>
      </c>
      <c r="H1564" s="2">
        <v>593.61</v>
      </c>
      <c r="I1564" s="2">
        <v>22</v>
      </c>
      <c r="J1564" s="2">
        <v>5190.25</v>
      </c>
    </row>
    <row r="1565" spans="1:10" x14ac:dyDescent="0.45">
      <c r="A1565" s="2" t="s">
        <v>169</v>
      </c>
      <c r="B1565" s="2" t="s">
        <v>20</v>
      </c>
      <c r="C1565" s="2" t="s">
        <v>24</v>
      </c>
      <c r="D1565" s="2" t="s">
        <v>21</v>
      </c>
      <c r="E1565" s="2" t="s">
        <v>51</v>
      </c>
      <c r="F1565" s="2">
        <v>111154</v>
      </c>
      <c r="G1565" s="2">
        <v>5124</v>
      </c>
      <c r="H1565" s="2">
        <v>4560.3599999999997</v>
      </c>
      <c r="I1565" s="2">
        <v>368</v>
      </c>
      <c r="J1565" s="2">
        <v>82164.399999999994</v>
      </c>
    </row>
    <row r="1566" spans="1:10" x14ac:dyDescent="0.45">
      <c r="A1566" s="2" t="s">
        <v>146</v>
      </c>
      <c r="B1566" s="2" t="s">
        <v>15</v>
      </c>
      <c r="C1566" s="2" t="s">
        <v>16</v>
      </c>
      <c r="D1566" s="2" t="s">
        <v>41</v>
      </c>
      <c r="E1566" s="2" t="s">
        <v>26</v>
      </c>
      <c r="F1566" s="2">
        <v>104456</v>
      </c>
      <c r="G1566" s="2">
        <v>6403</v>
      </c>
      <c r="H1566" s="2">
        <v>13510.33</v>
      </c>
      <c r="I1566" s="2">
        <v>440</v>
      </c>
      <c r="J1566" s="2">
        <v>111130.68</v>
      </c>
    </row>
    <row r="1567" spans="1:10" x14ac:dyDescent="0.45">
      <c r="A1567" s="2" t="s">
        <v>153</v>
      </c>
      <c r="B1567" s="2" t="s">
        <v>35</v>
      </c>
      <c r="C1567" s="2" t="s">
        <v>38</v>
      </c>
      <c r="D1567" s="2" t="s">
        <v>29</v>
      </c>
      <c r="E1567" s="2" t="s">
        <v>18</v>
      </c>
      <c r="F1567" s="2">
        <v>173307</v>
      </c>
      <c r="G1567" s="2">
        <v>3292</v>
      </c>
      <c r="H1567" s="2">
        <v>3390.76</v>
      </c>
      <c r="I1567" s="2">
        <v>74</v>
      </c>
      <c r="J1567" s="2">
        <v>21574.44</v>
      </c>
    </row>
    <row r="1568" spans="1:10" x14ac:dyDescent="0.45">
      <c r="A1568" s="2" t="s">
        <v>227</v>
      </c>
      <c r="B1568" s="2" t="s">
        <v>15</v>
      </c>
      <c r="C1568" s="2" t="s">
        <v>38</v>
      </c>
      <c r="D1568" s="2" t="s">
        <v>17</v>
      </c>
      <c r="E1568" s="2" t="s">
        <v>54</v>
      </c>
      <c r="F1568" s="2">
        <v>197459</v>
      </c>
      <c r="G1568" s="2">
        <v>5667</v>
      </c>
      <c r="H1568" s="2">
        <v>20174.52</v>
      </c>
      <c r="I1568" s="2">
        <v>105</v>
      </c>
      <c r="J1568" s="2">
        <v>17723.39</v>
      </c>
    </row>
    <row r="1569" spans="1:10" x14ac:dyDescent="0.45">
      <c r="A1569" s="2" t="s">
        <v>251</v>
      </c>
      <c r="B1569" s="2" t="s">
        <v>20</v>
      </c>
      <c r="C1569" s="2" t="s">
        <v>24</v>
      </c>
      <c r="D1569" s="2" t="s">
        <v>21</v>
      </c>
      <c r="E1569" s="2" t="s">
        <v>22</v>
      </c>
      <c r="F1569" s="2">
        <v>154676</v>
      </c>
      <c r="G1569" s="2">
        <v>5970</v>
      </c>
      <c r="H1569" s="2">
        <v>6507.3</v>
      </c>
      <c r="I1569" s="2">
        <v>107</v>
      </c>
      <c r="J1569" s="2">
        <v>14099.39</v>
      </c>
    </row>
    <row r="1570" spans="1:10" x14ac:dyDescent="0.45">
      <c r="A1570" s="2" t="s">
        <v>315</v>
      </c>
      <c r="B1570" s="2" t="s">
        <v>35</v>
      </c>
      <c r="C1570" s="2" t="s">
        <v>24</v>
      </c>
      <c r="D1570" s="2" t="s">
        <v>17</v>
      </c>
      <c r="E1570" s="2" t="s">
        <v>51</v>
      </c>
      <c r="F1570" s="2">
        <v>138528</v>
      </c>
      <c r="G1570" s="2">
        <v>3698</v>
      </c>
      <c r="H1570" s="2">
        <v>8394.4599999999991</v>
      </c>
      <c r="I1570" s="2">
        <v>264</v>
      </c>
      <c r="J1570" s="2">
        <v>34788.99</v>
      </c>
    </row>
    <row r="1571" spans="1:10" x14ac:dyDescent="0.45">
      <c r="A1571" s="2" t="s">
        <v>207</v>
      </c>
      <c r="B1571" s="2" t="s">
        <v>15</v>
      </c>
      <c r="C1571" s="2" t="s">
        <v>38</v>
      </c>
      <c r="D1571" s="2" t="s">
        <v>29</v>
      </c>
      <c r="E1571" s="2" t="s">
        <v>33</v>
      </c>
      <c r="F1571" s="2">
        <v>188490</v>
      </c>
      <c r="G1571" s="2">
        <v>6879</v>
      </c>
      <c r="H1571" s="2">
        <v>19536.36</v>
      </c>
      <c r="I1571" s="2">
        <v>279</v>
      </c>
      <c r="J1571" s="2">
        <v>18268.77</v>
      </c>
    </row>
    <row r="1572" spans="1:10" x14ac:dyDescent="0.45">
      <c r="A1572" s="2" t="s">
        <v>211</v>
      </c>
      <c r="B1572" s="2" t="s">
        <v>20</v>
      </c>
      <c r="C1572" s="2" t="s">
        <v>38</v>
      </c>
      <c r="D1572" s="2" t="s">
        <v>29</v>
      </c>
      <c r="E1572" s="2" t="s">
        <v>26</v>
      </c>
      <c r="F1572" s="2">
        <v>155929</v>
      </c>
      <c r="G1572" s="2">
        <v>6408</v>
      </c>
      <c r="H1572" s="2">
        <v>6215.76</v>
      </c>
      <c r="I1572" s="2">
        <v>481</v>
      </c>
      <c r="J1572" s="2">
        <v>51123.92</v>
      </c>
    </row>
    <row r="1573" spans="1:10" x14ac:dyDescent="0.45">
      <c r="A1573" s="2" t="s">
        <v>246</v>
      </c>
      <c r="B1573" s="2" t="s">
        <v>15</v>
      </c>
      <c r="C1573" s="2" t="s">
        <v>38</v>
      </c>
      <c r="D1573" s="2" t="s">
        <v>21</v>
      </c>
      <c r="E1573" s="2" t="s">
        <v>33</v>
      </c>
      <c r="F1573" s="2">
        <v>177220</v>
      </c>
      <c r="G1573" s="2">
        <v>4607</v>
      </c>
      <c r="H1573" s="2">
        <v>10688.24</v>
      </c>
      <c r="I1573" s="2">
        <v>114</v>
      </c>
      <c r="J1573" s="2">
        <v>9297.0300000000007</v>
      </c>
    </row>
    <row r="1574" spans="1:10" x14ac:dyDescent="0.45">
      <c r="A1574" s="2" t="s">
        <v>390</v>
      </c>
      <c r="B1574" s="2" t="s">
        <v>35</v>
      </c>
      <c r="C1574" s="2" t="s">
        <v>24</v>
      </c>
      <c r="D1574" s="2" t="s">
        <v>41</v>
      </c>
      <c r="E1574" s="2" t="s">
        <v>33</v>
      </c>
      <c r="F1574" s="2">
        <v>188552</v>
      </c>
      <c r="G1574" s="2">
        <v>6373</v>
      </c>
      <c r="H1574" s="2">
        <v>4142.45</v>
      </c>
      <c r="I1574" s="2">
        <v>129</v>
      </c>
      <c r="J1574" s="2">
        <v>8973.49</v>
      </c>
    </row>
    <row r="1575" spans="1:10" x14ac:dyDescent="0.45">
      <c r="A1575" s="2" t="s">
        <v>151</v>
      </c>
      <c r="B1575" s="2" t="s">
        <v>15</v>
      </c>
      <c r="C1575" s="2" t="s">
        <v>24</v>
      </c>
      <c r="D1575" s="2" t="s">
        <v>41</v>
      </c>
      <c r="E1575" s="2" t="s">
        <v>33</v>
      </c>
      <c r="F1575" s="2">
        <v>136460</v>
      </c>
      <c r="G1575" s="2">
        <v>4462</v>
      </c>
      <c r="H1575" s="2">
        <v>3926.56</v>
      </c>
      <c r="I1575" s="2">
        <v>322</v>
      </c>
      <c r="J1575" s="2">
        <v>59937.98</v>
      </c>
    </row>
    <row r="1576" spans="1:10" x14ac:dyDescent="0.45">
      <c r="A1576" s="2" t="s">
        <v>391</v>
      </c>
      <c r="B1576" s="2" t="s">
        <v>20</v>
      </c>
      <c r="C1576" s="2" t="s">
        <v>38</v>
      </c>
      <c r="D1576" s="2" t="s">
        <v>25</v>
      </c>
      <c r="E1576" s="2" t="s">
        <v>33</v>
      </c>
      <c r="F1576" s="2">
        <v>124614</v>
      </c>
      <c r="G1576" s="2">
        <v>4573</v>
      </c>
      <c r="H1576" s="2">
        <v>1326.17</v>
      </c>
      <c r="I1576" s="2">
        <v>240</v>
      </c>
      <c r="J1576" s="2">
        <v>46988.2</v>
      </c>
    </row>
    <row r="1577" spans="1:10" x14ac:dyDescent="0.45">
      <c r="A1577" s="2" t="s">
        <v>111</v>
      </c>
      <c r="B1577" s="2" t="s">
        <v>35</v>
      </c>
      <c r="C1577" s="2" t="s">
        <v>24</v>
      </c>
      <c r="D1577" s="2" t="s">
        <v>29</v>
      </c>
      <c r="E1577" s="2" t="s">
        <v>51</v>
      </c>
      <c r="F1577" s="2">
        <v>28359</v>
      </c>
      <c r="G1577" s="2">
        <v>612</v>
      </c>
      <c r="H1577" s="2">
        <v>459</v>
      </c>
      <c r="I1577" s="2">
        <v>30</v>
      </c>
      <c r="J1577" s="2">
        <v>6591.07</v>
      </c>
    </row>
    <row r="1578" spans="1:10" x14ac:dyDescent="0.45">
      <c r="A1578" s="2" t="s">
        <v>225</v>
      </c>
      <c r="B1578" s="2" t="s">
        <v>35</v>
      </c>
      <c r="C1578" s="2" t="s">
        <v>16</v>
      </c>
      <c r="D1578" s="2" t="s">
        <v>41</v>
      </c>
      <c r="E1578" s="2" t="s">
        <v>26</v>
      </c>
      <c r="F1578" s="2">
        <v>81759</v>
      </c>
      <c r="G1578" s="2">
        <v>1316</v>
      </c>
      <c r="H1578" s="2">
        <v>1184.4000000000001</v>
      </c>
      <c r="I1578" s="2">
        <v>46</v>
      </c>
      <c r="J1578" s="2">
        <v>6171.89</v>
      </c>
    </row>
    <row r="1579" spans="1:10" x14ac:dyDescent="0.45">
      <c r="A1579" s="2" t="s">
        <v>36</v>
      </c>
      <c r="B1579" s="2" t="s">
        <v>35</v>
      </c>
      <c r="C1579" s="2" t="s">
        <v>24</v>
      </c>
      <c r="D1579" s="2" t="s">
        <v>41</v>
      </c>
      <c r="E1579" s="2" t="s">
        <v>30</v>
      </c>
      <c r="F1579" s="2">
        <v>131230</v>
      </c>
      <c r="G1579" s="2">
        <v>2139</v>
      </c>
      <c r="H1579" s="2">
        <v>4769.97</v>
      </c>
      <c r="I1579" s="2">
        <v>105</v>
      </c>
      <c r="J1579" s="2">
        <v>24738.73</v>
      </c>
    </row>
    <row r="1580" spans="1:10" x14ac:dyDescent="0.45">
      <c r="A1580" s="2" t="s">
        <v>364</v>
      </c>
      <c r="B1580" s="2" t="s">
        <v>20</v>
      </c>
      <c r="C1580" s="2" t="s">
        <v>16</v>
      </c>
      <c r="D1580" s="2" t="s">
        <v>41</v>
      </c>
      <c r="E1580" s="2" t="s">
        <v>33</v>
      </c>
      <c r="F1580" s="2">
        <v>49659</v>
      </c>
      <c r="G1580" s="2">
        <v>2413</v>
      </c>
      <c r="H1580" s="2">
        <v>3498.85</v>
      </c>
      <c r="I1580" s="2">
        <v>191</v>
      </c>
      <c r="J1580" s="2">
        <v>38157.72</v>
      </c>
    </row>
    <row r="1581" spans="1:10" x14ac:dyDescent="0.45">
      <c r="A1581" s="2" t="s">
        <v>143</v>
      </c>
      <c r="B1581" s="2" t="s">
        <v>20</v>
      </c>
      <c r="C1581" s="2" t="s">
        <v>38</v>
      </c>
      <c r="D1581" s="2" t="s">
        <v>17</v>
      </c>
      <c r="E1581" s="2" t="s">
        <v>30</v>
      </c>
      <c r="F1581" s="2">
        <v>103029</v>
      </c>
      <c r="G1581" s="2">
        <v>6830</v>
      </c>
      <c r="H1581" s="2">
        <v>3551.6</v>
      </c>
      <c r="I1581" s="2">
        <v>148</v>
      </c>
      <c r="J1581" s="2">
        <v>14545.74</v>
      </c>
    </row>
    <row r="1582" spans="1:10" x14ac:dyDescent="0.45">
      <c r="A1582" s="2" t="s">
        <v>364</v>
      </c>
      <c r="B1582" s="2" t="s">
        <v>20</v>
      </c>
      <c r="C1582" s="2" t="s">
        <v>28</v>
      </c>
      <c r="D1582" s="2" t="s">
        <v>25</v>
      </c>
      <c r="E1582" s="2" t="s">
        <v>33</v>
      </c>
      <c r="F1582" s="2">
        <v>52368</v>
      </c>
      <c r="G1582" s="2">
        <v>3351</v>
      </c>
      <c r="H1582" s="2">
        <v>2044.11</v>
      </c>
      <c r="I1582" s="2">
        <v>117</v>
      </c>
      <c r="J1582" s="2">
        <v>12829.28</v>
      </c>
    </row>
    <row r="1583" spans="1:10" x14ac:dyDescent="0.45">
      <c r="A1583" s="2" t="s">
        <v>23</v>
      </c>
      <c r="B1583" s="2" t="s">
        <v>20</v>
      </c>
      <c r="C1583" s="2" t="s">
        <v>24</v>
      </c>
      <c r="D1583" s="2" t="s">
        <v>21</v>
      </c>
      <c r="E1583" s="2" t="s">
        <v>33</v>
      </c>
      <c r="F1583" s="2">
        <v>144585</v>
      </c>
      <c r="G1583" s="2">
        <v>8357</v>
      </c>
      <c r="H1583" s="2">
        <v>4345.6400000000003</v>
      </c>
      <c r="I1583" s="2">
        <v>412</v>
      </c>
      <c r="J1583" s="2">
        <v>78373.31</v>
      </c>
    </row>
    <row r="1584" spans="1:10" x14ac:dyDescent="0.45">
      <c r="A1584" s="2" t="s">
        <v>160</v>
      </c>
      <c r="B1584" s="2" t="s">
        <v>20</v>
      </c>
      <c r="C1584" s="2" t="s">
        <v>28</v>
      </c>
      <c r="D1584" s="2" t="s">
        <v>17</v>
      </c>
      <c r="E1584" s="2" t="s">
        <v>22</v>
      </c>
      <c r="F1584" s="2">
        <v>40308</v>
      </c>
      <c r="G1584" s="2">
        <v>3853</v>
      </c>
      <c r="H1584" s="2">
        <v>4199.7700000000004</v>
      </c>
      <c r="I1584" s="2">
        <v>291</v>
      </c>
      <c r="J1584" s="2">
        <v>33059.93</v>
      </c>
    </row>
    <row r="1585" spans="1:10" x14ac:dyDescent="0.45">
      <c r="A1585" s="2" t="s">
        <v>266</v>
      </c>
      <c r="B1585" s="2" t="s">
        <v>20</v>
      </c>
      <c r="C1585" s="2" t="s">
        <v>16</v>
      </c>
      <c r="D1585" s="2" t="s">
        <v>41</v>
      </c>
      <c r="E1585" s="2" t="s">
        <v>30</v>
      </c>
      <c r="F1585" s="2">
        <v>43635</v>
      </c>
      <c r="G1585" s="2">
        <v>2469</v>
      </c>
      <c r="H1585" s="2">
        <v>2987.49</v>
      </c>
      <c r="I1585" s="2">
        <v>133</v>
      </c>
      <c r="J1585" s="2">
        <v>19667.27</v>
      </c>
    </row>
    <row r="1586" spans="1:10" x14ac:dyDescent="0.45">
      <c r="A1586" s="2" t="s">
        <v>266</v>
      </c>
      <c r="B1586" s="2" t="s">
        <v>35</v>
      </c>
      <c r="C1586" s="2" t="s">
        <v>16</v>
      </c>
      <c r="D1586" s="2" t="s">
        <v>21</v>
      </c>
      <c r="E1586" s="2" t="s">
        <v>51</v>
      </c>
      <c r="F1586" s="2">
        <v>164074</v>
      </c>
      <c r="G1586" s="2">
        <v>6152</v>
      </c>
      <c r="H1586" s="2">
        <v>5844.4</v>
      </c>
      <c r="I1586" s="2">
        <v>360</v>
      </c>
      <c r="J1586" s="2">
        <v>47241.24</v>
      </c>
    </row>
    <row r="1587" spans="1:10" x14ac:dyDescent="0.45">
      <c r="A1587" s="2" t="s">
        <v>45</v>
      </c>
      <c r="B1587" s="2" t="s">
        <v>35</v>
      </c>
      <c r="C1587" s="2" t="s">
        <v>28</v>
      </c>
      <c r="D1587" s="2" t="s">
        <v>25</v>
      </c>
      <c r="E1587" s="2" t="s">
        <v>33</v>
      </c>
      <c r="F1587" s="2">
        <v>107300</v>
      </c>
      <c r="G1587" s="2">
        <v>2693</v>
      </c>
      <c r="H1587" s="2">
        <v>1535.01</v>
      </c>
      <c r="I1587" s="2">
        <v>153</v>
      </c>
      <c r="J1587" s="2">
        <v>18121.16</v>
      </c>
    </row>
    <row r="1588" spans="1:10" x14ac:dyDescent="0.45">
      <c r="A1588" s="2" t="s">
        <v>264</v>
      </c>
      <c r="B1588" s="2" t="s">
        <v>35</v>
      </c>
      <c r="C1588" s="2" t="s">
        <v>38</v>
      </c>
      <c r="D1588" s="2" t="s">
        <v>21</v>
      </c>
      <c r="E1588" s="2" t="s">
        <v>51</v>
      </c>
      <c r="F1588" s="2">
        <v>177443</v>
      </c>
      <c r="G1588" s="2">
        <v>4400</v>
      </c>
      <c r="H1588" s="2">
        <v>9548</v>
      </c>
      <c r="I1588" s="2">
        <v>231</v>
      </c>
      <c r="J1588" s="2">
        <v>43094.26</v>
      </c>
    </row>
    <row r="1589" spans="1:10" x14ac:dyDescent="0.45">
      <c r="A1589" s="2" t="s">
        <v>355</v>
      </c>
      <c r="B1589" s="2" t="s">
        <v>20</v>
      </c>
      <c r="C1589" s="2" t="s">
        <v>28</v>
      </c>
      <c r="D1589" s="2" t="s">
        <v>21</v>
      </c>
      <c r="E1589" s="2" t="s">
        <v>18</v>
      </c>
      <c r="F1589" s="2">
        <v>141268</v>
      </c>
      <c r="G1589" s="2">
        <v>7402</v>
      </c>
      <c r="H1589" s="2">
        <v>9178.48</v>
      </c>
      <c r="I1589" s="2">
        <v>335</v>
      </c>
      <c r="J1589" s="2">
        <v>31326.97</v>
      </c>
    </row>
    <row r="1590" spans="1:10" x14ac:dyDescent="0.45">
      <c r="A1590" s="2" t="s">
        <v>43</v>
      </c>
      <c r="B1590" s="2" t="s">
        <v>20</v>
      </c>
      <c r="C1590" s="2" t="s">
        <v>38</v>
      </c>
      <c r="D1590" s="2" t="s">
        <v>21</v>
      </c>
      <c r="E1590" s="2" t="s">
        <v>30</v>
      </c>
      <c r="F1590" s="2">
        <v>145631</v>
      </c>
      <c r="G1590" s="2">
        <v>4194</v>
      </c>
      <c r="H1590" s="2">
        <v>3522.96</v>
      </c>
      <c r="I1590" s="2">
        <v>59</v>
      </c>
      <c r="J1590" s="2">
        <v>15427.34</v>
      </c>
    </row>
    <row r="1591" spans="1:10" x14ac:dyDescent="0.45">
      <c r="A1591" s="2" t="s">
        <v>167</v>
      </c>
      <c r="B1591" s="2" t="s">
        <v>20</v>
      </c>
      <c r="C1591" s="2" t="s">
        <v>16</v>
      </c>
      <c r="D1591" s="2" t="s">
        <v>21</v>
      </c>
      <c r="E1591" s="2" t="s">
        <v>33</v>
      </c>
      <c r="F1591" s="2">
        <v>191041</v>
      </c>
      <c r="G1591" s="2">
        <v>7393</v>
      </c>
      <c r="H1591" s="2">
        <v>3918.29</v>
      </c>
      <c r="I1591" s="2">
        <v>446</v>
      </c>
      <c r="J1591" s="2">
        <v>15789.02</v>
      </c>
    </row>
    <row r="1592" spans="1:10" x14ac:dyDescent="0.45">
      <c r="A1592" s="2" t="s">
        <v>39</v>
      </c>
      <c r="B1592" s="2" t="s">
        <v>20</v>
      </c>
      <c r="C1592" s="2" t="s">
        <v>24</v>
      </c>
      <c r="D1592" s="2" t="s">
        <v>25</v>
      </c>
      <c r="E1592" s="2" t="s">
        <v>22</v>
      </c>
      <c r="F1592" s="2">
        <v>72145</v>
      </c>
      <c r="G1592" s="2">
        <v>3058</v>
      </c>
      <c r="H1592" s="2">
        <v>2354.66</v>
      </c>
      <c r="I1592" s="2">
        <v>78</v>
      </c>
      <c r="J1592" s="2">
        <v>7543.67</v>
      </c>
    </row>
    <row r="1593" spans="1:10" x14ac:dyDescent="0.45">
      <c r="A1593" s="2" t="s">
        <v>351</v>
      </c>
      <c r="B1593" s="2" t="s">
        <v>35</v>
      </c>
      <c r="C1593" s="2" t="s">
        <v>24</v>
      </c>
      <c r="D1593" s="2" t="s">
        <v>29</v>
      </c>
      <c r="E1593" s="2" t="s">
        <v>18</v>
      </c>
      <c r="F1593" s="2">
        <v>113447</v>
      </c>
      <c r="G1593" s="2">
        <v>1826</v>
      </c>
      <c r="H1593" s="2">
        <v>3158.98</v>
      </c>
      <c r="I1593" s="2">
        <v>24</v>
      </c>
      <c r="J1593" s="2">
        <v>4477.79</v>
      </c>
    </row>
    <row r="1594" spans="1:10" x14ac:dyDescent="0.45">
      <c r="A1594" s="2" t="s">
        <v>308</v>
      </c>
      <c r="B1594" s="2" t="s">
        <v>20</v>
      </c>
      <c r="C1594" s="2" t="s">
        <v>16</v>
      </c>
      <c r="D1594" s="2" t="s">
        <v>25</v>
      </c>
      <c r="E1594" s="2" t="s">
        <v>51</v>
      </c>
      <c r="F1594" s="2">
        <v>195512</v>
      </c>
      <c r="G1594" s="2">
        <v>8328</v>
      </c>
      <c r="H1594" s="2">
        <v>13574.64</v>
      </c>
      <c r="I1594" s="2">
        <v>198</v>
      </c>
      <c r="J1594" s="2">
        <v>14486.58</v>
      </c>
    </row>
    <row r="1595" spans="1:10" x14ac:dyDescent="0.45">
      <c r="A1595" s="2" t="s">
        <v>270</v>
      </c>
      <c r="B1595" s="2" t="s">
        <v>35</v>
      </c>
      <c r="C1595" s="2" t="s">
        <v>16</v>
      </c>
      <c r="D1595" s="2" t="s">
        <v>29</v>
      </c>
      <c r="E1595" s="2" t="s">
        <v>26</v>
      </c>
      <c r="F1595" s="2">
        <v>149446</v>
      </c>
      <c r="G1595" s="2">
        <v>6456</v>
      </c>
      <c r="H1595" s="2">
        <v>14138.64</v>
      </c>
      <c r="I1595" s="2">
        <v>397</v>
      </c>
      <c r="J1595" s="2">
        <v>118768.88</v>
      </c>
    </row>
    <row r="1596" spans="1:10" x14ac:dyDescent="0.45">
      <c r="A1596" s="2" t="s">
        <v>321</v>
      </c>
      <c r="B1596" s="2" t="s">
        <v>20</v>
      </c>
      <c r="C1596" s="2" t="s">
        <v>24</v>
      </c>
      <c r="D1596" s="2" t="s">
        <v>29</v>
      </c>
      <c r="E1596" s="2" t="s">
        <v>30</v>
      </c>
      <c r="F1596" s="2">
        <v>154307</v>
      </c>
      <c r="G1596" s="2">
        <v>9212</v>
      </c>
      <c r="H1596" s="2">
        <v>11975.6</v>
      </c>
      <c r="I1596" s="2">
        <v>700</v>
      </c>
      <c r="J1596" s="2">
        <v>61706.239999999998</v>
      </c>
    </row>
    <row r="1597" spans="1:10" x14ac:dyDescent="0.45">
      <c r="A1597" s="2" t="s">
        <v>60</v>
      </c>
      <c r="B1597" s="2" t="s">
        <v>35</v>
      </c>
      <c r="C1597" s="2" t="s">
        <v>38</v>
      </c>
      <c r="D1597" s="2" t="s">
        <v>25</v>
      </c>
      <c r="E1597" s="2" t="s">
        <v>51</v>
      </c>
      <c r="F1597" s="2">
        <v>149675</v>
      </c>
      <c r="G1597" s="2">
        <v>3143</v>
      </c>
      <c r="H1597" s="2">
        <v>4871.6499999999996</v>
      </c>
      <c r="I1597" s="2">
        <v>147</v>
      </c>
      <c r="J1597" s="2">
        <v>33184.47</v>
      </c>
    </row>
    <row r="1598" spans="1:10" x14ac:dyDescent="0.45">
      <c r="A1598" s="2" t="s">
        <v>36</v>
      </c>
      <c r="B1598" s="2" t="s">
        <v>20</v>
      </c>
      <c r="C1598" s="2" t="s">
        <v>28</v>
      </c>
      <c r="D1598" s="2" t="s">
        <v>25</v>
      </c>
      <c r="E1598" s="2" t="s">
        <v>18</v>
      </c>
      <c r="F1598" s="2">
        <v>184065</v>
      </c>
      <c r="G1598" s="2">
        <v>6350</v>
      </c>
      <c r="H1598" s="2">
        <v>8509</v>
      </c>
      <c r="I1598" s="2">
        <v>273</v>
      </c>
      <c r="J1598" s="2">
        <v>39093.51</v>
      </c>
    </row>
    <row r="1599" spans="1:10" x14ac:dyDescent="0.45">
      <c r="A1599" s="2" t="s">
        <v>182</v>
      </c>
      <c r="B1599" s="2" t="s">
        <v>20</v>
      </c>
      <c r="C1599" s="2" t="s">
        <v>16</v>
      </c>
      <c r="D1599" s="2" t="s">
        <v>21</v>
      </c>
      <c r="E1599" s="2" t="s">
        <v>30</v>
      </c>
      <c r="F1599" s="2">
        <v>64484</v>
      </c>
      <c r="G1599" s="2">
        <v>2966</v>
      </c>
      <c r="H1599" s="2">
        <v>3707.5</v>
      </c>
      <c r="I1599" s="2">
        <v>227</v>
      </c>
      <c r="J1599" s="2">
        <v>27232.61</v>
      </c>
    </row>
    <row r="1600" spans="1:10" x14ac:dyDescent="0.45">
      <c r="A1600" s="2" t="s">
        <v>218</v>
      </c>
      <c r="B1600" s="2" t="s">
        <v>35</v>
      </c>
      <c r="C1600" s="2" t="s">
        <v>24</v>
      </c>
      <c r="D1600" s="2" t="s">
        <v>21</v>
      </c>
      <c r="E1600" s="2" t="s">
        <v>18</v>
      </c>
      <c r="F1600" s="2">
        <v>148088</v>
      </c>
      <c r="G1600" s="2">
        <v>4561</v>
      </c>
      <c r="H1600" s="2">
        <v>6202.96</v>
      </c>
      <c r="I1600" s="2">
        <v>173</v>
      </c>
      <c r="J1600" s="2">
        <v>48056.97</v>
      </c>
    </row>
    <row r="1601" spans="1:10" x14ac:dyDescent="0.45">
      <c r="A1601" s="2" t="s">
        <v>383</v>
      </c>
      <c r="B1601" s="2" t="s">
        <v>15</v>
      </c>
      <c r="C1601" s="2" t="s">
        <v>38</v>
      </c>
      <c r="D1601" s="2" t="s">
        <v>29</v>
      </c>
      <c r="E1601" s="2" t="s">
        <v>51</v>
      </c>
      <c r="F1601" s="2">
        <v>28068</v>
      </c>
      <c r="G1601" s="2">
        <v>990</v>
      </c>
      <c r="H1601" s="2">
        <v>999.9</v>
      </c>
      <c r="I1601" s="2">
        <v>28</v>
      </c>
      <c r="J1601" s="2">
        <v>5661.1</v>
      </c>
    </row>
    <row r="1602" spans="1:10" x14ac:dyDescent="0.45">
      <c r="A1602" s="2" t="s">
        <v>281</v>
      </c>
      <c r="B1602" s="2" t="s">
        <v>20</v>
      </c>
      <c r="C1602" s="2" t="s">
        <v>16</v>
      </c>
      <c r="D1602" s="2" t="s">
        <v>25</v>
      </c>
      <c r="E1602" s="2" t="s">
        <v>26</v>
      </c>
      <c r="F1602" s="2">
        <v>131385</v>
      </c>
      <c r="G1602" s="2">
        <v>6910</v>
      </c>
      <c r="H1602" s="2">
        <v>2349.4</v>
      </c>
      <c r="I1602" s="2">
        <v>206</v>
      </c>
      <c r="J1602" s="2">
        <v>6729.96</v>
      </c>
    </row>
    <row r="1603" spans="1:10" x14ac:dyDescent="0.45">
      <c r="A1603" s="2" t="s">
        <v>84</v>
      </c>
      <c r="B1603" s="2" t="s">
        <v>20</v>
      </c>
      <c r="C1603" s="2" t="s">
        <v>16</v>
      </c>
      <c r="D1603" s="2" t="s">
        <v>21</v>
      </c>
      <c r="E1603" s="2" t="s">
        <v>18</v>
      </c>
      <c r="F1603" s="2">
        <v>77882</v>
      </c>
      <c r="G1603" s="2">
        <v>3029</v>
      </c>
      <c r="H1603" s="2">
        <v>1423.63</v>
      </c>
      <c r="I1603" s="2">
        <v>228</v>
      </c>
      <c r="J1603" s="2">
        <v>44433.62</v>
      </c>
    </row>
    <row r="1604" spans="1:10" x14ac:dyDescent="0.45">
      <c r="A1604" s="2" t="s">
        <v>132</v>
      </c>
      <c r="B1604" s="2" t="s">
        <v>20</v>
      </c>
      <c r="C1604" s="2" t="s">
        <v>28</v>
      </c>
      <c r="D1604" s="2" t="s">
        <v>25</v>
      </c>
      <c r="E1604" s="2" t="s">
        <v>18</v>
      </c>
      <c r="F1604" s="2">
        <v>90066</v>
      </c>
      <c r="G1604" s="2">
        <v>6025</v>
      </c>
      <c r="H1604" s="2">
        <v>10664.25</v>
      </c>
      <c r="I1604" s="2">
        <v>417</v>
      </c>
      <c r="J1604" s="2">
        <v>40275.46</v>
      </c>
    </row>
    <row r="1605" spans="1:10" x14ac:dyDescent="0.45">
      <c r="A1605" s="2" t="s">
        <v>118</v>
      </c>
      <c r="B1605" s="2" t="s">
        <v>35</v>
      </c>
      <c r="C1605" s="2" t="s">
        <v>28</v>
      </c>
      <c r="D1605" s="2" t="s">
        <v>41</v>
      </c>
      <c r="E1605" s="2" t="s">
        <v>51</v>
      </c>
      <c r="F1605" s="2">
        <v>186775</v>
      </c>
      <c r="G1605" s="2">
        <v>2409</v>
      </c>
      <c r="H1605" s="2">
        <v>1662.21</v>
      </c>
      <c r="I1605" s="2">
        <v>107</v>
      </c>
      <c r="J1605" s="2">
        <v>10079.709999999999</v>
      </c>
    </row>
    <row r="1606" spans="1:10" x14ac:dyDescent="0.45">
      <c r="A1606" s="2" t="s">
        <v>111</v>
      </c>
      <c r="B1606" s="2" t="s">
        <v>15</v>
      </c>
      <c r="C1606" s="2" t="s">
        <v>24</v>
      </c>
      <c r="D1606" s="2" t="s">
        <v>17</v>
      </c>
      <c r="E1606" s="2" t="s">
        <v>51</v>
      </c>
      <c r="F1606" s="2">
        <v>57328</v>
      </c>
      <c r="G1606" s="2">
        <v>2161</v>
      </c>
      <c r="H1606" s="2">
        <v>3306.33</v>
      </c>
      <c r="I1606" s="2">
        <v>99</v>
      </c>
      <c r="J1606" s="2">
        <v>17903.97</v>
      </c>
    </row>
    <row r="1607" spans="1:10" x14ac:dyDescent="0.45">
      <c r="A1607" s="2" t="s">
        <v>31</v>
      </c>
      <c r="B1607" s="2" t="s">
        <v>15</v>
      </c>
      <c r="C1607" s="2" t="s">
        <v>24</v>
      </c>
      <c r="D1607" s="2" t="s">
        <v>29</v>
      </c>
      <c r="E1607" s="2" t="s">
        <v>51</v>
      </c>
      <c r="F1607" s="2">
        <v>87570</v>
      </c>
      <c r="G1607" s="2">
        <v>3415</v>
      </c>
      <c r="H1607" s="2">
        <v>8776.5499999999993</v>
      </c>
      <c r="I1607" s="2">
        <v>236</v>
      </c>
      <c r="J1607" s="2">
        <v>46705.85</v>
      </c>
    </row>
    <row r="1608" spans="1:10" x14ac:dyDescent="0.45">
      <c r="A1608" s="2" t="s">
        <v>330</v>
      </c>
      <c r="B1608" s="2" t="s">
        <v>35</v>
      </c>
      <c r="C1608" s="2" t="s">
        <v>24</v>
      </c>
      <c r="D1608" s="2" t="s">
        <v>29</v>
      </c>
      <c r="E1608" s="2" t="s">
        <v>18</v>
      </c>
      <c r="F1608" s="2">
        <v>54864</v>
      </c>
      <c r="G1608" s="2">
        <v>1876</v>
      </c>
      <c r="H1608" s="2">
        <v>2851.52</v>
      </c>
      <c r="I1608" s="2">
        <v>121</v>
      </c>
      <c r="J1608" s="2">
        <v>23640.39</v>
      </c>
    </row>
    <row r="1609" spans="1:10" x14ac:dyDescent="0.45">
      <c r="A1609" s="2" t="s">
        <v>264</v>
      </c>
      <c r="B1609" s="2" t="s">
        <v>15</v>
      </c>
      <c r="C1609" s="2" t="s">
        <v>38</v>
      </c>
      <c r="D1609" s="2" t="s">
        <v>29</v>
      </c>
      <c r="E1609" s="2" t="s">
        <v>54</v>
      </c>
      <c r="F1609" s="2">
        <v>91861</v>
      </c>
      <c r="G1609" s="2">
        <v>2535</v>
      </c>
      <c r="H1609" s="2">
        <v>3143.4</v>
      </c>
      <c r="I1609" s="2">
        <v>137</v>
      </c>
      <c r="J1609" s="2">
        <v>8299.82</v>
      </c>
    </row>
    <row r="1610" spans="1:10" x14ac:dyDescent="0.45">
      <c r="A1610" s="2" t="s">
        <v>133</v>
      </c>
      <c r="B1610" s="2" t="s">
        <v>35</v>
      </c>
      <c r="C1610" s="2" t="s">
        <v>16</v>
      </c>
      <c r="D1610" s="2" t="s">
        <v>41</v>
      </c>
      <c r="E1610" s="2" t="s">
        <v>54</v>
      </c>
      <c r="F1610" s="2">
        <v>16920</v>
      </c>
      <c r="G1610" s="2">
        <v>389</v>
      </c>
      <c r="H1610" s="2">
        <v>478.47</v>
      </c>
      <c r="I1610" s="2">
        <v>15</v>
      </c>
      <c r="J1610" s="2">
        <v>3222.58</v>
      </c>
    </row>
    <row r="1611" spans="1:10" x14ac:dyDescent="0.45">
      <c r="A1611" s="2" t="s">
        <v>74</v>
      </c>
      <c r="B1611" s="2" t="s">
        <v>35</v>
      </c>
      <c r="C1611" s="2" t="s">
        <v>28</v>
      </c>
      <c r="D1611" s="2" t="s">
        <v>25</v>
      </c>
      <c r="E1611" s="2" t="s">
        <v>51</v>
      </c>
      <c r="F1611" s="2">
        <v>117421</v>
      </c>
      <c r="G1611" s="2">
        <v>3428</v>
      </c>
      <c r="H1611" s="2">
        <v>2091.08</v>
      </c>
      <c r="I1611" s="2">
        <v>99</v>
      </c>
      <c r="J1611" s="2">
        <v>25079.21</v>
      </c>
    </row>
    <row r="1612" spans="1:10" x14ac:dyDescent="0.45">
      <c r="A1612" s="2" t="s">
        <v>365</v>
      </c>
      <c r="B1612" s="2" t="s">
        <v>15</v>
      </c>
      <c r="C1612" s="2" t="s">
        <v>38</v>
      </c>
      <c r="D1612" s="2" t="s">
        <v>21</v>
      </c>
      <c r="E1612" s="2" t="s">
        <v>22</v>
      </c>
      <c r="F1612" s="2">
        <v>146332</v>
      </c>
      <c r="G1612" s="2">
        <v>7184</v>
      </c>
      <c r="H1612" s="2">
        <v>20115.2</v>
      </c>
      <c r="I1612" s="2">
        <v>366</v>
      </c>
      <c r="J1612" s="2">
        <v>40775.67</v>
      </c>
    </row>
    <row r="1613" spans="1:10" x14ac:dyDescent="0.45">
      <c r="A1613" s="2" t="s">
        <v>89</v>
      </c>
      <c r="B1613" s="2" t="s">
        <v>35</v>
      </c>
      <c r="C1613" s="2" t="s">
        <v>28</v>
      </c>
      <c r="D1613" s="2" t="s">
        <v>29</v>
      </c>
      <c r="E1613" s="2" t="s">
        <v>26</v>
      </c>
      <c r="F1613" s="2">
        <v>144993</v>
      </c>
      <c r="G1613" s="2">
        <v>2783</v>
      </c>
      <c r="H1613" s="2">
        <v>4091.01</v>
      </c>
      <c r="I1613" s="2">
        <v>120</v>
      </c>
      <c r="J1613" s="2">
        <v>10562.14</v>
      </c>
    </row>
    <row r="1614" spans="1:10" x14ac:dyDescent="0.45">
      <c r="A1614" s="2" t="s">
        <v>218</v>
      </c>
      <c r="B1614" s="2" t="s">
        <v>15</v>
      </c>
      <c r="C1614" s="2" t="s">
        <v>38</v>
      </c>
      <c r="D1614" s="2" t="s">
        <v>17</v>
      </c>
      <c r="E1614" s="2" t="s">
        <v>33</v>
      </c>
      <c r="F1614" s="2">
        <v>35702</v>
      </c>
      <c r="G1614" s="2">
        <v>999</v>
      </c>
      <c r="H1614" s="2">
        <v>1578.42</v>
      </c>
      <c r="I1614" s="2">
        <v>15</v>
      </c>
      <c r="J1614" s="2">
        <v>2820.45</v>
      </c>
    </row>
    <row r="1615" spans="1:10" x14ac:dyDescent="0.45">
      <c r="A1615" s="2" t="s">
        <v>251</v>
      </c>
      <c r="B1615" s="2" t="s">
        <v>15</v>
      </c>
      <c r="C1615" s="2" t="s">
        <v>28</v>
      </c>
      <c r="D1615" s="2" t="s">
        <v>25</v>
      </c>
      <c r="E1615" s="2" t="s">
        <v>30</v>
      </c>
      <c r="F1615" s="2">
        <v>184976</v>
      </c>
      <c r="G1615" s="2">
        <v>6270</v>
      </c>
      <c r="H1615" s="2">
        <v>16678.2</v>
      </c>
      <c r="I1615" s="2">
        <v>412</v>
      </c>
      <c r="J1615" s="2">
        <v>40433.910000000003</v>
      </c>
    </row>
    <row r="1616" spans="1:10" x14ac:dyDescent="0.45">
      <c r="A1616" s="2" t="s">
        <v>171</v>
      </c>
      <c r="B1616" s="2" t="s">
        <v>15</v>
      </c>
      <c r="C1616" s="2" t="s">
        <v>16</v>
      </c>
      <c r="D1616" s="2" t="s">
        <v>41</v>
      </c>
      <c r="E1616" s="2" t="s">
        <v>18</v>
      </c>
      <c r="F1616" s="2">
        <v>119235</v>
      </c>
      <c r="G1616" s="2">
        <v>5258</v>
      </c>
      <c r="H1616" s="2">
        <v>5783.8</v>
      </c>
      <c r="I1616" s="2">
        <v>141</v>
      </c>
      <c r="J1616" s="2">
        <v>24150.02</v>
      </c>
    </row>
    <row r="1617" spans="1:10" x14ac:dyDescent="0.45">
      <c r="A1617" s="2" t="s">
        <v>34</v>
      </c>
      <c r="B1617" s="2" t="s">
        <v>15</v>
      </c>
      <c r="C1617" s="2" t="s">
        <v>28</v>
      </c>
      <c r="D1617" s="2" t="s">
        <v>21</v>
      </c>
      <c r="E1617" s="2" t="s">
        <v>51</v>
      </c>
      <c r="F1617" s="2">
        <v>127211</v>
      </c>
      <c r="G1617" s="2">
        <v>3968</v>
      </c>
      <c r="H1617" s="2">
        <v>10435.84</v>
      </c>
      <c r="I1617" s="2">
        <v>194</v>
      </c>
      <c r="J1617" s="2">
        <v>37337.18</v>
      </c>
    </row>
    <row r="1618" spans="1:10" x14ac:dyDescent="0.45">
      <c r="A1618" s="2" t="s">
        <v>204</v>
      </c>
      <c r="B1618" s="2" t="s">
        <v>20</v>
      </c>
      <c r="C1618" s="2" t="s">
        <v>24</v>
      </c>
      <c r="D1618" s="2" t="s">
        <v>17</v>
      </c>
      <c r="E1618" s="2" t="s">
        <v>26</v>
      </c>
      <c r="F1618" s="2">
        <v>27584</v>
      </c>
      <c r="G1618" s="2">
        <v>1561</v>
      </c>
      <c r="H1618" s="2">
        <v>1467.34</v>
      </c>
      <c r="I1618" s="2">
        <v>93</v>
      </c>
      <c r="J1618" s="2">
        <v>19425.98</v>
      </c>
    </row>
    <row r="1619" spans="1:10" x14ac:dyDescent="0.45">
      <c r="A1619" s="2" t="s">
        <v>144</v>
      </c>
      <c r="B1619" s="2" t="s">
        <v>15</v>
      </c>
      <c r="C1619" s="2" t="s">
        <v>28</v>
      </c>
      <c r="D1619" s="2" t="s">
        <v>29</v>
      </c>
      <c r="E1619" s="2" t="s">
        <v>30</v>
      </c>
      <c r="F1619" s="2">
        <v>194928</v>
      </c>
      <c r="G1619" s="2">
        <v>9161</v>
      </c>
      <c r="H1619" s="2">
        <v>17222.68</v>
      </c>
      <c r="I1619" s="2">
        <v>571</v>
      </c>
      <c r="J1619" s="2">
        <v>17839.23</v>
      </c>
    </row>
    <row r="1620" spans="1:10" x14ac:dyDescent="0.45">
      <c r="A1620" s="2" t="s">
        <v>122</v>
      </c>
      <c r="B1620" s="2" t="s">
        <v>15</v>
      </c>
      <c r="C1620" s="2" t="s">
        <v>16</v>
      </c>
      <c r="D1620" s="2" t="s">
        <v>41</v>
      </c>
      <c r="E1620" s="2" t="s">
        <v>54</v>
      </c>
      <c r="F1620" s="2">
        <v>90349</v>
      </c>
      <c r="G1620" s="2">
        <v>5420</v>
      </c>
      <c r="H1620" s="2">
        <v>16368.4</v>
      </c>
      <c r="I1620" s="2">
        <v>105</v>
      </c>
      <c r="J1620" s="2">
        <v>16913.07</v>
      </c>
    </row>
    <row r="1621" spans="1:10" x14ac:dyDescent="0.45">
      <c r="A1621" s="2" t="s">
        <v>158</v>
      </c>
      <c r="B1621" s="2" t="s">
        <v>20</v>
      </c>
      <c r="C1621" s="2" t="s">
        <v>24</v>
      </c>
      <c r="D1621" s="2" t="s">
        <v>21</v>
      </c>
      <c r="E1621" s="2" t="s">
        <v>30</v>
      </c>
      <c r="F1621" s="2">
        <v>170011</v>
      </c>
      <c r="G1621" s="2">
        <v>10149</v>
      </c>
      <c r="H1621" s="2">
        <v>5581.95</v>
      </c>
      <c r="I1621" s="2">
        <v>110</v>
      </c>
      <c r="J1621" s="2">
        <v>29617.759999999998</v>
      </c>
    </row>
    <row r="1622" spans="1:10" x14ac:dyDescent="0.45">
      <c r="A1622" s="2" t="s">
        <v>190</v>
      </c>
      <c r="B1622" s="2" t="s">
        <v>15</v>
      </c>
      <c r="C1622" s="2" t="s">
        <v>38</v>
      </c>
      <c r="D1622" s="2" t="s">
        <v>25</v>
      </c>
      <c r="E1622" s="2" t="s">
        <v>26</v>
      </c>
      <c r="F1622" s="2">
        <v>54158</v>
      </c>
      <c r="G1622" s="2">
        <v>3374</v>
      </c>
      <c r="H1622" s="2">
        <v>2732.94</v>
      </c>
      <c r="I1622" s="2">
        <v>55</v>
      </c>
      <c r="J1622" s="2">
        <v>5839.17</v>
      </c>
    </row>
    <row r="1623" spans="1:10" x14ac:dyDescent="0.45">
      <c r="A1623" s="2" t="s">
        <v>27</v>
      </c>
      <c r="B1623" s="2" t="s">
        <v>35</v>
      </c>
      <c r="C1623" s="2" t="s">
        <v>38</v>
      </c>
      <c r="D1623" s="2" t="s">
        <v>29</v>
      </c>
      <c r="E1623" s="2" t="s">
        <v>22</v>
      </c>
      <c r="F1623" s="2">
        <v>143485</v>
      </c>
      <c r="G1623" s="2">
        <v>3945</v>
      </c>
      <c r="H1623" s="2">
        <v>2800.95</v>
      </c>
      <c r="I1623" s="2">
        <v>187</v>
      </c>
      <c r="J1623" s="2">
        <v>30765.32</v>
      </c>
    </row>
    <row r="1624" spans="1:10" x14ac:dyDescent="0.45">
      <c r="A1624" s="2" t="s">
        <v>139</v>
      </c>
      <c r="B1624" s="2" t="s">
        <v>15</v>
      </c>
      <c r="C1624" s="2" t="s">
        <v>24</v>
      </c>
      <c r="D1624" s="2" t="s">
        <v>17</v>
      </c>
      <c r="E1624" s="2" t="s">
        <v>33</v>
      </c>
      <c r="F1624" s="2">
        <v>165470</v>
      </c>
      <c r="G1624" s="2">
        <v>4136</v>
      </c>
      <c r="H1624" s="2">
        <v>3391.52</v>
      </c>
      <c r="I1624" s="2">
        <v>56</v>
      </c>
      <c r="J1624" s="2">
        <v>12113.24</v>
      </c>
    </row>
    <row r="1625" spans="1:10" x14ac:dyDescent="0.45">
      <c r="A1625" s="2" t="s">
        <v>183</v>
      </c>
      <c r="B1625" s="2" t="s">
        <v>35</v>
      </c>
      <c r="C1625" s="2" t="s">
        <v>16</v>
      </c>
      <c r="D1625" s="2" t="s">
        <v>21</v>
      </c>
      <c r="E1625" s="2" t="s">
        <v>26</v>
      </c>
      <c r="F1625" s="2">
        <v>112596</v>
      </c>
      <c r="G1625" s="2">
        <v>2668</v>
      </c>
      <c r="H1625" s="2">
        <v>3201.6</v>
      </c>
      <c r="I1625" s="2">
        <v>39</v>
      </c>
      <c r="J1625" s="2">
        <v>10899.61</v>
      </c>
    </row>
    <row r="1626" spans="1:10" x14ac:dyDescent="0.45">
      <c r="A1626" s="2" t="s">
        <v>280</v>
      </c>
      <c r="B1626" s="2" t="s">
        <v>15</v>
      </c>
      <c r="C1626" s="2" t="s">
        <v>24</v>
      </c>
      <c r="D1626" s="2" t="s">
        <v>21</v>
      </c>
      <c r="E1626" s="2" t="s">
        <v>33</v>
      </c>
      <c r="F1626" s="2">
        <v>82604</v>
      </c>
      <c r="G1626" s="2">
        <v>5146</v>
      </c>
      <c r="H1626" s="2">
        <v>14820.48</v>
      </c>
      <c r="I1626" s="2">
        <v>75</v>
      </c>
      <c r="J1626" s="2">
        <v>11977.45</v>
      </c>
    </row>
    <row r="1627" spans="1:10" x14ac:dyDescent="0.45">
      <c r="A1627" s="2" t="s">
        <v>199</v>
      </c>
      <c r="B1627" s="2" t="s">
        <v>15</v>
      </c>
      <c r="C1627" s="2" t="s">
        <v>38</v>
      </c>
      <c r="D1627" s="2" t="s">
        <v>25</v>
      </c>
      <c r="E1627" s="2" t="s">
        <v>18</v>
      </c>
      <c r="F1627" s="2">
        <v>162454</v>
      </c>
      <c r="G1627" s="2">
        <v>4337</v>
      </c>
      <c r="H1627" s="2">
        <v>6809.09</v>
      </c>
      <c r="I1627" s="2">
        <v>329</v>
      </c>
      <c r="J1627" s="2">
        <v>13568.06</v>
      </c>
    </row>
    <row r="1628" spans="1:10" x14ac:dyDescent="0.45">
      <c r="A1628" s="2" t="s">
        <v>219</v>
      </c>
      <c r="B1628" s="2" t="s">
        <v>20</v>
      </c>
      <c r="C1628" s="2" t="s">
        <v>28</v>
      </c>
      <c r="D1628" s="2" t="s">
        <v>41</v>
      </c>
      <c r="E1628" s="2" t="s">
        <v>22</v>
      </c>
      <c r="F1628" s="2">
        <v>143667</v>
      </c>
      <c r="G1628" s="2">
        <v>6852</v>
      </c>
      <c r="H1628" s="2">
        <v>7742.76</v>
      </c>
      <c r="I1628" s="2">
        <v>142</v>
      </c>
      <c r="J1628" s="2">
        <v>19589.64</v>
      </c>
    </row>
    <row r="1629" spans="1:10" x14ac:dyDescent="0.45">
      <c r="A1629" s="2" t="s">
        <v>346</v>
      </c>
      <c r="B1629" s="2" t="s">
        <v>15</v>
      </c>
      <c r="C1629" s="2" t="s">
        <v>24</v>
      </c>
      <c r="D1629" s="2" t="s">
        <v>25</v>
      </c>
      <c r="E1629" s="2" t="s">
        <v>54</v>
      </c>
      <c r="F1629" s="2">
        <v>83702</v>
      </c>
      <c r="G1629" s="2">
        <v>3900</v>
      </c>
      <c r="H1629" s="2">
        <v>8502</v>
      </c>
      <c r="I1629" s="2">
        <v>60</v>
      </c>
      <c r="J1629" s="2">
        <v>11812.78</v>
      </c>
    </row>
    <row r="1630" spans="1:10" x14ac:dyDescent="0.45">
      <c r="A1630" s="2" t="s">
        <v>369</v>
      </c>
      <c r="B1630" s="2" t="s">
        <v>20</v>
      </c>
      <c r="C1630" s="2" t="s">
        <v>24</v>
      </c>
      <c r="D1630" s="2" t="s">
        <v>17</v>
      </c>
      <c r="E1630" s="2" t="s">
        <v>26</v>
      </c>
      <c r="F1630" s="2">
        <v>41497</v>
      </c>
      <c r="G1630" s="2">
        <v>3299</v>
      </c>
      <c r="H1630" s="2">
        <v>2144.35</v>
      </c>
      <c r="I1630" s="2">
        <v>112</v>
      </c>
      <c r="J1630" s="2">
        <v>6822.75</v>
      </c>
    </row>
    <row r="1631" spans="1:10" x14ac:dyDescent="0.45">
      <c r="A1631" s="2" t="s">
        <v>43</v>
      </c>
      <c r="B1631" s="2" t="s">
        <v>15</v>
      </c>
      <c r="C1631" s="2" t="s">
        <v>16</v>
      </c>
      <c r="D1631" s="2" t="s">
        <v>17</v>
      </c>
      <c r="E1631" s="2" t="s">
        <v>18</v>
      </c>
      <c r="F1631" s="2">
        <v>88442</v>
      </c>
      <c r="G1631" s="2">
        <v>2485</v>
      </c>
      <c r="H1631" s="2">
        <v>7181.65</v>
      </c>
      <c r="I1631" s="2">
        <v>69</v>
      </c>
      <c r="J1631" s="2">
        <v>12989.18</v>
      </c>
    </row>
    <row r="1632" spans="1:10" x14ac:dyDescent="0.45">
      <c r="A1632" s="2" t="s">
        <v>310</v>
      </c>
      <c r="B1632" s="2" t="s">
        <v>15</v>
      </c>
      <c r="C1632" s="2" t="s">
        <v>28</v>
      </c>
      <c r="D1632" s="2" t="s">
        <v>29</v>
      </c>
      <c r="E1632" s="2" t="s">
        <v>18</v>
      </c>
      <c r="F1632" s="2">
        <v>143723</v>
      </c>
      <c r="G1632" s="2">
        <v>4254</v>
      </c>
      <c r="H1632" s="2">
        <v>4849.5600000000004</v>
      </c>
      <c r="I1632" s="2">
        <v>281</v>
      </c>
      <c r="J1632" s="2">
        <v>41783.61</v>
      </c>
    </row>
    <row r="1633" spans="1:10" x14ac:dyDescent="0.45">
      <c r="A1633" s="2" t="s">
        <v>32</v>
      </c>
      <c r="B1633" s="2" t="s">
        <v>35</v>
      </c>
      <c r="C1633" s="2" t="s">
        <v>16</v>
      </c>
      <c r="D1633" s="2" t="s">
        <v>29</v>
      </c>
      <c r="E1633" s="2" t="s">
        <v>22</v>
      </c>
      <c r="F1633" s="2">
        <v>30392</v>
      </c>
      <c r="G1633" s="2">
        <v>1325</v>
      </c>
      <c r="H1633" s="2">
        <v>1735.75</v>
      </c>
      <c r="I1633" s="2">
        <v>101</v>
      </c>
      <c r="J1633" s="2">
        <v>3539.63</v>
      </c>
    </row>
    <row r="1634" spans="1:10" x14ac:dyDescent="0.45">
      <c r="A1634" s="2" t="s">
        <v>292</v>
      </c>
      <c r="B1634" s="2" t="s">
        <v>15</v>
      </c>
      <c r="C1634" s="2" t="s">
        <v>24</v>
      </c>
      <c r="D1634" s="2" t="s">
        <v>41</v>
      </c>
      <c r="E1634" s="2" t="s">
        <v>51</v>
      </c>
      <c r="F1634" s="2">
        <v>94412</v>
      </c>
      <c r="G1634" s="2">
        <v>4786</v>
      </c>
      <c r="H1634" s="2">
        <v>6173.94</v>
      </c>
      <c r="I1634" s="2">
        <v>343</v>
      </c>
      <c r="J1634" s="2">
        <v>93767.6</v>
      </c>
    </row>
    <row r="1635" spans="1:10" x14ac:dyDescent="0.45">
      <c r="A1635" s="2" t="s">
        <v>128</v>
      </c>
      <c r="B1635" s="2" t="s">
        <v>15</v>
      </c>
      <c r="C1635" s="2" t="s">
        <v>24</v>
      </c>
      <c r="D1635" s="2" t="s">
        <v>21</v>
      </c>
      <c r="E1635" s="2" t="s">
        <v>22</v>
      </c>
      <c r="F1635" s="2">
        <v>56305</v>
      </c>
      <c r="G1635" s="2">
        <v>1644</v>
      </c>
      <c r="H1635" s="2">
        <v>2712.6</v>
      </c>
      <c r="I1635" s="2">
        <v>126</v>
      </c>
      <c r="J1635" s="2">
        <v>24269.48</v>
      </c>
    </row>
    <row r="1636" spans="1:10" x14ac:dyDescent="0.45">
      <c r="A1636" s="2" t="s">
        <v>259</v>
      </c>
      <c r="B1636" s="2" t="s">
        <v>20</v>
      </c>
      <c r="C1636" s="2" t="s">
        <v>38</v>
      </c>
      <c r="D1636" s="2" t="s">
        <v>29</v>
      </c>
      <c r="E1636" s="2" t="s">
        <v>30</v>
      </c>
      <c r="F1636" s="2">
        <v>142456</v>
      </c>
      <c r="G1636" s="2">
        <v>9943</v>
      </c>
      <c r="H1636" s="2">
        <v>9048.1299999999992</v>
      </c>
      <c r="I1636" s="2">
        <v>266</v>
      </c>
      <c r="J1636" s="2">
        <v>72736.17</v>
      </c>
    </row>
    <row r="1637" spans="1:10" x14ac:dyDescent="0.45">
      <c r="A1637" s="2" t="s">
        <v>58</v>
      </c>
      <c r="B1637" s="2" t="s">
        <v>35</v>
      </c>
      <c r="C1637" s="2" t="s">
        <v>38</v>
      </c>
      <c r="D1637" s="2" t="s">
        <v>21</v>
      </c>
      <c r="E1637" s="2" t="s">
        <v>54</v>
      </c>
      <c r="F1637" s="2">
        <v>27169</v>
      </c>
      <c r="G1637" s="2">
        <v>546</v>
      </c>
      <c r="H1637" s="2">
        <v>589.67999999999995</v>
      </c>
      <c r="I1637" s="2">
        <v>15</v>
      </c>
      <c r="J1637" s="2">
        <v>1578.78</v>
      </c>
    </row>
    <row r="1638" spans="1:10" x14ac:dyDescent="0.45">
      <c r="A1638" s="2" t="s">
        <v>151</v>
      </c>
      <c r="B1638" s="2" t="s">
        <v>15</v>
      </c>
      <c r="C1638" s="2" t="s">
        <v>24</v>
      </c>
      <c r="D1638" s="2" t="s">
        <v>29</v>
      </c>
      <c r="E1638" s="2" t="s">
        <v>30</v>
      </c>
      <c r="F1638" s="2">
        <v>127179</v>
      </c>
      <c r="G1638" s="2">
        <v>5125</v>
      </c>
      <c r="H1638" s="2">
        <v>11377.5</v>
      </c>
      <c r="I1638" s="2">
        <v>87</v>
      </c>
      <c r="J1638" s="2">
        <v>5905.23</v>
      </c>
    </row>
    <row r="1639" spans="1:10" x14ac:dyDescent="0.45">
      <c r="A1639" s="2" t="s">
        <v>216</v>
      </c>
      <c r="B1639" s="2" t="s">
        <v>15</v>
      </c>
      <c r="C1639" s="2" t="s">
        <v>28</v>
      </c>
      <c r="D1639" s="2" t="s">
        <v>17</v>
      </c>
      <c r="E1639" s="2" t="s">
        <v>26</v>
      </c>
      <c r="F1639" s="2">
        <v>20797</v>
      </c>
      <c r="G1639" s="2">
        <v>846</v>
      </c>
      <c r="H1639" s="2">
        <v>913.68</v>
      </c>
      <c r="I1639" s="2">
        <v>56</v>
      </c>
      <c r="J1639" s="2">
        <v>11660.97</v>
      </c>
    </row>
    <row r="1640" spans="1:10" x14ac:dyDescent="0.45">
      <c r="A1640" s="2" t="s">
        <v>45</v>
      </c>
      <c r="B1640" s="2" t="s">
        <v>35</v>
      </c>
      <c r="C1640" s="2" t="s">
        <v>28</v>
      </c>
      <c r="D1640" s="2" t="s">
        <v>41</v>
      </c>
      <c r="E1640" s="2" t="s">
        <v>26</v>
      </c>
      <c r="F1640" s="2">
        <v>188201</v>
      </c>
      <c r="G1640" s="2">
        <v>5627</v>
      </c>
      <c r="H1640" s="2">
        <v>10578.76</v>
      </c>
      <c r="I1640" s="2">
        <v>77</v>
      </c>
      <c r="J1640" s="2">
        <v>14242.93</v>
      </c>
    </row>
    <row r="1641" spans="1:10" x14ac:dyDescent="0.45">
      <c r="A1641" s="2" t="s">
        <v>206</v>
      </c>
      <c r="B1641" s="2" t="s">
        <v>20</v>
      </c>
      <c r="C1641" s="2" t="s">
        <v>28</v>
      </c>
      <c r="D1641" s="2" t="s">
        <v>41</v>
      </c>
      <c r="E1641" s="2" t="s">
        <v>33</v>
      </c>
      <c r="F1641" s="2">
        <v>77726</v>
      </c>
      <c r="G1641" s="2">
        <v>2557</v>
      </c>
      <c r="H1641" s="2">
        <v>1252.93</v>
      </c>
      <c r="I1641" s="2">
        <v>37</v>
      </c>
      <c r="J1641" s="2">
        <v>2932.31</v>
      </c>
    </row>
    <row r="1642" spans="1:10" x14ac:dyDescent="0.45">
      <c r="A1642" s="2" t="s">
        <v>227</v>
      </c>
      <c r="B1642" s="2" t="s">
        <v>35</v>
      </c>
      <c r="C1642" s="2" t="s">
        <v>16</v>
      </c>
      <c r="D1642" s="2" t="s">
        <v>21</v>
      </c>
      <c r="E1642" s="2" t="s">
        <v>54</v>
      </c>
      <c r="F1642" s="2">
        <v>23123</v>
      </c>
      <c r="G1642" s="2">
        <v>286</v>
      </c>
      <c r="H1642" s="2">
        <v>346.06</v>
      </c>
      <c r="I1642" s="2">
        <v>3</v>
      </c>
      <c r="J1642" s="2">
        <v>585.70000000000005</v>
      </c>
    </row>
    <row r="1643" spans="1:10" x14ac:dyDescent="0.45">
      <c r="A1643" s="2" t="s">
        <v>257</v>
      </c>
      <c r="B1643" s="2" t="s">
        <v>15</v>
      </c>
      <c r="C1643" s="2" t="s">
        <v>16</v>
      </c>
      <c r="D1643" s="2" t="s">
        <v>29</v>
      </c>
      <c r="E1643" s="2" t="s">
        <v>33</v>
      </c>
      <c r="F1643" s="2">
        <v>86689</v>
      </c>
      <c r="G1643" s="2">
        <v>3727</v>
      </c>
      <c r="H1643" s="2">
        <v>4323.32</v>
      </c>
      <c r="I1643" s="2">
        <v>276</v>
      </c>
      <c r="J1643" s="2">
        <v>76876.240000000005</v>
      </c>
    </row>
    <row r="1644" spans="1:10" x14ac:dyDescent="0.45">
      <c r="A1644" s="2" t="s">
        <v>77</v>
      </c>
      <c r="B1644" s="2" t="s">
        <v>15</v>
      </c>
      <c r="C1644" s="2" t="s">
        <v>16</v>
      </c>
      <c r="D1644" s="2" t="s">
        <v>25</v>
      </c>
      <c r="E1644" s="2" t="s">
        <v>26</v>
      </c>
      <c r="F1644" s="2">
        <v>159251</v>
      </c>
      <c r="G1644" s="2">
        <v>9172</v>
      </c>
      <c r="H1644" s="2">
        <v>26048.48</v>
      </c>
      <c r="I1644" s="2">
        <v>407</v>
      </c>
      <c r="J1644" s="2">
        <v>30602.6</v>
      </c>
    </row>
    <row r="1645" spans="1:10" x14ac:dyDescent="0.45">
      <c r="A1645" s="2" t="s">
        <v>208</v>
      </c>
      <c r="B1645" s="2" t="s">
        <v>35</v>
      </c>
      <c r="C1645" s="2" t="s">
        <v>38</v>
      </c>
      <c r="D1645" s="2" t="s">
        <v>41</v>
      </c>
      <c r="E1645" s="2" t="s">
        <v>22</v>
      </c>
      <c r="F1645" s="2">
        <v>70180</v>
      </c>
      <c r="G1645" s="2">
        <v>736</v>
      </c>
      <c r="H1645" s="2">
        <v>1030.4000000000001</v>
      </c>
      <c r="I1645" s="2">
        <v>45</v>
      </c>
      <c r="J1645" s="2">
        <v>2168.7199999999998</v>
      </c>
    </row>
    <row r="1646" spans="1:10" x14ac:dyDescent="0.45">
      <c r="A1646" s="2" t="s">
        <v>168</v>
      </c>
      <c r="B1646" s="2" t="s">
        <v>15</v>
      </c>
      <c r="C1646" s="2" t="s">
        <v>24</v>
      </c>
      <c r="D1646" s="2" t="s">
        <v>17</v>
      </c>
      <c r="E1646" s="2" t="s">
        <v>33</v>
      </c>
      <c r="F1646" s="2">
        <v>83466</v>
      </c>
      <c r="G1646" s="2">
        <v>4089</v>
      </c>
      <c r="H1646" s="2">
        <v>9241.14</v>
      </c>
      <c r="I1646" s="2">
        <v>108</v>
      </c>
      <c r="J1646" s="2">
        <v>12521.2</v>
      </c>
    </row>
    <row r="1647" spans="1:10" x14ac:dyDescent="0.45">
      <c r="A1647" s="2" t="s">
        <v>39</v>
      </c>
      <c r="B1647" s="2" t="s">
        <v>35</v>
      </c>
      <c r="C1647" s="2" t="s">
        <v>38</v>
      </c>
      <c r="D1647" s="2" t="s">
        <v>29</v>
      </c>
      <c r="E1647" s="2" t="s">
        <v>51</v>
      </c>
      <c r="F1647" s="2">
        <v>137602</v>
      </c>
      <c r="G1647" s="2">
        <v>2641</v>
      </c>
      <c r="H1647" s="2">
        <v>1558.19</v>
      </c>
      <c r="I1647" s="2">
        <v>179</v>
      </c>
      <c r="J1647" s="2">
        <v>52473.54</v>
      </c>
    </row>
    <row r="1648" spans="1:10" x14ac:dyDescent="0.45">
      <c r="A1648" s="2" t="s">
        <v>321</v>
      </c>
      <c r="B1648" s="2" t="s">
        <v>20</v>
      </c>
      <c r="C1648" s="2" t="s">
        <v>24</v>
      </c>
      <c r="D1648" s="2" t="s">
        <v>29</v>
      </c>
      <c r="E1648" s="2" t="s">
        <v>18</v>
      </c>
      <c r="F1648" s="2">
        <v>64222</v>
      </c>
      <c r="G1648" s="2">
        <v>2067</v>
      </c>
      <c r="H1648" s="2">
        <v>3906.63</v>
      </c>
      <c r="I1648" s="2">
        <v>68</v>
      </c>
      <c r="J1648" s="2">
        <v>14851.97</v>
      </c>
    </row>
    <row r="1649" spans="1:10" x14ac:dyDescent="0.45">
      <c r="A1649" s="2" t="s">
        <v>158</v>
      </c>
      <c r="B1649" s="2" t="s">
        <v>20</v>
      </c>
      <c r="C1649" s="2" t="s">
        <v>28</v>
      </c>
      <c r="D1649" s="2" t="s">
        <v>25</v>
      </c>
      <c r="E1649" s="2" t="s">
        <v>51</v>
      </c>
      <c r="F1649" s="2">
        <v>116739</v>
      </c>
      <c r="G1649" s="2">
        <v>4319</v>
      </c>
      <c r="H1649" s="2">
        <v>1468.46</v>
      </c>
      <c r="I1649" s="2">
        <v>306</v>
      </c>
      <c r="J1649" s="2">
        <v>46873.98</v>
      </c>
    </row>
    <row r="1650" spans="1:10" x14ac:dyDescent="0.45">
      <c r="A1650" s="2" t="s">
        <v>50</v>
      </c>
      <c r="B1650" s="2" t="s">
        <v>35</v>
      </c>
      <c r="C1650" s="2" t="s">
        <v>28</v>
      </c>
      <c r="D1650" s="2" t="s">
        <v>25</v>
      </c>
      <c r="E1650" s="2" t="s">
        <v>26</v>
      </c>
      <c r="F1650" s="2">
        <v>50869</v>
      </c>
      <c r="G1650" s="2">
        <v>890</v>
      </c>
      <c r="H1650" s="2">
        <v>961.2</v>
      </c>
      <c r="I1650" s="2">
        <v>61</v>
      </c>
      <c r="J1650" s="2">
        <v>16803.54</v>
      </c>
    </row>
    <row r="1651" spans="1:10" x14ac:dyDescent="0.45">
      <c r="A1651" s="2" t="s">
        <v>380</v>
      </c>
      <c r="B1651" s="2" t="s">
        <v>35</v>
      </c>
      <c r="C1651" s="2" t="s">
        <v>16</v>
      </c>
      <c r="D1651" s="2" t="s">
        <v>21</v>
      </c>
      <c r="E1651" s="2" t="s">
        <v>30</v>
      </c>
      <c r="F1651" s="2">
        <v>127155</v>
      </c>
      <c r="G1651" s="2">
        <v>3089</v>
      </c>
      <c r="H1651" s="2">
        <v>3861.25</v>
      </c>
      <c r="I1651" s="2">
        <v>95</v>
      </c>
      <c r="J1651" s="2">
        <v>23894.639999999999</v>
      </c>
    </row>
    <row r="1652" spans="1:10" x14ac:dyDescent="0.45">
      <c r="A1652" s="2" t="s">
        <v>95</v>
      </c>
      <c r="B1652" s="2" t="s">
        <v>15</v>
      </c>
      <c r="C1652" s="2" t="s">
        <v>24</v>
      </c>
      <c r="D1652" s="2" t="s">
        <v>21</v>
      </c>
      <c r="E1652" s="2" t="s">
        <v>30</v>
      </c>
      <c r="F1652" s="2">
        <v>162883</v>
      </c>
      <c r="G1652" s="2">
        <v>8974</v>
      </c>
      <c r="H1652" s="2">
        <v>21358.12</v>
      </c>
      <c r="I1652" s="2">
        <v>292</v>
      </c>
      <c r="J1652" s="2">
        <v>80812.08</v>
      </c>
    </row>
    <row r="1653" spans="1:10" x14ac:dyDescent="0.45">
      <c r="A1653" s="2" t="s">
        <v>181</v>
      </c>
      <c r="B1653" s="2" t="s">
        <v>20</v>
      </c>
      <c r="C1653" s="2" t="s">
        <v>16</v>
      </c>
      <c r="D1653" s="2" t="s">
        <v>29</v>
      </c>
      <c r="E1653" s="2" t="s">
        <v>33</v>
      </c>
      <c r="F1653" s="2">
        <v>115716</v>
      </c>
      <c r="G1653" s="2">
        <v>7394</v>
      </c>
      <c r="H1653" s="2">
        <v>8577.0400000000009</v>
      </c>
      <c r="I1653" s="2">
        <v>242</v>
      </c>
      <c r="J1653" s="2">
        <v>49142.559999999998</v>
      </c>
    </row>
    <row r="1654" spans="1:10" x14ac:dyDescent="0.45">
      <c r="A1654" s="2" t="s">
        <v>338</v>
      </c>
      <c r="B1654" s="2" t="s">
        <v>15</v>
      </c>
      <c r="C1654" s="2" t="s">
        <v>24</v>
      </c>
      <c r="D1654" s="2" t="s">
        <v>21</v>
      </c>
      <c r="E1654" s="2" t="s">
        <v>26</v>
      </c>
      <c r="F1654" s="2">
        <v>40306</v>
      </c>
      <c r="G1654" s="2">
        <v>1176</v>
      </c>
      <c r="H1654" s="2">
        <v>999.6</v>
      </c>
      <c r="I1654" s="2">
        <v>41</v>
      </c>
      <c r="J1654" s="2">
        <v>11838.48</v>
      </c>
    </row>
    <row r="1655" spans="1:10" x14ac:dyDescent="0.45">
      <c r="A1655" s="2" t="s">
        <v>44</v>
      </c>
      <c r="B1655" s="2" t="s">
        <v>20</v>
      </c>
      <c r="C1655" s="2" t="s">
        <v>16</v>
      </c>
      <c r="D1655" s="2" t="s">
        <v>17</v>
      </c>
      <c r="E1655" s="2" t="s">
        <v>33</v>
      </c>
      <c r="F1655" s="2">
        <v>138025</v>
      </c>
      <c r="G1655" s="2">
        <v>9192</v>
      </c>
      <c r="H1655" s="2">
        <v>5882.88</v>
      </c>
      <c r="I1655" s="2">
        <v>420</v>
      </c>
      <c r="J1655" s="2">
        <v>38810.35</v>
      </c>
    </row>
    <row r="1656" spans="1:10" x14ac:dyDescent="0.45">
      <c r="A1656" s="2" t="s">
        <v>250</v>
      </c>
      <c r="B1656" s="2" t="s">
        <v>35</v>
      </c>
      <c r="C1656" s="2" t="s">
        <v>24</v>
      </c>
      <c r="D1656" s="2" t="s">
        <v>29</v>
      </c>
      <c r="E1656" s="2" t="s">
        <v>51</v>
      </c>
      <c r="F1656" s="2">
        <v>145510</v>
      </c>
      <c r="G1656" s="2">
        <v>5805</v>
      </c>
      <c r="H1656" s="2">
        <v>6037.2</v>
      </c>
      <c r="I1656" s="2">
        <v>166</v>
      </c>
      <c r="J1656" s="2">
        <v>30713.7</v>
      </c>
    </row>
    <row r="1657" spans="1:10" x14ac:dyDescent="0.45">
      <c r="A1657" s="2" t="s">
        <v>187</v>
      </c>
      <c r="B1657" s="2" t="s">
        <v>20</v>
      </c>
      <c r="C1657" s="2" t="s">
        <v>38</v>
      </c>
      <c r="D1657" s="2" t="s">
        <v>17</v>
      </c>
      <c r="E1657" s="2" t="s">
        <v>26</v>
      </c>
      <c r="F1657" s="2">
        <v>168297</v>
      </c>
      <c r="G1657" s="2">
        <v>10535</v>
      </c>
      <c r="H1657" s="2">
        <v>14749</v>
      </c>
      <c r="I1657" s="2">
        <v>561</v>
      </c>
      <c r="J1657" s="2">
        <v>30094.65</v>
      </c>
    </row>
    <row r="1658" spans="1:10" x14ac:dyDescent="0.45">
      <c r="A1658" s="2" t="s">
        <v>52</v>
      </c>
      <c r="B1658" s="2" t="s">
        <v>35</v>
      </c>
      <c r="C1658" s="2" t="s">
        <v>16</v>
      </c>
      <c r="D1658" s="2" t="s">
        <v>41</v>
      </c>
      <c r="E1658" s="2" t="s">
        <v>54</v>
      </c>
      <c r="F1658" s="2">
        <v>66157</v>
      </c>
      <c r="G1658" s="2">
        <v>1687</v>
      </c>
      <c r="H1658" s="2">
        <v>2193.1</v>
      </c>
      <c r="I1658" s="2">
        <v>41</v>
      </c>
      <c r="J1658" s="2">
        <v>5082.9399999999996</v>
      </c>
    </row>
    <row r="1659" spans="1:10" x14ac:dyDescent="0.45">
      <c r="A1659" s="2" t="s">
        <v>95</v>
      </c>
      <c r="B1659" s="2" t="s">
        <v>35</v>
      </c>
      <c r="C1659" s="2" t="s">
        <v>28</v>
      </c>
      <c r="D1659" s="2" t="s">
        <v>17</v>
      </c>
      <c r="E1659" s="2" t="s">
        <v>51</v>
      </c>
      <c r="F1659" s="2">
        <v>115003</v>
      </c>
      <c r="G1659" s="2">
        <v>2921</v>
      </c>
      <c r="H1659" s="2">
        <v>1168.4000000000001</v>
      </c>
      <c r="I1659" s="2">
        <v>36</v>
      </c>
      <c r="J1659" s="2">
        <v>4203.1899999999996</v>
      </c>
    </row>
    <row r="1660" spans="1:10" x14ac:dyDescent="0.45">
      <c r="A1660" s="2" t="s">
        <v>126</v>
      </c>
      <c r="B1660" s="2" t="s">
        <v>35</v>
      </c>
      <c r="C1660" s="2" t="s">
        <v>28</v>
      </c>
      <c r="D1660" s="2" t="s">
        <v>25</v>
      </c>
      <c r="E1660" s="2" t="s">
        <v>26</v>
      </c>
      <c r="F1660" s="2">
        <v>173292</v>
      </c>
      <c r="G1660" s="2">
        <v>7330</v>
      </c>
      <c r="H1660" s="2">
        <v>13780.4</v>
      </c>
      <c r="I1660" s="2">
        <v>355</v>
      </c>
      <c r="J1660" s="2">
        <v>66981.679999999993</v>
      </c>
    </row>
    <row r="1661" spans="1:10" x14ac:dyDescent="0.45">
      <c r="A1661" s="2" t="s">
        <v>112</v>
      </c>
      <c r="B1661" s="2" t="s">
        <v>35</v>
      </c>
      <c r="C1661" s="2" t="s">
        <v>24</v>
      </c>
      <c r="D1661" s="2" t="s">
        <v>21</v>
      </c>
      <c r="E1661" s="2" t="s">
        <v>30</v>
      </c>
      <c r="F1661" s="2">
        <v>94440</v>
      </c>
      <c r="G1661" s="2">
        <v>2219</v>
      </c>
      <c r="H1661" s="2">
        <v>4282.67</v>
      </c>
      <c r="I1661" s="2">
        <v>156</v>
      </c>
      <c r="J1661" s="2">
        <v>39424.239999999998</v>
      </c>
    </row>
    <row r="1662" spans="1:10" x14ac:dyDescent="0.45">
      <c r="A1662" s="2" t="s">
        <v>102</v>
      </c>
      <c r="B1662" s="2" t="s">
        <v>35</v>
      </c>
      <c r="C1662" s="2" t="s">
        <v>24</v>
      </c>
      <c r="D1662" s="2" t="s">
        <v>25</v>
      </c>
      <c r="E1662" s="2" t="s">
        <v>51</v>
      </c>
      <c r="F1662" s="2">
        <v>93003</v>
      </c>
      <c r="G1662" s="2">
        <v>1283</v>
      </c>
      <c r="H1662" s="2">
        <v>2258.08</v>
      </c>
      <c r="I1662" s="2">
        <v>49</v>
      </c>
      <c r="J1662" s="2">
        <v>1614.11</v>
      </c>
    </row>
    <row r="1663" spans="1:10" x14ac:dyDescent="0.45">
      <c r="A1663" s="2" t="s">
        <v>374</v>
      </c>
      <c r="B1663" s="2" t="s">
        <v>20</v>
      </c>
      <c r="C1663" s="2" t="s">
        <v>24</v>
      </c>
      <c r="D1663" s="2" t="s">
        <v>41</v>
      </c>
      <c r="E1663" s="2" t="s">
        <v>26</v>
      </c>
      <c r="F1663" s="2">
        <v>112294</v>
      </c>
      <c r="G1663" s="2">
        <v>9039</v>
      </c>
      <c r="H1663" s="2">
        <v>8948.61</v>
      </c>
      <c r="I1663" s="2">
        <v>99</v>
      </c>
      <c r="J1663" s="2">
        <v>20435.34</v>
      </c>
    </row>
    <row r="1664" spans="1:10" x14ac:dyDescent="0.45">
      <c r="A1664" s="2" t="s">
        <v>148</v>
      </c>
      <c r="B1664" s="2" t="s">
        <v>35</v>
      </c>
      <c r="C1664" s="2" t="s">
        <v>38</v>
      </c>
      <c r="D1664" s="2" t="s">
        <v>29</v>
      </c>
      <c r="E1664" s="2" t="s">
        <v>26</v>
      </c>
      <c r="F1664" s="2">
        <v>165321</v>
      </c>
      <c r="G1664" s="2">
        <v>4447</v>
      </c>
      <c r="H1664" s="2">
        <v>6937.32</v>
      </c>
      <c r="I1664" s="2">
        <v>301</v>
      </c>
      <c r="J1664" s="2">
        <v>23975.23</v>
      </c>
    </row>
    <row r="1665" spans="1:10" x14ac:dyDescent="0.45">
      <c r="A1665" s="2" t="s">
        <v>350</v>
      </c>
      <c r="B1665" s="2" t="s">
        <v>20</v>
      </c>
      <c r="C1665" s="2" t="s">
        <v>24</v>
      </c>
      <c r="D1665" s="2" t="s">
        <v>25</v>
      </c>
      <c r="E1665" s="2" t="s">
        <v>26</v>
      </c>
      <c r="F1665" s="2">
        <v>137895</v>
      </c>
      <c r="G1665" s="2">
        <v>5901</v>
      </c>
      <c r="H1665" s="2">
        <v>7907.34</v>
      </c>
      <c r="I1665" s="2">
        <v>379</v>
      </c>
      <c r="J1665" s="2">
        <v>86835.97</v>
      </c>
    </row>
    <row r="1666" spans="1:10" x14ac:dyDescent="0.45">
      <c r="A1666" s="2" t="s">
        <v>62</v>
      </c>
      <c r="B1666" s="2" t="s">
        <v>20</v>
      </c>
      <c r="C1666" s="2" t="s">
        <v>38</v>
      </c>
      <c r="D1666" s="2" t="s">
        <v>41</v>
      </c>
      <c r="E1666" s="2" t="s">
        <v>30</v>
      </c>
      <c r="F1666" s="2">
        <v>7978</v>
      </c>
      <c r="G1666" s="2">
        <v>557</v>
      </c>
      <c r="H1666" s="2">
        <v>339.77</v>
      </c>
      <c r="I1666" s="2">
        <v>34</v>
      </c>
      <c r="J1666" s="2">
        <v>6686.61</v>
      </c>
    </row>
    <row r="1667" spans="1:10" x14ac:dyDescent="0.45">
      <c r="A1667" s="2" t="s">
        <v>210</v>
      </c>
      <c r="B1667" s="2" t="s">
        <v>20</v>
      </c>
      <c r="C1667" s="2" t="s">
        <v>38</v>
      </c>
      <c r="D1667" s="2" t="s">
        <v>17</v>
      </c>
      <c r="E1667" s="2" t="s">
        <v>30</v>
      </c>
      <c r="F1667" s="2">
        <v>113994</v>
      </c>
      <c r="G1667" s="2">
        <v>4320</v>
      </c>
      <c r="H1667" s="2">
        <v>3326.4</v>
      </c>
      <c r="I1667" s="2">
        <v>142</v>
      </c>
      <c r="J1667" s="2">
        <v>25985.24</v>
      </c>
    </row>
    <row r="1668" spans="1:10" x14ac:dyDescent="0.45">
      <c r="A1668" s="2" t="s">
        <v>346</v>
      </c>
      <c r="B1668" s="2" t="s">
        <v>15</v>
      </c>
      <c r="C1668" s="2" t="s">
        <v>16</v>
      </c>
      <c r="D1668" s="2" t="s">
        <v>21</v>
      </c>
      <c r="E1668" s="2" t="s">
        <v>18</v>
      </c>
      <c r="F1668" s="2">
        <v>90794</v>
      </c>
      <c r="G1668" s="2">
        <v>5638</v>
      </c>
      <c r="H1668" s="2">
        <v>17477.8</v>
      </c>
      <c r="I1668" s="2">
        <v>217</v>
      </c>
      <c r="J1668" s="2">
        <v>54642.18</v>
      </c>
    </row>
    <row r="1669" spans="1:10" x14ac:dyDescent="0.45">
      <c r="A1669" s="2" t="s">
        <v>173</v>
      </c>
      <c r="B1669" s="2" t="s">
        <v>35</v>
      </c>
      <c r="C1669" s="2" t="s">
        <v>38</v>
      </c>
      <c r="D1669" s="2" t="s">
        <v>25</v>
      </c>
      <c r="E1669" s="2" t="s">
        <v>54</v>
      </c>
      <c r="F1669" s="2">
        <v>118694</v>
      </c>
      <c r="G1669" s="2">
        <v>2338</v>
      </c>
      <c r="H1669" s="2">
        <v>5283.88</v>
      </c>
      <c r="I1669" s="2">
        <v>76</v>
      </c>
      <c r="J1669" s="2">
        <v>6774.6</v>
      </c>
    </row>
    <row r="1670" spans="1:10" x14ac:dyDescent="0.45">
      <c r="A1670" s="2" t="s">
        <v>275</v>
      </c>
      <c r="B1670" s="2" t="s">
        <v>15</v>
      </c>
      <c r="C1670" s="2" t="s">
        <v>28</v>
      </c>
      <c r="D1670" s="2" t="s">
        <v>25</v>
      </c>
      <c r="E1670" s="2" t="s">
        <v>18</v>
      </c>
      <c r="F1670" s="2">
        <v>99805</v>
      </c>
      <c r="G1670" s="2">
        <v>1936</v>
      </c>
      <c r="H1670" s="2">
        <v>2710.4</v>
      </c>
      <c r="I1670" s="2">
        <v>112</v>
      </c>
      <c r="J1670" s="2">
        <v>29346.97</v>
      </c>
    </row>
    <row r="1671" spans="1:10" x14ac:dyDescent="0.45">
      <c r="A1671" s="2" t="s">
        <v>336</v>
      </c>
      <c r="B1671" s="2" t="s">
        <v>15</v>
      </c>
      <c r="C1671" s="2" t="s">
        <v>16</v>
      </c>
      <c r="D1671" s="2" t="s">
        <v>17</v>
      </c>
      <c r="E1671" s="2" t="s">
        <v>33</v>
      </c>
      <c r="F1671" s="2">
        <v>187156</v>
      </c>
      <c r="G1671" s="2">
        <v>3986</v>
      </c>
      <c r="H1671" s="2">
        <v>9526.5400000000009</v>
      </c>
      <c r="I1671" s="2">
        <v>269</v>
      </c>
      <c r="J1671" s="2">
        <v>34393.230000000003</v>
      </c>
    </row>
    <row r="1672" spans="1:10" x14ac:dyDescent="0.45">
      <c r="A1672" s="2" t="s">
        <v>279</v>
      </c>
      <c r="B1672" s="2" t="s">
        <v>20</v>
      </c>
      <c r="C1672" s="2" t="s">
        <v>24</v>
      </c>
      <c r="D1672" s="2" t="s">
        <v>21</v>
      </c>
      <c r="E1672" s="2" t="s">
        <v>18</v>
      </c>
      <c r="F1672" s="2">
        <v>120152</v>
      </c>
      <c r="G1672" s="2">
        <v>4613</v>
      </c>
      <c r="H1672" s="2">
        <v>4474.6099999999997</v>
      </c>
      <c r="I1672" s="2">
        <v>108</v>
      </c>
      <c r="J1672" s="2">
        <v>27205.77</v>
      </c>
    </row>
    <row r="1673" spans="1:10" x14ac:dyDescent="0.45">
      <c r="A1673" s="2" t="s">
        <v>204</v>
      </c>
      <c r="B1673" s="2" t="s">
        <v>15</v>
      </c>
      <c r="C1673" s="2" t="s">
        <v>16</v>
      </c>
      <c r="D1673" s="2" t="s">
        <v>17</v>
      </c>
      <c r="E1673" s="2" t="s">
        <v>22</v>
      </c>
      <c r="F1673" s="2">
        <v>117458</v>
      </c>
      <c r="G1673" s="2">
        <v>6824</v>
      </c>
      <c r="H1673" s="2">
        <v>13716.24</v>
      </c>
      <c r="I1673" s="2">
        <v>251</v>
      </c>
      <c r="J1673" s="2">
        <v>12200.18</v>
      </c>
    </row>
    <row r="1674" spans="1:10" x14ac:dyDescent="0.45">
      <c r="A1674" s="2" t="s">
        <v>385</v>
      </c>
      <c r="B1674" s="2" t="s">
        <v>35</v>
      </c>
      <c r="C1674" s="2" t="s">
        <v>24</v>
      </c>
      <c r="D1674" s="2" t="s">
        <v>21</v>
      </c>
      <c r="E1674" s="2" t="s">
        <v>54</v>
      </c>
      <c r="F1674" s="2">
        <v>35398</v>
      </c>
      <c r="G1674" s="2">
        <v>1044</v>
      </c>
      <c r="H1674" s="2">
        <v>469.8</v>
      </c>
      <c r="I1674" s="2">
        <v>20</v>
      </c>
      <c r="J1674" s="2">
        <v>1596.24</v>
      </c>
    </row>
    <row r="1675" spans="1:10" x14ac:dyDescent="0.45">
      <c r="A1675" s="2" t="s">
        <v>263</v>
      </c>
      <c r="B1675" s="2" t="s">
        <v>20</v>
      </c>
      <c r="C1675" s="2" t="s">
        <v>24</v>
      </c>
      <c r="D1675" s="2" t="s">
        <v>25</v>
      </c>
      <c r="E1675" s="2" t="s">
        <v>51</v>
      </c>
      <c r="F1675" s="2">
        <v>98386</v>
      </c>
      <c r="G1675" s="2">
        <v>7556</v>
      </c>
      <c r="H1675" s="2">
        <v>2644.6</v>
      </c>
      <c r="I1675" s="2">
        <v>385</v>
      </c>
      <c r="J1675" s="2">
        <v>43735.3</v>
      </c>
    </row>
    <row r="1676" spans="1:10" x14ac:dyDescent="0.45">
      <c r="A1676" s="2" t="s">
        <v>190</v>
      </c>
      <c r="B1676" s="2" t="s">
        <v>35</v>
      </c>
      <c r="C1676" s="2" t="s">
        <v>24</v>
      </c>
      <c r="D1676" s="2" t="s">
        <v>41</v>
      </c>
      <c r="E1676" s="2" t="s">
        <v>33</v>
      </c>
      <c r="F1676" s="2">
        <v>70133</v>
      </c>
      <c r="G1676" s="2">
        <v>2293</v>
      </c>
      <c r="H1676" s="2">
        <v>2384.7199999999998</v>
      </c>
      <c r="I1676" s="2">
        <v>75</v>
      </c>
      <c r="J1676" s="2">
        <v>14249.95</v>
      </c>
    </row>
    <row r="1677" spans="1:10" x14ac:dyDescent="0.45">
      <c r="A1677" s="2" t="s">
        <v>282</v>
      </c>
      <c r="B1677" s="2" t="s">
        <v>15</v>
      </c>
      <c r="C1677" s="2" t="s">
        <v>24</v>
      </c>
      <c r="D1677" s="2" t="s">
        <v>29</v>
      </c>
      <c r="E1677" s="2" t="s">
        <v>26</v>
      </c>
      <c r="F1677" s="2">
        <v>30169</v>
      </c>
      <c r="G1677" s="2">
        <v>1523</v>
      </c>
      <c r="H1677" s="2">
        <v>2193.12</v>
      </c>
      <c r="I1677" s="2">
        <v>34</v>
      </c>
      <c r="J1677" s="2">
        <v>8282.7099999999991</v>
      </c>
    </row>
    <row r="1678" spans="1:10" x14ac:dyDescent="0.45">
      <c r="A1678" s="2" t="s">
        <v>131</v>
      </c>
      <c r="B1678" s="2" t="s">
        <v>15</v>
      </c>
      <c r="C1678" s="2" t="s">
        <v>16</v>
      </c>
      <c r="D1678" s="2" t="s">
        <v>21</v>
      </c>
      <c r="E1678" s="2" t="s">
        <v>30</v>
      </c>
      <c r="F1678" s="2">
        <v>122959</v>
      </c>
      <c r="G1678" s="2">
        <v>3553</v>
      </c>
      <c r="H1678" s="2">
        <v>5933.51</v>
      </c>
      <c r="I1678" s="2">
        <v>133</v>
      </c>
      <c r="J1678" s="2">
        <v>11079.66</v>
      </c>
    </row>
    <row r="1679" spans="1:10" x14ac:dyDescent="0.45">
      <c r="A1679" s="2" t="s">
        <v>370</v>
      </c>
      <c r="B1679" s="2" t="s">
        <v>35</v>
      </c>
      <c r="C1679" s="2" t="s">
        <v>16</v>
      </c>
      <c r="D1679" s="2" t="s">
        <v>25</v>
      </c>
      <c r="E1679" s="2" t="s">
        <v>54</v>
      </c>
      <c r="F1679" s="2">
        <v>73083</v>
      </c>
      <c r="G1679" s="2">
        <v>3040</v>
      </c>
      <c r="H1679" s="2">
        <v>1824</v>
      </c>
      <c r="I1679" s="2">
        <v>203</v>
      </c>
      <c r="J1679" s="2">
        <v>29701.35</v>
      </c>
    </row>
    <row r="1680" spans="1:10" x14ac:dyDescent="0.45">
      <c r="A1680" s="2" t="s">
        <v>288</v>
      </c>
      <c r="B1680" s="2" t="s">
        <v>35</v>
      </c>
      <c r="C1680" s="2" t="s">
        <v>38</v>
      </c>
      <c r="D1680" s="2" t="s">
        <v>17</v>
      </c>
      <c r="E1680" s="2" t="s">
        <v>51</v>
      </c>
      <c r="F1680" s="2">
        <v>113889</v>
      </c>
      <c r="G1680" s="2">
        <v>4623</v>
      </c>
      <c r="H1680" s="2">
        <v>5501.37</v>
      </c>
      <c r="I1680" s="2">
        <v>362</v>
      </c>
      <c r="J1680" s="2">
        <v>19216.96</v>
      </c>
    </row>
    <row r="1681" spans="1:10" x14ac:dyDescent="0.45">
      <c r="A1681" s="2" t="s">
        <v>87</v>
      </c>
      <c r="B1681" s="2" t="s">
        <v>35</v>
      </c>
      <c r="C1681" s="2" t="s">
        <v>16</v>
      </c>
      <c r="D1681" s="2" t="s">
        <v>25</v>
      </c>
      <c r="E1681" s="2" t="s">
        <v>54</v>
      </c>
      <c r="F1681" s="2">
        <v>57203</v>
      </c>
      <c r="G1681" s="2">
        <v>1029</v>
      </c>
      <c r="H1681" s="2">
        <v>895.23</v>
      </c>
      <c r="I1681" s="2">
        <v>11</v>
      </c>
      <c r="J1681" s="2">
        <v>1505.4</v>
      </c>
    </row>
    <row r="1682" spans="1:10" x14ac:dyDescent="0.45">
      <c r="A1682" s="2" t="s">
        <v>231</v>
      </c>
      <c r="B1682" s="2" t="s">
        <v>20</v>
      </c>
      <c r="C1682" s="2" t="s">
        <v>38</v>
      </c>
      <c r="D1682" s="2" t="s">
        <v>29</v>
      </c>
      <c r="E1682" s="2" t="s">
        <v>18</v>
      </c>
      <c r="F1682" s="2">
        <v>36562</v>
      </c>
      <c r="G1682" s="2">
        <v>1257</v>
      </c>
      <c r="H1682" s="2">
        <v>540.51</v>
      </c>
      <c r="I1682" s="2">
        <v>74</v>
      </c>
      <c r="J1682" s="2">
        <v>11838.52</v>
      </c>
    </row>
    <row r="1683" spans="1:10" x14ac:dyDescent="0.45">
      <c r="A1683" s="2" t="s">
        <v>119</v>
      </c>
      <c r="B1683" s="2" t="s">
        <v>15</v>
      </c>
      <c r="C1683" s="2" t="s">
        <v>16</v>
      </c>
      <c r="D1683" s="2" t="s">
        <v>21</v>
      </c>
      <c r="E1683" s="2" t="s">
        <v>26</v>
      </c>
      <c r="F1683" s="2">
        <v>177256</v>
      </c>
      <c r="G1683" s="2">
        <v>4059</v>
      </c>
      <c r="H1683" s="2">
        <v>8889.2099999999991</v>
      </c>
      <c r="I1683" s="2">
        <v>138</v>
      </c>
      <c r="J1683" s="2">
        <v>32140.46</v>
      </c>
    </row>
    <row r="1684" spans="1:10" x14ac:dyDescent="0.45">
      <c r="A1684" s="2" t="s">
        <v>310</v>
      </c>
      <c r="B1684" s="2" t="s">
        <v>20</v>
      </c>
      <c r="C1684" s="2" t="s">
        <v>28</v>
      </c>
      <c r="D1684" s="2" t="s">
        <v>29</v>
      </c>
      <c r="E1684" s="2" t="s">
        <v>51</v>
      </c>
      <c r="F1684" s="2">
        <v>179036</v>
      </c>
      <c r="G1684" s="2">
        <v>11046</v>
      </c>
      <c r="H1684" s="2">
        <v>9610.02</v>
      </c>
      <c r="I1684" s="2">
        <v>787</v>
      </c>
      <c r="J1684" s="2">
        <v>127296.84</v>
      </c>
    </row>
    <row r="1685" spans="1:10" x14ac:dyDescent="0.45">
      <c r="A1685" s="2" t="s">
        <v>328</v>
      </c>
      <c r="B1685" s="2" t="s">
        <v>15</v>
      </c>
      <c r="C1685" s="2" t="s">
        <v>38</v>
      </c>
      <c r="D1685" s="2" t="s">
        <v>21</v>
      </c>
      <c r="E1685" s="2" t="s">
        <v>30</v>
      </c>
      <c r="F1685" s="2">
        <v>87481</v>
      </c>
      <c r="G1685" s="2">
        <v>4181</v>
      </c>
      <c r="H1685" s="2">
        <v>12041.28</v>
      </c>
      <c r="I1685" s="2">
        <v>104</v>
      </c>
      <c r="J1685" s="2">
        <v>28643.42</v>
      </c>
    </row>
    <row r="1686" spans="1:10" x14ac:dyDescent="0.45">
      <c r="A1686" s="2" t="s">
        <v>385</v>
      </c>
      <c r="B1686" s="2" t="s">
        <v>20</v>
      </c>
      <c r="C1686" s="2" t="s">
        <v>28</v>
      </c>
      <c r="D1686" s="2" t="s">
        <v>41</v>
      </c>
      <c r="E1686" s="2" t="s">
        <v>51</v>
      </c>
      <c r="F1686" s="2">
        <v>130645</v>
      </c>
      <c r="G1686" s="2">
        <v>8243</v>
      </c>
      <c r="H1686" s="2">
        <v>7830.85</v>
      </c>
      <c r="I1686" s="2">
        <v>356</v>
      </c>
      <c r="J1686" s="2">
        <v>16420.599999999999</v>
      </c>
    </row>
    <row r="1687" spans="1:10" x14ac:dyDescent="0.45">
      <c r="A1687" s="2" t="s">
        <v>324</v>
      </c>
      <c r="B1687" s="2" t="s">
        <v>15</v>
      </c>
      <c r="C1687" s="2" t="s">
        <v>16</v>
      </c>
      <c r="D1687" s="2" t="s">
        <v>29</v>
      </c>
      <c r="E1687" s="2" t="s">
        <v>51</v>
      </c>
      <c r="F1687" s="2">
        <v>121089</v>
      </c>
      <c r="G1687" s="2">
        <v>3499</v>
      </c>
      <c r="H1687" s="2">
        <v>3254.07</v>
      </c>
      <c r="I1687" s="2">
        <v>185</v>
      </c>
      <c r="J1687" s="2">
        <v>28042.42</v>
      </c>
    </row>
    <row r="1688" spans="1:10" x14ac:dyDescent="0.45">
      <c r="A1688" s="2" t="s">
        <v>272</v>
      </c>
      <c r="B1688" s="2" t="s">
        <v>15</v>
      </c>
      <c r="C1688" s="2" t="s">
        <v>16</v>
      </c>
      <c r="D1688" s="2" t="s">
        <v>21</v>
      </c>
      <c r="E1688" s="2" t="s">
        <v>33</v>
      </c>
      <c r="F1688" s="2">
        <v>15589</v>
      </c>
      <c r="G1688" s="2">
        <v>285</v>
      </c>
      <c r="H1688" s="2">
        <v>336.3</v>
      </c>
      <c r="I1688" s="2">
        <v>10</v>
      </c>
      <c r="J1688" s="2">
        <v>1359.76</v>
      </c>
    </row>
    <row r="1689" spans="1:10" x14ac:dyDescent="0.45">
      <c r="A1689" s="2" t="s">
        <v>226</v>
      </c>
      <c r="B1689" s="2" t="s">
        <v>20</v>
      </c>
      <c r="C1689" s="2" t="s">
        <v>16</v>
      </c>
      <c r="D1689" s="2" t="s">
        <v>17</v>
      </c>
      <c r="E1689" s="2" t="s">
        <v>30</v>
      </c>
      <c r="F1689" s="2">
        <v>101411</v>
      </c>
      <c r="G1689" s="2">
        <v>9370</v>
      </c>
      <c r="H1689" s="2">
        <v>7589.7</v>
      </c>
      <c r="I1689" s="2">
        <v>523</v>
      </c>
      <c r="J1689" s="2">
        <v>26633.21</v>
      </c>
    </row>
    <row r="1690" spans="1:10" x14ac:dyDescent="0.45">
      <c r="A1690" s="2" t="s">
        <v>316</v>
      </c>
      <c r="B1690" s="2" t="s">
        <v>15</v>
      </c>
      <c r="C1690" s="2" t="s">
        <v>28</v>
      </c>
      <c r="D1690" s="2" t="s">
        <v>41</v>
      </c>
      <c r="E1690" s="2" t="s">
        <v>22</v>
      </c>
      <c r="F1690" s="2">
        <v>142045</v>
      </c>
      <c r="G1690" s="2">
        <v>9161</v>
      </c>
      <c r="H1690" s="2">
        <v>21894.79</v>
      </c>
      <c r="I1690" s="2">
        <v>525</v>
      </c>
      <c r="J1690" s="2">
        <v>131680.16</v>
      </c>
    </row>
    <row r="1691" spans="1:10" x14ac:dyDescent="0.45">
      <c r="A1691" s="2" t="s">
        <v>224</v>
      </c>
      <c r="B1691" s="2" t="s">
        <v>35</v>
      </c>
      <c r="C1691" s="2" t="s">
        <v>28</v>
      </c>
      <c r="D1691" s="2" t="s">
        <v>25</v>
      </c>
      <c r="E1691" s="2" t="s">
        <v>22</v>
      </c>
      <c r="F1691" s="2">
        <v>42236</v>
      </c>
      <c r="G1691" s="2">
        <v>1013</v>
      </c>
      <c r="H1691" s="2">
        <v>1448.59</v>
      </c>
      <c r="I1691" s="2">
        <v>29</v>
      </c>
      <c r="J1691" s="2">
        <v>4720.08</v>
      </c>
    </row>
    <row r="1692" spans="1:10" x14ac:dyDescent="0.45">
      <c r="A1692" s="2" t="s">
        <v>59</v>
      </c>
      <c r="B1692" s="2" t="s">
        <v>35</v>
      </c>
      <c r="C1692" s="2" t="s">
        <v>28</v>
      </c>
      <c r="D1692" s="2" t="s">
        <v>41</v>
      </c>
      <c r="E1692" s="2" t="s">
        <v>33</v>
      </c>
      <c r="F1692" s="2">
        <v>75628</v>
      </c>
      <c r="G1692" s="2">
        <v>794</v>
      </c>
      <c r="H1692" s="2">
        <v>397</v>
      </c>
      <c r="I1692" s="2">
        <v>49</v>
      </c>
      <c r="J1692" s="2">
        <v>3639.22</v>
      </c>
    </row>
    <row r="1693" spans="1:10" x14ac:dyDescent="0.45">
      <c r="A1693" s="2" t="s">
        <v>295</v>
      </c>
      <c r="B1693" s="2" t="s">
        <v>20</v>
      </c>
      <c r="C1693" s="2" t="s">
        <v>24</v>
      </c>
      <c r="D1693" s="2" t="s">
        <v>17</v>
      </c>
      <c r="E1693" s="2" t="s">
        <v>30</v>
      </c>
      <c r="F1693" s="2">
        <v>116184</v>
      </c>
      <c r="G1693" s="2">
        <v>4089</v>
      </c>
      <c r="H1693" s="2">
        <v>1390.26</v>
      </c>
      <c r="I1693" s="2">
        <v>263</v>
      </c>
      <c r="J1693" s="2">
        <v>54249.41</v>
      </c>
    </row>
    <row r="1694" spans="1:10" x14ac:dyDescent="0.45">
      <c r="A1694" s="2" t="s">
        <v>325</v>
      </c>
      <c r="B1694" s="2" t="s">
        <v>15</v>
      </c>
      <c r="C1694" s="2" t="s">
        <v>24</v>
      </c>
      <c r="D1694" s="2" t="s">
        <v>41</v>
      </c>
      <c r="E1694" s="2" t="s">
        <v>26</v>
      </c>
      <c r="F1694" s="2">
        <v>121465</v>
      </c>
      <c r="G1694" s="2">
        <v>5575</v>
      </c>
      <c r="H1694" s="2">
        <v>9143</v>
      </c>
      <c r="I1694" s="2">
        <v>273</v>
      </c>
      <c r="J1694" s="2">
        <v>28769.59</v>
      </c>
    </row>
    <row r="1695" spans="1:10" x14ac:dyDescent="0.45">
      <c r="A1695" s="2" t="s">
        <v>345</v>
      </c>
      <c r="B1695" s="2" t="s">
        <v>15</v>
      </c>
      <c r="C1695" s="2" t="s">
        <v>24</v>
      </c>
      <c r="D1695" s="2" t="s">
        <v>17</v>
      </c>
      <c r="E1695" s="2" t="s">
        <v>22</v>
      </c>
      <c r="F1695" s="2">
        <v>108510</v>
      </c>
      <c r="G1695" s="2">
        <v>3721</v>
      </c>
      <c r="H1695" s="2">
        <v>5246.61</v>
      </c>
      <c r="I1695" s="2">
        <v>116</v>
      </c>
      <c r="J1695" s="2">
        <v>23480.01</v>
      </c>
    </row>
    <row r="1696" spans="1:10" x14ac:dyDescent="0.45">
      <c r="A1696" s="2" t="s">
        <v>320</v>
      </c>
      <c r="B1696" s="2" t="s">
        <v>35</v>
      </c>
      <c r="C1696" s="2" t="s">
        <v>28</v>
      </c>
      <c r="D1696" s="2" t="s">
        <v>25</v>
      </c>
      <c r="E1696" s="2" t="s">
        <v>33</v>
      </c>
      <c r="F1696" s="2">
        <v>199650</v>
      </c>
      <c r="G1696" s="2">
        <v>4152</v>
      </c>
      <c r="H1696" s="2">
        <v>3238.56</v>
      </c>
      <c r="I1696" s="2">
        <v>165</v>
      </c>
      <c r="J1696" s="2">
        <v>10558.75</v>
      </c>
    </row>
    <row r="1697" spans="1:10" x14ac:dyDescent="0.45">
      <c r="A1697" s="2" t="s">
        <v>120</v>
      </c>
      <c r="B1697" s="2" t="s">
        <v>15</v>
      </c>
      <c r="C1697" s="2" t="s">
        <v>28</v>
      </c>
      <c r="D1697" s="2" t="s">
        <v>29</v>
      </c>
      <c r="E1697" s="2" t="s">
        <v>26</v>
      </c>
      <c r="F1697" s="2">
        <v>73734</v>
      </c>
      <c r="G1697" s="2">
        <v>1990</v>
      </c>
      <c r="H1697" s="2">
        <v>1631.8</v>
      </c>
      <c r="I1697" s="2">
        <v>143</v>
      </c>
      <c r="J1697" s="2">
        <v>16954.02</v>
      </c>
    </row>
    <row r="1698" spans="1:10" x14ac:dyDescent="0.45">
      <c r="A1698" s="2" t="s">
        <v>227</v>
      </c>
      <c r="B1698" s="2" t="s">
        <v>35</v>
      </c>
      <c r="C1698" s="2" t="s">
        <v>28</v>
      </c>
      <c r="D1698" s="2" t="s">
        <v>41</v>
      </c>
      <c r="E1698" s="2" t="s">
        <v>33</v>
      </c>
      <c r="F1698" s="2">
        <v>149532</v>
      </c>
      <c r="G1698" s="2">
        <v>5069</v>
      </c>
      <c r="H1698" s="2">
        <v>12114.91</v>
      </c>
      <c r="I1698" s="2">
        <v>397</v>
      </c>
      <c r="J1698" s="2">
        <v>95392.09</v>
      </c>
    </row>
    <row r="1699" spans="1:10" x14ac:dyDescent="0.45">
      <c r="A1699" s="2" t="s">
        <v>265</v>
      </c>
      <c r="B1699" s="2" t="s">
        <v>15</v>
      </c>
      <c r="C1699" s="2" t="s">
        <v>16</v>
      </c>
      <c r="D1699" s="2" t="s">
        <v>17</v>
      </c>
      <c r="E1699" s="2" t="s">
        <v>51</v>
      </c>
      <c r="F1699" s="2">
        <v>79432</v>
      </c>
      <c r="G1699" s="2">
        <v>4130</v>
      </c>
      <c r="H1699" s="2">
        <v>9457.7000000000007</v>
      </c>
      <c r="I1699" s="2">
        <v>311</v>
      </c>
      <c r="J1699" s="2">
        <v>59366.41</v>
      </c>
    </row>
    <row r="1700" spans="1:10" x14ac:dyDescent="0.45">
      <c r="A1700" s="2" t="s">
        <v>391</v>
      </c>
      <c r="B1700" s="2" t="s">
        <v>20</v>
      </c>
      <c r="C1700" s="2" t="s">
        <v>38</v>
      </c>
      <c r="D1700" s="2" t="s">
        <v>17</v>
      </c>
      <c r="E1700" s="2" t="s">
        <v>33</v>
      </c>
      <c r="F1700" s="2">
        <v>192583</v>
      </c>
      <c r="G1700" s="2">
        <v>11285</v>
      </c>
      <c r="H1700" s="2">
        <v>18394.55</v>
      </c>
      <c r="I1700" s="2">
        <v>562</v>
      </c>
      <c r="J1700" s="2">
        <v>124224.31</v>
      </c>
    </row>
    <row r="1701" spans="1:10" x14ac:dyDescent="0.45">
      <c r="A1701" s="2" t="s">
        <v>194</v>
      </c>
      <c r="B1701" s="2" t="s">
        <v>35</v>
      </c>
      <c r="C1701" s="2" t="s">
        <v>24</v>
      </c>
      <c r="D1701" s="2" t="s">
        <v>29</v>
      </c>
      <c r="E1701" s="2" t="s">
        <v>54</v>
      </c>
      <c r="F1701" s="2">
        <v>79266</v>
      </c>
      <c r="G1701" s="2">
        <v>2425</v>
      </c>
      <c r="H1701" s="2">
        <v>1746</v>
      </c>
      <c r="I1701" s="2">
        <v>104</v>
      </c>
      <c r="J1701" s="2">
        <v>20287.27</v>
      </c>
    </row>
    <row r="1702" spans="1:10" x14ac:dyDescent="0.45">
      <c r="A1702" s="2" t="s">
        <v>242</v>
      </c>
      <c r="B1702" s="2" t="s">
        <v>15</v>
      </c>
      <c r="C1702" s="2" t="s">
        <v>24</v>
      </c>
      <c r="D1702" s="2" t="s">
        <v>17</v>
      </c>
      <c r="E1702" s="2" t="s">
        <v>54</v>
      </c>
      <c r="F1702" s="2">
        <v>33695</v>
      </c>
      <c r="G1702" s="2">
        <v>1277</v>
      </c>
      <c r="H1702" s="2">
        <v>3677.76</v>
      </c>
      <c r="I1702" s="2">
        <v>89</v>
      </c>
      <c r="J1702" s="2">
        <v>25041.09</v>
      </c>
    </row>
    <row r="1703" spans="1:10" x14ac:dyDescent="0.45">
      <c r="A1703" s="2" t="s">
        <v>322</v>
      </c>
      <c r="B1703" s="2" t="s">
        <v>20</v>
      </c>
      <c r="C1703" s="2" t="s">
        <v>16</v>
      </c>
      <c r="D1703" s="2" t="s">
        <v>17</v>
      </c>
      <c r="E1703" s="2" t="s">
        <v>51</v>
      </c>
      <c r="F1703" s="2">
        <v>92030</v>
      </c>
      <c r="G1703" s="2">
        <v>6267</v>
      </c>
      <c r="H1703" s="2">
        <v>3634.86</v>
      </c>
      <c r="I1703" s="2">
        <v>136</v>
      </c>
      <c r="J1703" s="2">
        <v>11204.78</v>
      </c>
    </row>
    <row r="1704" spans="1:10" x14ac:dyDescent="0.45">
      <c r="A1704" s="2" t="s">
        <v>176</v>
      </c>
      <c r="B1704" s="2" t="s">
        <v>15</v>
      </c>
      <c r="C1704" s="2" t="s">
        <v>16</v>
      </c>
      <c r="D1704" s="2" t="s">
        <v>25</v>
      </c>
      <c r="E1704" s="2" t="s">
        <v>51</v>
      </c>
      <c r="F1704" s="2">
        <v>26259</v>
      </c>
      <c r="G1704" s="2">
        <v>669</v>
      </c>
      <c r="H1704" s="2">
        <v>943.29</v>
      </c>
      <c r="I1704" s="2">
        <v>22</v>
      </c>
      <c r="J1704" s="2">
        <v>2731.41</v>
      </c>
    </row>
    <row r="1705" spans="1:10" x14ac:dyDescent="0.45">
      <c r="A1705" s="2" t="s">
        <v>111</v>
      </c>
      <c r="B1705" s="2" t="s">
        <v>15</v>
      </c>
      <c r="C1705" s="2" t="s">
        <v>24</v>
      </c>
      <c r="D1705" s="2" t="s">
        <v>17</v>
      </c>
      <c r="E1705" s="2" t="s">
        <v>22</v>
      </c>
      <c r="F1705" s="2">
        <v>99447</v>
      </c>
      <c r="G1705" s="2">
        <v>5917</v>
      </c>
      <c r="H1705" s="2">
        <v>6212.85</v>
      </c>
      <c r="I1705" s="2">
        <v>195</v>
      </c>
      <c r="J1705" s="2">
        <v>28481.71</v>
      </c>
    </row>
    <row r="1706" spans="1:10" x14ac:dyDescent="0.45">
      <c r="A1706" s="2" t="s">
        <v>366</v>
      </c>
      <c r="B1706" s="2" t="s">
        <v>35</v>
      </c>
      <c r="C1706" s="2" t="s">
        <v>28</v>
      </c>
      <c r="D1706" s="2" t="s">
        <v>25</v>
      </c>
      <c r="E1706" s="2" t="s">
        <v>18</v>
      </c>
      <c r="F1706" s="2">
        <v>170910</v>
      </c>
      <c r="G1706" s="2">
        <v>3315</v>
      </c>
      <c r="H1706" s="2">
        <v>1657.5</v>
      </c>
      <c r="I1706" s="2">
        <v>167</v>
      </c>
      <c r="J1706" s="2">
        <v>41334.160000000003</v>
      </c>
    </row>
    <row r="1707" spans="1:10" x14ac:dyDescent="0.45">
      <c r="A1707" s="2" t="s">
        <v>351</v>
      </c>
      <c r="B1707" s="2" t="s">
        <v>35</v>
      </c>
      <c r="C1707" s="2" t="s">
        <v>24</v>
      </c>
      <c r="D1707" s="2" t="s">
        <v>25</v>
      </c>
      <c r="E1707" s="2" t="s">
        <v>26</v>
      </c>
      <c r="F1707" s="2">
        <v>180259</v>
      </c>
      <c r="G1707" s="2">
        <v>2072</v>
      </c>
      <c r="H1707" s="2">
        <v>2838.64</v>
      </c>
      <c r="I1707" s="2">
        <v>136</v>
      </c>
      <c r="J1707" s="2">
        <v>10032.66</v>
      </c>
    </row>
    <row r="1708" spans="1:10" x14ac:dyDescent="0.45">
      <c r="A1708" s="2" t="s">
        <v>310</v>
      </c>
      <c r="B1708" s="2" t="s">
        <v>35</v>
      </c>
      <c r="C1708" s="2" t="s">
        <v>24</v>
      </c>
      <c r="D1708" s="2" t="s">
        <v>25</v>
      </c>
      <c r="E1708" s="2" t="s">
        <v>18</v>
      </c>
      <c r="F1708" s="2">
        <v>146964</v>
      </c>
      <c r="G1708" s="2">
        <v>5246</v>
      </c>
      <c r="H1708" s="2">
        <v>10439.540000000001</v>
      </c>
      <c r="I1708" s="2">
        <v>131</v>
      </c>
      <c r="J1708" s="2">
        <v>7261.59</v>
      </c>
    </row>
    <row r="1709" spans="1:10" x14ac:dyDescent="0.45">
      <c r="A1709" s="2" t="s">
        <v>132</v>
      </c>
      <c r="B1709" s="2" t="s">
        <v>35</v>
      </c>
      <c r="C1709" s="2" t="s">
        <v>38</v>
      </c>
      <c r="D1709" s="2" t="s">
        <v>21</v>
      </c>
      <c r="E1709" s="2" t="s">
        <v>30</v>
      </c>
      <c r="F1709" s="2">
        <v>153057</v>
      </c>
      <c r="G1709" s="2">
        <v>2969</v>
      </c>
      <c r="H1709" s="2">
        <v>6650.56</v>
      </c>
      <c r="I1709" s="2">
        <v>148</v>
      </c>
      <c r="J1709" s="2">
        <v>28216.02</v>
      </c>
    </row>
    <row r="1710" spans="1:10" x14ac:dyDescent="0.45">
      <c r="A1710" s="2" t="s">
        <v>295</v>
      </c>
      <c r="B1710" s="2" t="s">
        <v>15</v>
      </c>
      <c r="C1710" s="2" t="s">
        <v>16</v>
      </c>
      <c r="D1710" s="2" t="s">
        <v>29</v>
      </c>
      <c r="E1710" s="2" t="s">
        <v>22</v>
      </c>
      <c r="F1710" s="2">
        <v>78635</v>
      </c>
      <c r="G1710" s="2">
        <v>2587</v>
      </c>
      <c r="H1710" s="2">
        <v>6079.45</v>
      </c>
      <c r="I1710" s="2">
        <v>106</v>
      </c>
      <c r="J1710" s="2">
        <v>21303.72</v>
      </c>
    </row>
    <row r="1711" spans="1:10" x14ac:dyDescent="0.45">
      <c r="A1711" s="2" t="s">
        <v>63</v>
      </c>
      <c r="B1711" s="2" t="s">
        <v>35</v>
      </c>
      <c r="C1711" s="2" t="s">
        <v>38</v>
      </c>
      <c r="D1711" s="2" t="s">
        <v>25</v>
      </c>
      <c r="E1711" s="2" t="s">
        <v>18</v>
      </c>
      <c r="F1711" s="2">
        <v>54031</v>
      </c>
      <c r="G1711" s="2">
        <v>2215</v>
      </c>
      <c r="H1711" s="2">
        <v>3676.9</v>
      </c>
      <c r="I1711" s="2">
        <v>157</v>
      </c>
      <c r="J1711" s="2">
        <v>22778.62</v>
      </c>
    </row>
    <row r="1712" spans="1:10" x14ac:dyDescent="0.45">
      <c r="A1712" s="2" t="s">
        <v>333</v>
      </c>
      <c r="B1712" s="2" t="s">
        <v>15</v>
      </c>
      <c r="C1712" s="2" t="s">
        <v>24</v>
      </c>
      <c r="D1712" s="2" t="s">
        <v>29</v>
      </c>
      <c r="E1712" s="2" t="s">
        <v>30</v>
      </c>
      <c r="F1712" s="2">
        <v>162743</v>
      </c>
      <c r="G1712" s="2">
        <v>8723</v>
      </c>
      <c r="H1712" s="2">
        <v>15439.71</v>
      </c>
      <c r="I1712" s="2">
        <v>106</v>
      </c>
      <c r="J1712" s="2">
        <v>20056.78</v>
      </c>
    </row>
    <row r="1713" spans="1:10" x14ac:dyDescent="0.45">
      <c r="A1713" s="2" t="s">
        <v>279</v>
      </c>
      <c r="B1713" s="2" t="s">
        <v>15</v>
      </c>
      <c r="C1713" s="2" t="s">
        <v>38</v>
      </c>
      <c r="D1713" s="2" t="s">
        <v>25</v>
      </c>
      <c r="E1713" s="2" t="s">
        <v>33</v>
      </c>
      <c r="F1713" s="2">
        <v>144494</v>
      </c>
      <c r="G1713" s="2">
        <v>8409</v>
      </c>
      <c r="H1713" s="2">
        <v>25563.360000000001</v>
      </c>
      <c r="I1713" s="2">
        <v>93</v>
      </c>
      <c r="J1713" s="2">
        <v>20233.22</v>
      </c>
    </row>
    <row r="1714" spans="1:10" x14ac:dyDescent="0.45">
      <c r="A1714" s="2" t="s">
        <v>135</v>
      </c>
      <c r="B1714" s="2" t="s">
        <v>15</v>
      </c>
      <c r="C1714" s="2" t="s">
        <v>16</v>
      </c>
      <c r="D1714" s="2" t="s">
        <v>17</v>
      </c>
      <c r="E1714" s="2" t="s">
        <v>54</v>
      </c>
      <c r="F1714" s="2">
        <v>112549</v>
      </c>
      <c r="G1714" s="2">
        <v>6640</v>
      </c>
      <c r="H1714" s="2">
        <v>24368.799999999999</v>
      </c>
      <c r="I1714" s="2">
        <v>374</v>
      </c>
      <c r="J1714" s="2">
        <v>21696.69</v>
      </c>
    </row>
    <row r="1715" spans="1:10" x14ac:dyDescent="0.45">
      <c r="A1715" s="2" t="s">
        <v>195</v>
      </c>
      <c r="B1715" s="2" t="s">
        <v>15</v>
      </c>
      <c r="C1715" s="2" t="s">
        <v>16</v>
      </c>
      <c r="D1715" s="2" t="s">
        <v>41</v>
      </c>
      <c r="E1715" s="2" t="s">
        <v>26</v>
      </c>
      <c r="F1715" s="2">
        <v>148994</v>
      </c>
      <c r="G1715" s="2">
        <v>7509</v>
      </c>
      <c r="H1715" s="2">
        <v>25981.14</v>
      </c>
      <c r="I1715" s="2">
        <v>588</v>
      </c>
      <c r="J1715" s="2">
        <v>82753.509999999995</v>
      </c>
    </row>
    <row r="1716" spans="1:10" x14ac:dyDescent="0.45">
      <c r="A1716" s="2" t="s">
        <v>324</v>
      </c>
      <c r="B1716" s="2" t="s">
        <v>15</v>
      </c>
      <c r="C1716" s="2" t="s">
        <v>38</v>
      </c>
      <c r="D1716" s="2" t="s">
        <v>17</v>
      </c>
      <c r="E1716" s="2" t="s">
        <v>33</v>
      </c>
      <c r="F1716" s="2">
        <v>87373</v>
      </c>
      <c r="G1716" s="2">
        <v>3643</v>
      </c>
      <c r="H1716" s="2">
        <v>3825.15</v>
      </c>
      <c r="I1716" s="2">
        <v>289</v>
      </c>
      <c r="J1716" s="2">
        <v>35842.03</v>
      </c>
    </row>
    <row r="1717" spans="1:10" x14ac:dyDescent="0.45">
      <c r="A1717" s="2" t="s">
        <v>260</v>
      </c>
      <c r="B1717" s="2" t="s">
        <v>20</v>
      </c>
      <c r="C1717" s="2" t="s">
        <v>28</v>
      </c>
      <c r="D1717" s="2" t="s">
        <v>41</v>
      </c>
      <c r="E1717" s="2" t="s">
        <v>54</v>
      </c>
      <c r="F1717" s="2">
        <v>41200</v>
      </c>
      <c r="G1717" s="2">
        <v>1763</v>
      </c>
      <c r="H1717" s="2">
        <v>3138.14</v>
      </c>
      <c r="I1717" s="2">
        <v>101</v>
      </c>
      <c r="J1717" s="2">
        <v>27614.2</v>
      </c>
    </row>
    <row r="1718" spans="1:10" x14ac:dyDescent="0.45">
      <c r="A1718" s="2" t="s">
        <v>195</v>
      </c>
      <c r="B1718" s="2" t="s">
        <v>15</v>
      </c>
      <c r="C1718" s="2" t="s">
        <v>16</v>
      </c>
      <c r="D1718" s="2" t="s">
        <v>17</v>
      </c>
      <c r="E1718" s="2" t="s">
        <v>51</v>
      </c>
      <c r="F1718" s="2">
        <v>51986</v>
      </c>
      <c r="G1718" s="2">
        <v>1996</v>
      </c>
      <c r="H1718" s="2">
        <v>3053.88</v>
      </c>
      <c r="I1718" s="2">
        <v>82</v>
      </c>
      <c r="J1718" s="2">
        <v>20819.66</v>
      </c>
    </row>
    <row r="1719" spans="1:10" x14ac:dyDescent="0.45">
      <c r="A1719" s="2" t="s">
        <v>32</v>
      </c>
      <c r="B1719" s="2" t="s">
        <v>35</v>
      </c>
      <c r="C1719" s="2" t="s">
        <v>16</v>
      </c>
      <c r="D1719" s="2" t="s">
        <v>17</v>
      </c>
      <c r="E1719" s="2" t="s">
        <v>30</v>
      </c>
      <c r="F1719" s="2">
        <v>190392</v>
      </c>
      <c r="G1719" s="2">
        <v>6016</v>
      </c>
      <c r="H1719" s="2">
        <v>13776.64</v>
      </c>
      <c r="I1719" s="2">
        <v>165</v>
      </c>
      <c r="J1719" s="2">
        <v>35908.75</v>
      </c>
    </row>
    <row r="1720" spans="1:10" x14ac:dyDescent="0.45">
      <c r="A1720" s="2" t="s">
        <v>165</v>
      </c>
      <c r="B1720" s="2" t="s">
        <v>20</v>
      </c>
      <c r="C1720" s="2" t="s">
        <v>28</v>
      </c>
      <c r="D1720" s="2" t="s">
        <v>41</v>
      </c>
      <c r="E1720" s="2" t="s">
        <v>30</v>
      </c>
      <c r="F1720" s="2">
        <v>137817</v>
      </c>
      <c r="G1720" s="2">
        <v>8654</v>
      </c>
      <c r="H1720" s="2">
        <v>13154.08</v>
      </c>
      <c r="I1720" s="2">
        <v>392</v>
      </c>
      <c r="J1720" s="2">
        <v>54000.95</v>
      </c>
    </row>
    <row r="1721" spans="1:10" x14ac:dyDescent="0.45">
      <c r="A1721" s="2" t="s">
        <v>142</v>
      </c>
      <c r="B1721" s="2" t="s">
        <v>20</v>
      </c>
      <c r="C1721" s="2" t="s">
        <v>24</v>
      </c>
      <c r="D1721" s="2" t="s">
        <v>17</v>
      </c>
      <c r="E1721" s="2" t="s">
        <v>26</v>
      </c>
      <c r="F1721" s="2">
        <v>153145</v>
      </c>
      <c r="G1721" s="2">
        <v>7197</v>
      </c>
      <c r="H1721" s="2">
        <v>7340.94</v>
      </c>
      <c r="I1721" s="2">
        <v>89</v>
      </c>
      <c r="J1721" s="2">
        <v>6214.05</v>
      </c>
    </row>
    <row r="1722" spans="1:10" x14ac:dyDescent="0.45">
      <c r="A1722" s="2" t="s">
        <v>73</v>
      </c>
      <c r="B1722" s="2" t="s">
        <v>15</v>
      </c>
      <c r="C1722" s="2" t="s">
        <v>28</v>
      </c>
      <c r="D1722" s="2" t="s">
        <v>41</v>
      </c>
      <c r="E1722" s="2" t="s">
        <v>26</v>
      </c>
      <c r="F1722" s="2">
        <v>20718</v>
      </c>
      <c r="G1722" s="2">
        <v>426</v>
      </c>
      <c r="H1722" s="2">
        <v>1128.9000000000001</v>
      </c>
      <c r="I1722" s="2">
        <v>22</v>
      </c>
      <c r="J1722" s="2">
        <v>1505.14</v>
      </c>
    </row>
    <row r="1723" spans="1:10" x14ac:dyDescent="0.45">
      <c r="A1723" s="2" t="s">
        <v>19</v>
      </c>
      <c r="B1723" s="2" t="s">
        <v>20</v>
      </c>
      <c r="C1723" s="2" t="s">
        <v>28</v>
      </c>
      <c r="D1723" s="2" t="s">
        <v>17</v>
      </c>
      <c r="E1723" s="2" t="s">
        <v>30</v>
      </c>
      <c r="F1723" s="2">
        <v>5059</v>
      </c>
      <c r="G1723" s="2">
        <v>415</v>
      </c>
      <c r="H1723" s="2">
        <v>302.95</v>
      </c>
      <c r="I1723" s="2">
        <v>4</v>
      </c>
      <c r="J1723" s="2">
        <v>798.87</v>
      </c>
    </row>
    <row r="1724" spans="1:10" x14ac:dyDescent="0.45">
      <c r="A1724" s="2" t="s">
        <v>99</v>
      </c>
      <c r="B1724" s="2" t="s">
        <v>20</v>
      </c>
      <c r="C1724" s="2" t="s">
        <v>16</v>
      </c>
      <c r="D1724" s="2" t="s">
        <v>29</v>
      </c>
      <c r="E1724" s="2" t="s">
        <v>26</v>
      </c>
      <c r="F1724" s="2">
        <v>96045</v>
      </c>
      <c r="G1724" s="2">
        <v>5820</v>
      </c>
      <c r="H1724" s="2">
        <v>1804.2</v>
      </c>
      <c r="I1724" s="2">
        <v>235</v>
      </c>
      <c r="J1724" s="2">
        <v>47063.54</v>
      </c>
    </row>
    <row r="1725" spans="1:10" x14ac:dyDescent="0.45">
      <c r="A1725" s="2" t="s">
        <v>235</v>
      </c>
      <c r="B1725" s="2" t="s">
        <v>15</v>
      </c>
      <c r="C1725" s="2" t="s">
        <v>38</v>
      </c>
      <c r="D1725" s="2" t="s">
        <v>41</v>
      </c>
      <c r="E1725" s="2" t="s">
        <v>18</v>
      </c>
      <c r="F1725" s="2">
        <v>12644</v>
      </c>
      <c r="G1725" s="2">
        <v>572</v>
      </c>
      <c r="H1725" s="2">
        <v>1269.8399999999999</v>
      </c>
      <c r="I1725" s="2">
        <v>36</v>
      </c>
      <c r="J1725" s="2">
        <v>7362.94</v>
      </c>
    </row>
    <row r="1726" spans="1:10" x14ac:dyDescent="0.45">
      <c r="A1726" s="2" t="s">
        <v>256</v>
      </c>
      <c r="B1726" s="2" t="s">
        <v>15</v>
      </c>
      <c r="C1726" s="2" t="s">
        <v>24</v>
      </c>
      <c r="D1726" s="2" t="s">
        <v>21</v>
      </c>
      <c r="E1726" s="2" t="s">
        <v>33</v>
      </c>
      <c r="F1726" s="2">
        <v>91901</v>
      </c>
      <c r="G1726" s="2">
        <v>3326</v>
      </c>
      <c r="H1726" s="2">
        <v>8581.08</v>
      </c>
      <c r="I1726" s="2">
        <v>261</v>
      </c>
      <c r="J1726" s="2">
        <v>77117.41</v>
      </c>
    </row>
    <row r="1727" spans="1:10" x14ac:dyDescent="0.45">
      <c r="A1727" s="2" t="s">
        <v>263</v>
      </c>
      <c r="B1727" s="2" t="s">
        <v>15</v>
      </c>
      <c r="C1727" s="2" t="s">
        <v>16</v>
      </c>
      <c r="D1727" s="2" t="s">
        <v>17</v>
      </c>
      <c r="E1727" s="2" t="s">
        <v>33</v>
      </c>
      <c r="F1727" s="2">
        <v>120431</v>
      </c>
      <c r="G1727" s="2">
        <v>6262</v>
      </c>
      <c r="H1727" s="2">
        <v>17345.740000000002</v>
      </c>
      <c r="I1727" s="2">
        <v>188</v>
      </c>
      <c r="J1727" s="2">
        <v>8830.89</v>
      </c>
    </row>
    <row r="1728" spans="1:10" x14ac:dyDescent="0.45">
      <c r="A1728" s="2" t="s">
        <v>172</v>
      </c>
      <c r="B1728" s="2" t="s">
        <v>15</v>
      </c>
      <c r="C1728" s="2" t="s">
        <v>16</v>
      </c>
      <c r="D1728" s="2" t="s">
        <v>17</v>
      </c>
      <c r="E1728" s="2" t="s">
        <v>30</v>
      </c>
      <c r="F1728" s="2">
        <v>7948</v>
      </c>
      <c r="G1728" s="2">
        <v>289</v>
      </c>
      <c r="H1728" s="2">
        <v>598.23</v>
      </c>
      <c r="I1728" s="2">
        <v>6</v>
      </c>
      <c r="J1728" s="2">
        <v>1368.08</v>
      </c>
    </row>
    <row r="1729" spans="1:10" x14ac:dyDescent="0.45">
      <c r="A1729" s="2" t="s">
        <v>34</v>
      </c>
      <c r="B1729" s="2" t="s">
        <v>35</v>
      </c>
      <c r="C1729" s="2" t="s">
        <v>24</v>
      </c>
      <c r="D1729" s="2" t="s">
        <v>41</v>
      </c>
      <c r="E1729" s="2" t="s">
        <v>18</v>
      </c>
      <c r="F1729" s="2">
        <v>108924</v>
      </c>
      <c r="G1729" s="2">
        <v>2134</v>
      </c>
      <c r="H1729" s="2">
        <v>874.94</v>
      </c>
      <c r="I1729" s="2">
        <v>85</v>
      </c>
      <c r="J1729" s="2">
        <v>7418.36</v>
      </c>
    </row>
    <row r="1730" spans="1:10" x14ac:dyDescent="0.45">
      <c r="A1730" s="2" t="s">
        <v>263</v>
      </c>
      <c r="B1730" s="2" t="s">
        <v>15</v>
      </c>
      <c r="C1730" s="2" t="s">
        <v>16</v>
      </c>
      <c r="D1730" s="2" t="s">
        <v>29</v>
      </c>
      <c r="E1730" s="2" t="s">
        <v>30</v>
      </c>
      <c r="F1730" s="2">
        <v>66402</v>
      </c>
      <c r="G1730" s="2">
        <v>2695</v>
      </c>
      <c r="H1730" s="2">
        <v>5012.7</v>
      </c>
      <c r="I1730" s="2">
        <v>199</v>
      </c>
      <c r="J1730" s="2">
        <v>14266.46</v>
      </c>
    </row>
    <row r="1731" spans="1:10" x14ac:dyDescent="0.45">
      <c r="A1731" s="2" t="s">
        <v>56</v>
      </c>
      <c r="B1731" s="2" t="s">
        <v>15</v>
      </c>
      <c r="C1731" s="2" t="s">
        <v>38</v>
      </c>
      <c r="D1731" s="2" t="s">
        <v>21</v>
      </c>
      <c r="E1731" s="2" t="s">
        <v>33</v>
      </c>
      <c r="F1731" s="2">
        <v>96676</v>
      </c>
      <c r="G1731" s="2">
        <v>5326</v>
      </c>
      <c r="H1731" s="2">
        <v>8894.42</v>
      </c>
      <c r="I1731" s="2">
        <v>355</v>
      </c>
      <c r="J1731" s="2">
        <v>14113.5</v>
      </c>
    </row>
    <row r="1732" spans="1:10" x14ac:dyDescent="0.45">
      <c r="A1732" s="2" t="s">
        <v>379</v>
      </c>
      <c r="B1732" s="2" t="s">
        <v>35</v>
      </c>
      <c r="C1732" s="2" t="s">
        <v>16</v>
      </c>
      <c r="D1732" s="2" t="s">
        <v>17</v>
      </c>
      <c r="E1732" s="2" t="s">
        <v>26</v>
      </c>
      <c r="F1732" s="2">
        <v>10108</v>
      </c>
      <c r="G1732" s="2">
        <v>320</v>
      </c>
      <c r="H1732" s="2">
        <v>163.19999999999999</v>
      </c>
      <c r="I1732" s="2">
        <v>8</v>
      </c>
      <c r="J1732" s="2">
        <v>624.20000000000005</v>
      </c>
    </row>
    <row r="1733" spans="1:10" x14ac:dyDescent="0.45">
      <c r="A1733" s="2" t="s">
        <v>263</v>
      </c>
      <c r="B1733" s="2" t="s">
        <v>15</v>
      </c>
      <c r="C1733" s="2" t="s">
        <v>16</v>
      </c>
      <c r="D1733" s="2" t="s">
        <v>29</v>
      </c>
      <c r="E1733" s="2" t="s">
        <v>22</v>
      </c>
      <c r="F1733" s="2">
        <v>23936</v>
      </c>
      <c r="G1733" s="2">
        <v>1211</v>
      </c>
      <c r="H1733" s="2">
        <v>3269.7</v>
      </c>
      <c r="I1733" s="2">
        <v>49</v>
      </c>
      <c r="J1733" s="2">
        <v>7236.18</v>
      </c>
    </row>
    <row r="1734" spans="1:10" x14ac:dyDescent="0.45">
      <c r="A1734" s="2" t="s">
        <v>128</v>
      </c>
      <c r="B1734" s="2" t="s">
        <v>35</v>
      </c>
      <c r="C1734" s="2" t="s">
        <v>38</v>
      </c>
      <c r="D1734" s="2" t="s">
        <v>29</v>
      </c>
      <c r="E1734" s="2" t="s">
        <v>51</v>
      </c>
      <c r="F1734" s="2">
        <v>157455</v>
      </c>
      <c r="G1734" s="2">
        <v>3810</v>
      </c>
      <c r="H1734" s="2">
        <v>4724.3999999999996</v>
      </c>
      <c r="I1734" s="2">
        <v>244</v>
      </c>
      <c r="J1734" s="2">
        <v>55928.06</v>
      </c>
    </row>
    <row r="1735" spans="1:10" x14ac:dyDescent="0.45">
      <c r="A1735" s="2" t="s">
        <v>230</v>
      </c>
      <c r="B1735" s="2" t="s">
        <v>15</v>
      </c>
      <c r="C1735" s="2" t="s">
        <v>28</v>
      </c>
      <c r="D1735" s="2" t="s">
        <v>17</v>
      </c>
      <c r="E1735" s="2" t="s">
        <v>54</v>
      </c>
      <c r="F1735" s="2">
        <v>165805</v>
      </c>
      <c r="G1735" s="2">
        <v>9832</v>
      </c>
      <c r="H1735" s="2">
        <v>27136.32</v>
      </c>
      <c r="I1735" s="2">
        <v>509</v>
      </c>
      <c r="J1735" s="2">
        <v>143237.84</v>
      </c>
    </row>
    <row r="1736" spans="1:10" x14ac:dyDescent="0.45">
      <c r="A1736" s="2" t="s">
        <v>178</v>
      </c>
      <c r="B1736" s="2" t="s">
        <v>35</v>
      </c>
      <c r="C1736" s="2" t="s">
        <v>16</v>
      </c>
      <c r="D1736" s="2" t="s">
        <v>17</v>
      </c>
      <c r="E1736" s="2" t="s">
        <v>26</v>
      </c>
      <c r="F1736" s="2">
        <v>69385</v>
      </c>
      <c r="G1736" s="2">
        <v>2650</v>
      </c>
      <c r="H1736" s="2">
        <v>4505</v>
      </c>
      <c r="I1736" s="2">
        <v>160</v>
      </c>
      <c r="J1736" s="2">
        <v>32080.73</v>
      </c>
    </row>
    <row r="1737" spans="1:10" x14ac:dyDescent="0.45">
      <c r="A1737" s="2" t="s">
        <v>76</v>
      </c>
      <c r="B1737" s="2" t="s">
        <v>20</v>
      </c>
      <c r="C1737" s="2" t="s">
        <v>24</v>
      </c>
      <c r="D1737" s="2" t="s">
        <v>25</v>
      </c>
      <c r="E1737" s="2" t="s">
        <v>54</v>
      </c>
      <c r="F1737" s="2">
        <v>89944</v>
      </c>
      <c r="G1737" s="2">
        <v>2644</v>
      </c>
      <c r="H1737" s="2">
        <v>819.64</v>
      </c>
      <c r="I1737" s="2">
        <v>80</v>
      </c>
      <c r="J1737" s="2">
        <v>12715.09</v>
      </c>
    </row>
    <row r="1738" spans="1:10" x14ac:dyDescent="0.45">
      <c r="A1738" s="2" t="s">
        <v>220</v>
      </c>
      <c r="B1738" s="2" t="s">
        <v>35</v>
      </c>
      <c r="C1738" s="2" t="s">
        <v>16</v>
      </c>
      <c r="D1738" s="2" t="s">
        <v>29</v>
      </c>
      <c r="E1738" s="2" t="s">
        <v>51</v>
      </c>
      <c r="F1738" s="2">
        <v>62603</v>
      </c>
      <c r="G1738" s="2">
        <v>1396</v>
      </c>
      <c r="H1738" s="2">
        <v>2094</v>
      </c>
      <c r="I1738" s="2">
        <v>17</v>
      </c>
      <c r="J1738" s="2">
        <v>2988.24</v>
      </c>
    </row>
    <row r="1739" spans="1:10" x14ac:dyDescent="0.45">
      <c r="A1739" s="2" t="s">
        <v>141</v>
      </c>
      <c r="B1739" s="2" t="s">
        <v>35</v>
      </c>
      <c r="C1739" s="2" t="s">
        <v>28</v>
      </c>
      <c r="D1739" s="2" t="s">
        <v>21</v>
      </c>
      <c r="E1739" s="2" t="s">
        <v>26</v>
      </c>
      <c r="F1739" s="2">
        <v>62284</v>
      </c>
      <c r="G1739" s="2">
        <v>1413</v>
      </c>
      <c r="H1739" s="2">
        <v>1497.78</v>
      </c>
      <c r="I1739" s="2">
        <v>88</v>
      </c>
      <c r="J1739" s="2">
        <v>10561.64</v>
      </c>
    </row>
    <row r="1740" spans="1:10" x14ac:dyDescent="0.45">
      <c r="A1740" s="2" t="s">
        <v>135</v>
      </c>
      <c r="B1740" s="2" t="s">
        <v>35</v>
      </c>
      <c r="C1740" s="2" t="s">
        <v>24</v>
      </c>
      <c r="D1740" s="2" t="s">
        <v>21</v>
      </c>
      <c r="E1740" s="2" t="s">
        <v>26</v>
      </c>
      <c r="F1740" s="2">
        <v>172812</v>
      </c>
      <c r="G1740" s="2">
        <v>2972</v>
      </c>
      <c r="H1740" s="2">
        <v>2942.28</v>
      </c>
      <c r="I1740" s="2">
        <v>178</v>
      </c>
      <c r="J1740" s="2">
        <v>47180.83</v>
      </c>
    </row>
    <row r="1741" spans="1:10" x14ac:dyDescent="0.45">
      <c r="A1741" s="2" t="s">
        <v>126</v>
      </c>
      <c r="B1741" s="2" t="s">
        <v>15</v>
      </c>
      <c r="C1741" s="2" t="s">
        <v>16</v>
      </c>
      <c r="D1741" s="2" t="s">
        <v>25</v>
      </c>
      <c r="E1741" s="2" t="s">
        <v>18</v>
      </c>
      <c r="F1741" s="2">
        <v>82764</v>
      </c>
      <c r="G1741" s="2">
        <v>2276</v>
      </c>
      <c r="H1741" s="2">
        <v>2071.16</v>
      </c>
      <c r="I1741" s="2">
        <v>130</v>
      </c>
      <c r="J1741" s="2">
        <v>22792.2</v>
      </c>
    </row>
    <row r="1742" spans="1:10" x14ac:dyDescent="0.45">
      <c r="A1742" s="2" t="s">
        <v>252</v>
      </c>
      <c r="B1742" s="2" t="s">
        <v>35</v>
      </c>
      <c r="C1742" s="2" t="s">
        <v>16</v>
      </c>
      <c r="D1742" s="2" t="s">
        <v>41</v>
      </c>
      <c r="E1742" s="2" t="s">
        <v>51</v>
      </c>
      <c r="F1742" s="2">
        <v>133260</v>
      </c>
      <c r="G1742" s="2">
        <v>2611</v>
      </c>
      <c r="H1742" s="2">
        <v>5430.88</v>
      </c>
      <c r="I1742" s="2">
        <v>108</v>
      </c>
      <c r="J1742" s="2">
        <v>16755.509999999998</v>
      </c>
    </row>
    <row r="1743" spans="1:10" x14ac:dyDescent="0.45">
      <c r="A1743" s="2" t="s">
        <v>158</v>
      </c>
      <c r="B1743" s="2" t="s">
        <v>15</v>
      </c>
      <c r="C1743" s="2" t="s">
        <v>16</v>
      </c>
      <c r="D1743" s="2" t="s">
        <v>17</v>
      </c>
      <c r="E1743" s="2" t="s">
        <v>54</v>
      </c>
      <c r="F1743" s="2">
        <v>188420</v>
      </c>
      <c r="G1743" s="2">
        <v>9364</v>
      </c>
      <c r="H1743" s="2">
        <v>24814.6</v>
      </c>
      <c r="I1743" s="2">
        <v>324</v>
      </c>
      <c r="J1743" s="2">
        <v>68719.44</v>
      </c>
    </row>
    <row r="1744" spans="1:10" x14ac:dyDescent="0.45">
      <c r="A1744" s="2" t="s">
        <v>83</v>
      </c>
      <c r="B1744" s="2" t="s">
        <v>15</v>
      </c>
      <c r="C1744" s="2" t="s">
        <v>28</v>
      </c>
      <c r="D1744" s="2" t="s">
        <v>17</v>
      </c>
      <c r="E1744" s="2" t="s">
        <v>22</v>
      </c>
      <c r="F1744" s="2">
        <v>89431</v>
      </c>
      <c r="G1744" s="2">
        <v>3300</v>
      </c>
      <c r="H1744" s="2">
        <v>4851</v>
      </c>
      <c r="I1744" s="2">
        <v>56</v>
      </c>
      <c r="J1744" s="2">
        <v>9891.8799999999992</v>
      </c>
    </row>
    <row r="1745" spans="1:10" x14ac:dyDescent="0.45">
      <c r="A1745" s="2" t="s">
        <v>177</v>
      </c>
      <c r="B1745" s="2" t="s">
        <v>15</v>
      </c>
      <c r="C1745" s="2" t="s">
        <v>38</v>
      </c>
      <c r="D1745" s="2" t="s">
        <v>41</v>
      </c>
      <c r="E1745" s="2" t="s">
        <v>26</v>
      </c>
      <c r="F1745" s="2">
        <v>52897</v>
      </c>
      <c r="G1745" s="2">
        <v>1883</v>
      </c>
      <c r="H1745" s="2">
        <v>5215.91</v>
      </c>
      <c r="I1745" s="2">
        <v>108</v>
      </c>
      <c r="J1745" s="2">
        <v>5473.28</v>
      </c>
    </row>
    <row r="1746" spans="1:10" x14ac:dyDescent="0.45">
      <c r="A1746" s="2" t="s">
        <v>110</v>
      </c>
      <c r="B1746" s="2" t="s">
        <v>15</v>
      </c>
      <c r="C1746" s="2" t="s">
        <v>28</v>
      </c>
      <c r="D1746" s="2" t="s">
        <v>29</v>
      </c>
      <c r="E1746" s="2" t="s">
        <v>22</v>
      </c>
      <c r="F1746" s="2">
        <v>83334</v>
      </c>
      <c r="G1746" s="2">
        <v>3341</v>
      </c>
      <c r="H1746" s="2">
        <v>5779.93</v>
      </c>
      <c r="I1746" s="2">
        <v>256</v>
      </c>
      <c r="J1746" s="2">
        <v>32514.9</v>
      </c>
    </row>
    <row r="1747" spans="1:10" x14ac:dyDescent="0.45">
      <c r="A1747" s="2" t="s">
        <v>198</v>
      </c>
      <c r="B1747" s="2" t="s">
        <v>20</v>
      </c>
      <c r="C1747" s="2" t="s">
        <v>28</v>
      </c>
      <c r="D1747" s="2" t="s">
        <v>29</v>
      </c>
      <c r="E1747" s="2" t="s">
        <v>26</v>
      </c>
      <c r="F1747" s="2">
        <v>180721</v>
      </c>
      <c r="G1747" s="2">
        <v>9379</v>
      </c>
      <c r="H1747" s="2">
        <v>12192.7</v>
      </c>
      <c r="I1747" s="2">
        <v>286</v>
      </c>
      <c r="J1747" s="2">
        <v>52558.42</v>
      </c>
    </row>
    <row r="1748" spans="1:10" x14ac:dyDescent="0.45">
      <c r="A1748" s="2" t="s">
        <v>372</v>
      </c>
      <c r="B1748" s="2" t="s">
        <v>20</v>
      </c>
      <c r="C1748" s="2" t="s">
        <v>38</v>
      </c>
      <c r="D1748" s="2" t="s">
        <v>25</v>
      </c>
      <c r="E1748" s="2" t="s">
        <v>54</v>
      </c>
      <c r="F1748" s="2">
        <v>195759</v>
      </c>
      <c r="G1748" s="2">
        <v>7262</v>
      </c>
      <c r="H1748" s="2">
        <v>3413.14</v>
      </c>
      <c r="I1748" s="2">
        <v>75</v>
      </c>
      <c r="J1748" s="2">
        <v>16681.830000000002</v>
      </c>
    </row>
    <row r="1749" spans="1:10" x14ac:dyDescent="0.45">
      <c r="A1749" s="2" t="s">
        <v>120</v>
      </c>
      <c r="B1749" s="2" t="s">
        <v>15</v>
      </c>
      <c r="C1749" s="2" t="s">
        <v>24</v>
      </c>
      <c r="D1749" s="2" t="s">
        <v>29</v>
      </c>
      <c r="E1749" s="2" t="s">
        <v>26</v>
      </c>
      <c r="F1749" s="2">
        <v>158514</v>
      </c>
      <c r="G1749" s="2">
        <v>4565</v>
      </c>
      <c r="H1749" s="2">
        <v>9769.1</v>
      </c>
      <c r="I1749" s="2">
        <v>235</v>
      </c>
      <c r="J1749" s="2">
        <v>15388.32</v>
      </c>
    </row>
    <row r="1750" spans="1:10" x14ac:dyDescent="0.45">
      <c r="A1750" s="2" t="s">
        <v>77</v>
      </c>
      <c r="B1750" s="2" t="s">
        <v>35</v>
      </c>
      <c r="C1750" s="2" t="s">
        <v>24</v>
      </c>
      <c r="D1750" s="2" t="s">
        <v>29</v>
      </c>
      <c r="E1750" s="2" t="s">
        <v>26</v>
      </c>
      <c r="F1750" s="2">
        <v>82948</v>
      </c>
      <c r="G1750" s="2">
        <v>2347</v>
      </c>
      <c r="H1750" s="2">
        <v>5421.57</v>
      </c>
      <c r="I1750" s="2">
        <v>65</v>
      </c>
      <c r="J1750" s="2">
        <v>10510.94</v>
      </c>
    </row>
    <row r="1751" spans="1:10" x14ac:dyDescent="0.45">
      <c r="A1751" s="2" t="s">
        <v>374</v>
      </c>
      <c r="B1751" s="2" t="s">
        <v>15</v>
      </c>
      <c r="C1751" s="2" t="s">
        <v>24</v>
      </c>
      <c r="D1751" s="2" t="s">
        <v>29</v>
      </c>
      <c r="E1751" s="2" t="s">
        <v>33</v>
      </c>
      <c r="F1751" s="2">
        <v>44420</v>
      </c>
      <c r="G1751" s="2">
        <v>1066</v>
      </c>
      <c r="H1751" s="2">
        <v>3880.24</v>
      </c>
      <c r="I1751" s="2">
        <v>44</v>
      </c>
      <c r="J1751" s="2">
        <v>2655.91</v>
      </c>
    </row>
    <row r="1752" spans="1:10" x14ac:dyDescent="0.45">
      <c r="A1752" s="2" t="s">
        <v>242</v>
      </c>
      <c r="B1752" s="2" t="s">
        <v>20</v>
      </c>
      <c r="C1752" s="2" t="s">
        <v>16</v>
      </c>
      <c r="D1752" s="2" t="s">
        <v>17</v>
      </c>
      <c r="E1752" s="2" t="s">
        <v>18</v>
      </c>
      <c r="F1752" s="2">
        <v>57006</v>
      </c>
      <c r="G1752" s="2">
        <v>2981</v>
      </c>
      <c r="H1752" s="2">
        <v>3279.1</v>
      </c>
      <c r="I1752" s="2">
        <v>192</v>
      </c>
      <c r="J1752" s="2">
        <v>40566.370000000003</v>
      </c>
    </row>
    <row r="1753" spans="1:10" x14ac:dyDescent="0.45">
      <c r="A1753" s="2" t="s">
        <v>318</v>
      </c>
      <c r="B1753" s="2" t="s">
        <v>35</v>
      </c>
      <c r="C1753" s="2" t="s">
        <v>24</v>
      </c>
      <c r="D1753" s="2" t="s">
        <v>29</v>
      </c>
      <c r="E1753" s="2" t="s">
        <v>26</v>
      </c>
      <c r="F1753" s="2">
        <v>37588</v>
      </c>
      <c r="G1753" s="2">
        <v>1191</v>
      </c>
      <c r="H1753" s="2">
        <v>2334.36</v>
      </c>
      <c r="I1753" s="2">
        <v>48</v>
      </c>
      <c r="J1753" s="2">
        <v>13381.03</v>
      </c>
    </row>
    <row r="1754" spans="1:10" x14ac:dyDescent="0.45">
      <c r="A1754" s="2" t="s">
        <v>374</v>
      </c>
      <c r="B1754" s="2" t="s">
        <v>20</v>
      </c>
      <c r="C1754" s="2" t="s">
        <v>28</v>
      </c>
      <c r="D1754" s="2" t="s">
        <v>25</v>
      </c>
      <c r="E1754" s="2" t="s">
        <v>54</v>
      </c>
      <c r="F1754" s="2">
        <v>196605</v>
      </c>
      <c r="G1754" s="2">
        <v>14922</v>
      </c>
      <c r="H1754" s="2">
        <v>26262.720000000001</v>
      </c>
      <c r="I1754" s="2">
        <v>757</v>
      </c>
      <c r="J1754" s="2">
        <v>181823.28</v>
      </c>
    </row>
    <row r="1755" spans="1:10" x14ac:dyDescent="0.45">
      <c r="A1755" s="2" t="s">
        <v>260</v>
      </c>
      <c r="B1755" s="2" t="s">
        <v>35</v>
      </c>
      <c r="C1755" s="2" t="s">
        <v>24</v>
      </c>
      <c r="D1755" s="2" t="s">
        <v>17</v>
      </c>
      <c r="E1755" s="2" t="s">
        <v>30</v>
      </c>
      <c r="F1755" s="2">
        <v>59376</v>
      </c>
      <c r="G1755" s="2">
        <v>564</v>
      </c>
      <c r="H1755" s="2">
        <v>360.96</v>
      </c>
      <c r="I1755" s="2">
        <v>25</v>
      </c>
      <c r="J1755" s="2">
        <v>4065.83</v>
      </c>
    </row>
    <row r="1756" spans="1:10" x14ac:dyDescent="0.45">
      <c r="A1756" s="2" t="s">
        <v>128</v>
      </c>
      <c r="B1756" s="2" t="s">
        <v>35</v>
      </c>
      <c r="C1756" s="2" t="s">
        <v>24</v>
      </c>
      <c r="D1756" s="2" t="s">
        <v>41</v>
      </c>
      <c r="E1756" s="2" t="s">
        <v>51</v>
      </c>
      <c r="F1756" s="2">
        <v>15865</v>
      </c>
      <c r="G1756" s="2">
        <v>528</v>
      </c>
      <c r="H1756" s="2">
        <v>992.64</v>
      </c>
      <c r="I1756" s="2">
        <v>39</v>
      </c>
      <c r="J1756" s="2">
        <v>3165.22</v>
      </c>
    </row>
    <row r="1757" spans="1:10" x14ac:dyDescent="0.45">
      <c r="A1757" s="2" t="s">
        <v>60</v>
      </c>
      <c r="B1757" s="2" t="s">
        <v>15</v>
      </c>
      <c r="C1757" s="2" t="s">
        <v>24</v>
      </c>
      <c r="D1757" s="2" t="s">
        <v>21</v>
      </c>
      <c r="E1757" s="2" t="s">
        <v>18</v>
      </c>
      <c r="F1757" s="2">
        <v>80511</v>
      </c>
      <c r="G1757" s="2">
        <v>3622</v>
      </c>
      <c r="H1757" s="2">
        <v>12025.04</v>
      </c>
      <c r="I1757" s="2">
        <v>140</v>
      </c>
      <c r="J1757" s="2">
        <v>31780.44</v>
      </c>
    </row>
    <row r="1758" spans="1:10" x14ac:dyDescent="0.45">
      <c r="A1758" s="2" t="s">
        <v>282</v>
      </c>
      <c r="B1758" s="2" t="s">
        <v>15</v>
      </c>
      <c r="C1758" s="2" t="s">
        <v>28</v>
      </c>
      <c r="D1758" s="2" t="s">
        <v>41</v>
      </c>
      <c r="E1758" s="2" t="s">
        <v>22</v>
      </c>
      <c r="F1758" s="2">
        <v>143944</v>
      </c>
      <c r="G1758" s="2">
        <v>7873</v>
      </c>
      <c r="H1758" s="2">
        <v>16612.03</v>
      </c>
      <c r="I1758" s="2">
        <v>513</v>
      </c>
      <c r="J1758" s="2">
        <v>65899.820000000007</v>
      </c>
    </row>
    <row r="1759" spans="1:10" x14ac:dyDescent="0.45">
      <c r="A1759" s="2" t="s">
        <v>158</v>
      </c>
      <c r="B1759" s="2" t="s">
        <v>35</v>
      </c>
      <c r="C1759" s="2" t="s">
        <v>16</v>
      </c>
      <c r="D1759" s="2" t="s">
        <v>29</v>
      </c>
      <c r="E1759" s="2" t="s">
        <v>22</v>
      </c>
      <c r="F1759" s="2">
        <v>44612</v>
      </c>
      <c r="G1759" s="2">
        <v>811</v>
      </c>
      <c r="H1759" s="2">
        <v>1622</v>
      </c>
      <c r="I1759" s="2">
        <v>23</v>
      </c>
      <c r="J1759" s="2">
        <v>1008.1</v>
      </c>
    </row>
    <row r="1760" spans="1:10" x14ac:dyDescent="0.45">
      <c r="A1760" s="2" t="s">
        <v>39</v>
      </c>
      <c r="B1760" s="2" t="s">
        <v>15</v>
      </c>
      <c r="C1760" s="2" t="s">
        <v>38</v>
      </c>
      <c r="D1760" s="2" t="s">
        <v>41</v>
      </c>
      <c r="E1760" s="2" t="s">
        <v>54</v>
      </c>
      <c r="F1760" s="2">
        <v>17299</v>
      </c>
      <c r="G1760" s="2">
        <v>479</v>
      </c>
      <c r="H1760" s="2">
        <v>929.26</v>
      </c>
      <c r="I1760" s="2">
        <v>30</v>
      </c>
      <c r="J1760" s="2">
        <v>3163.73</v>
      </c>
    </row>
    <row r="1761" spans="1:10" x14ac:dyDescent="0.45">
      <c r="A1761" s="2" t="s">
        <v>154</v>
      </c>
      <c r="B1761" s="2" t="s">
        <v>20</v>
      </c>
      <c r="C1761" s="2" t="s">
        <v>28</v>
      </c>
      <c r="D1761" s="2" t="s">
        <v>25</v>
      </c>
      <c r="E1761" s="2" t="s">
        <v>18</v>
      </c>
      <c r="F1761" s="2">
        <v>71514</v>
      </c>
      <c r="G1761" s="2">
        <v>3354</v>
      </c>
      <c r="H1761" s="2">
        <v>4393.74</v>
      </c>
      <c r="I1761" s="2">
        <v>165</v>
      </c>
      <c r="J1761" s="2">
        <v>17363.87</v>
      </c>
    </row>
    <row r="1762" spans="1:10" x14ac:dyDescent="0.45">
      <c r="A1762" s="2" t="s">
        <v>180</v>
      </c>
      <c r="B1762" s="2" t="s">
        <v>15</v>
      </c>
      <c r="C1762" s="2" t="s">
        <v>24</v>
      </c>
      <c r="D1762" s="2" t="s">
        <v>41</v>
      </c>
      <c r="E1762" s="2" t="s">
        <v>51</v>
      </c>
      <c r="F1762" s="2">
        <v>37135</v>
      </c>
      <c r="G1762" s="2">
        <v>1006</v>
      </c>
      <c r="H1762" s="2">
        <v>1931.52</v>
      </c>
      <c r="I1762" s="2">
        <v>62</v>
      </c>
      <c r="J1762" s="2">
        <v>17772.87</v>
      </c>
    </row>
    <row r="1763" spans="1:10" x14ac:dyDescent="0.45">
      <c r="A1763" s="2" t="s">
        <v>301</v>
      </c>
      <c r="B1763" s="2" t="s">
        <v>15</v>
      </c>
      <c r="C1763" s="2" t="s">
        <v>38</v>
      </c>
      <c r="D1763" s="2" t="s">
        <v>21</v>
      </c>
      <c r="E1763" s="2" t="s">
        <v>18</v>
      </c>
      <c r="F1763" s="2">
        <v>80542</v>
      </c>
      <c r="G1763" s="2">
        <v>4236</v>
      </c>
      <c r="H1763" s="2">
        <v>9107.4</v>
      </c>
      <c r="I1763" s="2">
        <v>104</v>
      </c>
      <c r="J1763" s="2">
        <v>15932.35</v>
      </c>
    </row>
    <row r="1764" spans="1:10" x14ac:dyDescent="0.45">
      <c r="A1764" s="2" t="s">
        <v>220</v>
      </c>
      <c r="B1764" s="2" t="s">
        <v>15</v>
      </c>
      <c r="C1764" s="2" t="s">
        <v>28</v>
      </c>
      <c r="D1764" s="2" t="s">
        <v>41</v>
      </c>
      <c r="E1764" s="2" t="s">
        <v>54</v>
      </c>
      <c r="F1764" s="2">
        <v>112992</v>
      </c>
      <c r="G1764" s="2">
        <v>2802</v>
      </c>
      <c r="H1764" s="2">
        <v>8406</v>
      </c>
      <c r="I1764" s="2">
        <v>124</v>
      </c>
      <c r="J1764" s="2">
        <v>7395.68</v>
      </c>
    </row>
    <row r="1765" spans="1:10" x14ac:dyDescent="0.45">
      <c r="A1765" s="2" t="s">
        <v>110</v>
      </c>
      <c r="B1765" s="2" t="s">
        <v>35</v>
      </c>
      <c r="C1765" s="2" t="s">
        <v>16</v>
      </c>
      <c r="D1765" s="2" t="s">
        <v>29</v>
      </c>
      <c r="E1765" s="2" t="s">
        <v>22</v>
      </c>
      <c r="F1765" s="2">
        <v>119863</v>
      </c>
      <c r="G1765" s="2">
        <v>1114</v>
      </c>
      <c r="H1765" s="2">
        <v>1370.22</v>
      </c>
      <c r="I1765" s="2">
        <v>75</v>
      </c>
      <c r="J1765" s="2">
        <v>21180.36</v>
      </c>
    </row>
    <row r="1766" spans="1:10" x14ac:dyDescent="0.45">
      <c r="A1766" s="2" t="s">
        <v>143</v>
      </c>
      <c r="B1766" s="2" t="s">
        <v>20</v>
      </c>
      <c r="C1766" s="2" t="s">
        <v>16</v>
      </c>
      <c r="D1766" s="2" t="s">
        <v>17</v>
      </c>
      <c r="E1766" s="2" t="s">
        <v>30</v>
      </c>
      <c r="F1766" s="2">
        <v>108806</v>
      </c>
      <c r="G1766" s="2">
        <v>5070</v>
      </c>
      <c r="H1766" s="2">
        <v>1825.2</v>
      </c>
      <c r="I1766" s="2">
        <v>279</v>
      </c>
      <c r="J1766" s="2">
        <v>26787.94</v>
      </c>
    </row>
    <row r="1767" spans="1:10" x14ac:dyDescent="0.45">
      <c r="A1767" s="2" t="s">
        <v>221</v>
      </c>
      <c r="B1767" s="2" t="s">
        <v>20</v>
      </c>
      <c r="C1767" s="2" t="s">
        <v>28</v>
      </c>
      <c r="D1767" s="2" t="s">
        <v>25</v>
      </c>
      <c r="E1767" s="2" t="s">
        <v>22</v>
      </c>
      <c r="F1767" s="2">
        <v>7234</v>
      </c>
      <c r="G1767" s="2">
        <v>496</v>
      </c>
      <c r="H1767" s="2">
        <v>352.16</v>
      </c>
      <c r="I1767" s="2">
        <v>10</v>
      </c>
      <c r="J1767" s="2">
        <v>399.8</v>
      </c>
    </row>
    <row r="1768" spans="1:10" x14ac:dyDescent="0.45">
      <c r="A1768" s="2" t="s">
        <v>376</v>
      </c>
      <c r="B1768" s="2" t="s">
        <v>35</v>
      </c>
      <c r="C1768" s="2" t="s">
        <v>28</v>
      </c>
      <c r="D1768" s="2" t="s">
        <v>17</v>
      </c>
      <c r="E1768" s="2" t="s">
        <v>54</v>
      </c>
      <c r="F1768" s="2">
        <v>143541</v>
      </c>
      <c r="G1768" s="2">
        <v>1980</v>
      </c>
      <c r="H1768" s="2">
        <v>2791.8</v>
      </c>
      <c r="I1768" s="2">
        <v>152</v>
      </c>
      <c r="J1768" s="2">
        <v>42063.3</v>
      </c>
    </row>
    <row r="1769" spans="1:10" x14ac:dyDescent="0.45">
      <c r="A1769" s="2" t="s">
        <v>70</v>
      </c>
      <c r="B1769" s="2" t="s">
        <v>20</v>
      </c>
      <c r="C1769" s="2" t="s">
        <v>24</v>
      </c>
      <c r="D1769" s="2" t="s">
        <v>21</v>
      </c>
      <c r="E1769" s="2" t="s">
        <v>51</v>
      </c>
      <c r="F1769" s="2">
        <v>5497</v>
      </c>
      <c r="G1769" s="2">
        <v>231</v>
      </c>
      <c r="H1769" s="2">
        <v>318.77999999999997</v>
      </c>
      <c r="I1769" s="2">
        <v>18</v>
      </c>
      <c r="J1769" s="2">
        <v>4467.32</v>
      </c>
    </row>
    <row r="1770" spans="1:10" x14ac:dyDescent="0.45">
      <c r="A1770" s="2" t="s">
        <v>329</v>
      </c>
      <c r="B1770" s="2" t="s">
        <v>35</v>
      </c>
      <c r="C1770" s="2" t="s">
        <v>38</v>
      </c>
      <c r="D1770" s="2" t="s">
        <v>21</v>
      </c>
      <c r="E1770" s="2" t="s">
        <v>22</v>
      </c>
      <c r="F1770" s="2">
        <v>160478</v>
      </c>
      <c r="G1770" s="2">
        <v>4413</v>
      </c>
      <c r="H1770" s="2">
        <v>4501.26</v>
      </c>
      <c r="I1770" s="2">
        <v>82</v>
      </c>
      <c r="J1770" s="2">
        <v>13362.88</v>
      </c>
    </row>
    <row r="1771" spans="1:10" x14ac:dyDescent="0.45">
      <c r="A1771" s="2" t="s">
        <v>68</v>
      </c>
      <c r="B1771" s="2" t="s">
        <v>15</v>
      </c>
      <c r="C1771" s="2" t="s">
        <v>24</v>
      </c>
      <c r="D1771" s="2" t="s">
        <v>41</v>
      </c>
      <c r="E1771" s="2" t="s">
        <v>22</v>
      </c>
      <c r="F1771" s="2">
        <v>116011</v>
      </c>
      <c r="G1771" s="2">
        <v>2726</v>
      </c>
      <c r="H1771" s="2">
        <v>5342.96</v>
      </c>
      <c r="I1771" s="2">
        <v>127</v>
      </c>
      <c r="J1771" s="2">
        <v>4188.78</v>
      </c>
    </row>
    <row r="1772" spans="1:10" x14ac:dyDescent="0.45">
      <c r="A1772" s="2" t="s">
        <v>333</v>
      </c>
      <c r="B1772" s="2" t="s">
        <v>35</v>
      </c>
      <c r="C1772" s="2" t="s">
        <v>16</v>
      </c>
      <c r="D1772" s="2" t="s">
        <v>21</v>
      </c>
      <c r="E1772" s="2" t="s">
        <v>30</v>
      </c>
      <c r="F1772" s="2">
        <v>166243</v>
      </c>
      <c r="G1772" s="2">
        <v>1895</v>
      </c>
      <c r="H1772" s="2">
        <v>1743.4</v>
      </c>
      <c r="I1772" s="2">
        <v>51</v>
      </c>
      <c r="J1772" s="2">
        <v>5887.21</v>
      </c>
    </row>
    <row r="1773" spans="1:10" x14ac:dyDescent="0.45">
      <c r="A1773" s="2" t="s">
        <v>247</v>
      </c>
      <c r="B1773" s="2" t="s">
        <v>20</v>
      </c>
      <c r="C1773" s="2" t="s">
        <v>24</v>
      </c>
      <c r="D1773" s="2" t="s">
        <v>41</v>
      </c>
      <c r="E1773" s="2" t="s">
        <v>54</v>
      </c>
      <c r="F1773" s="2">
        <v>62868</v>
      </c>
      <c r="G1773" s="2">
        <v>2715</v>
      </c>
      <c r="H1773" s="2">
        <v>4344</v>
      </c>
      <c r="I1773" s="2">
        <v>180</v>
      </c>
      <c r="J1773" s="2">
        <v>35590.01</v>
      </c>
    </row>
    <row r="1774" spans="1:10" x14ac:dyDescent="0.45">
      <c r="A1774" s="2" t="s">
        <v>124</v>
      </c>
      <c r="B1774" s="2" t="s">
        <v>15</v>
      </c>
      <c r="C1774" s="2" t="s">
        <v>24</v>
      </c>
      <c r="D1774" s="2" t="s">
        <v>21</v>
      </c>
      <c r="E1774" s="2" t="s">
        <v>18</v>
      </c>
      <c r="F1774" s="2">
        <v>132953</v>
      </c>
      <c r="G1774" s="2">
        <v>8163</v>
      </c>
      <c r="H1774" s="2">
        <v>22529.88</v>
      </c>
      <c r="I1774" s="2">
        <v>130</v>
      </c>
      <c r="J1774" s="2">
        <v>16572.400000000001</v>
      </c>
    </row>
    <row r="1775" spans="1:10" x14ac:dyDescent="0.45">
      <c r="A1775" s="2" t="s">
        <v>367</v>
      </c>
      <c r="B1775" s="2" t="s">
        <v>35</v>
      </c>
      <c r="C1775" s="2" t="s">
        <v>38</v>
      </c>
      <c r="D1775" s="2" t="s">
        <v>25</v>
      </c>
      <c r="E1775" s="2" t="s">
        <v>18</v>
      </c>
      <c r="F1775" s="2">
        <v>107326</v>
      </c>
      <c r="G1775" s="2">
        <v>2436</v>
      </c>
      <c r="H1775" s="2">
        <v>1875.72</v>
      </c>
      <c r="I1775" s="2">
        <v>84</v>
      </c>
      <c r="J1775" s="2">
        <v>5936.35</v>
      </c>
    </row>
    <row r="1776" spans="1:10" x14ac:dyDescent="0.45">
      <c r="A1776" s="2" t="s">
        <v>244</v>
      </c>
      <c r="B1776" s="2" t="s">
        <v>20</v>
      </c>
      <c r="C1776" s="2" t="s">
        <v>16</v>
      </c>
      <c r="D1776" s="2" t="s">
        <v>41</v>
      </c>
      <c r="E1776" s="2" t="s">
        <v>54</v>
      </c>
      <c r="F1776" s="2">
        <v>24854</v>
      </c>
      <c r="G1776" s="2">
        <v>1106</v>
      </c>
      <c r="H1776" s="2">
        <v>1260.8399999999999</v>
      </c>
      <c r="I1776" s="2">
        <v>38</v>
      </c>
      <c r="J1776" s="2">
        <v>8735.32</v>
      </c>
    </row>
    <row r="1777" spans="1:10" x14ac:dyDescent="0.45">
      <c r="A1777" s="2" t="s">
        <v>36</v>
      </c>
      <c r="B1777" s="2" t="s">
        <v>15</v>
      </c>
      <c r="C1777" s="2" t="s">
        <v>38</v>
      </c>
      <c r="D1777" s="2" t="s">
        <v>25</v>
      </c>
      <c r="E1777" s="2" t="s">
        <v>51</v>
      </c>
      <c r="F1777" s="2">
        <v>175949</v>
      </c>
      <c r="G1777" s="2">
        <v>7108</v>
      </c>
      <c r="H1777" s="2">
        <v>17343.52</v>
      </c>
      <c r="I1777" s="2">
        <v>75</v>
      </c>
      <c r="J1777" s="2">
        <v>22062.99</v>
      </c>
    </row>
    <row r="1778" spans="1:10" x14ac:dyDescent="0.45">
      <c r="A1778" s="2" t="s">
        <v>392</v>
      </c>
      <c r="B1778" s="2" t="s">
        <v>20</v>
      </c>
      <c r="C1778" s="2" t="s">
        <v>28</v>
      </c>
      <c r="D1778" s="2" t="s">
        <v>21</v>
      </c>
      <c r="E1778" s="2" t="s">
        <v>26</v>
      </c>
      <c r="F1778" s="2">
        <v>131956</v>
      </c>
      <c r="G1778" s="2">
        <v>7772</v>
      </c>
      <c r="H1778" s="2">
        <v>2253.88</v>
      </c>
      <c r="I1778" s="2">
        <v>211</v>
      </c>
      <c r="J1778" s="2">
        <v>23120.58</v>
      </c>
    </row>
    <row r="1779" spans="1:10" x14ac:dyDescent="0.45">
      <c r="A1779" s="2" t="s">
        <v>350</v>
      </c>
      <c r="B1779" s="2" t="s">
        <v>15</v>
      </c>
      <c r="C1779" s="2" t="s">
        <v>24</v>
      </c>
      <c r="D1779" s="2" t="s">
        <v>25</v>
      </c>
      <c r="E1779" s="2" t="s">
        <v>18</v>
      </c>
      <c r="F1779" s="2">
        <v>90096</v>
      </c>
      <c r="G1779" s="2">
        <v>4784</v>
      </c>
      <c r="H1779" s="2">
        <v>15165.28</v>
      </c>
      <c r="I1779" s="2">
        <v>310</v>
      </c>
      <c r="J1779" s="2">
        <v>81015.37</v>
      </c>
    </row>
    <row r="1780" spans="1:10" x14ac:dyDescent="0.45">
      <c r="A1780" s="2" t="s">
        <v>305</v>
      </c>
      <c r="B1780" s="2" t="s">
        <v>15</v>
      </c>
      <c r="C1780" s="2" t="s">
        <v>24</v>
      </c>
      <c r="D1780" s="2" t="s">
        <v>41</v>
      </c>
      <c r="E1780" s="2" t="s">
        <v>22</v>
      </c>
      <c r="F1780" s="2">
        <v>48766</v>
      </c>
      <c r="G1780" s="2">
        <v>1731</v>
      </c>
      <c r="H1780" s="2">
        <v>1800.24</v>
      </c>
      <c r="I1780" s="2">
        <v>44</v>
      </c>
      <c r="J1780" s="2">
        <v>12477.84</v>
      </c>
    </row>
    <row r="1781" spans="1:10" x14ac:dyDescent="0.45">
      <c r="A1781" s="2" t="s">
        <v>315</v>
      </c>
      <c r="B1781" s="2" t="s">
        <v>35</v>
      </c>
      <c r="C1781" s="2" t="s">
        <v>38</v>
      </c>
      <c r="D1781" s="2" t="s">
        <v>17</v>
      </c>
      <c r="E1781" s="2" t="s">
        <v>26</v>
      </c>
      <c r="F1781" s="2">
        <v>68989</v>
      </c>
      <c r="G1781" s="2">
        <v>2952</v>
      </c>
      <c r="H1781" s="2">
        <v>5284.08</v>
      </c>
      <c r="I1781" s="2">
        <v>169</v>
      </c>
      <c r="J1781" s="2">
        <v>14776.11</v>
      </c>
    </row>
    <row r="1782" spans="1:10" x14ac:dyDescent="0.45">
      <c r="A1782" s="2" t="s">
        <v>248</v>
      </c>
      <c r="B1782" s="2" t="s">
        <v>15</v>
      </c>
      <c r="C1782" s="2" t="s">
        <v>16</v>
      </c>
      <c r="D1782" s="2" t="s">
        <v>41</v>
      </c>
      <c r="E1782" s="2" t="s">
        <v>51</v>
      </c>
      <c r="F1782" s="2">
        <v>197557</v>
      </c>
      <c r="G1782" s="2">
        <v>4326</v>
      </c>
      <c r="H1782" s="2">
        <v>5104.68</v>
      </c>
      <c r="I1782" s="2">
        <v>259</v>
      </c>
      <c r="J1782" s="2">
        <v>39016.050000000003</v>
      </c>
    </row>
    <row r="1783" spans="1:10" x14ac:dyDescent="0.45">
      <c r="A1783" s="2" t="s">
        <v>228</v>
      </c>
      <c r="B1783" s="2" t="s">
        <v>15</v>
      </c>
      <c r="C1783" s="2" t="s">
        <v>24</v>
      </c>
      <c r="D1783" s="2" t="s">
        <v>41</v>
      </c>
      <c r="E1783" s="2" t="s">
        <v>33</v>
      </c>
      <c r="F1783" s="2">
        <v>96178</v>
      </c>
      <c r="G1783" s="2">
        <v>4328</v>
      </c>
      <c r="H1783" s="2">
        <v>14542.08</v>
      </c>
      <c r="I1783" s="2">
        <v>275</v>
      </c>
      <c r="J1783" s="2">
        <v>37193.1</v>
      </c>
    </row>
    <row r="1784" spans="1:10" x14ac:dyDescent="0.45">
      <c r="A1784" s="2" t="s">
        <v>132</v>
      </c>
      <c r="B1784" s="2" t="s">
        <v>20</v>
      </c>
      <c r="C1784" s="2" t="s">
        <v>28</v>
      </c>
      <c r="D1784" s="2" t="s">
        <v>25</v>
      </c>
      <c r="E1784" s="2" t="s">
        <v>51</v>
      </c>
      <c r="F1784" s="2">
        <v>144940</v>
      </c>
      <c r="G1784" s="2">
        <v>5333</v>
      </c>
      <c r="H1784" s="2">
        <v>6986.23</v>
      </c>
      <c r="I1784" s="2">
        <v>148</v>
      </c>
      <c r="J1784" s="2">
        <v>32610.09</v>
      </c>
    </row>
    <row r="1785" spans="1:10" x14ac:dyDescent="0.45">
      <c r="A1785" s="2" t="s">
        <v>370</v>
      </c>
      <c r="B1785" s="2" t="s">
        <v>20</v>
      </c>
      <c r="C1785" s="2" t="s">
        <v>28</v>
      </c>
      <c r="D1785" s="2" t="s">
        <v>29</v>
      </c>
      <c r="E1785" s="2" t="s">
        <v>18</v>
      </c>
      <c r="F1785" s="2">
        <v>152322</v>
      </c>
      <c r="G1785" s="2">
        <v>13678</v>
      </c>
      <c r="H1785" s="2">
        <v>5607.98</v>
      </c>
      <c r="I1785" s="2">
        <v>813</v>
      </c>
      <c r="J1785" s="2">
        <v>103237.84</v>
      </c>
    </row>
    <row r="1786" spans="1:10" x14ac:dyDescent="0.45">
      <c r="A1786" s="2" t="s">
        <v>290</v>
      </c>
      <c r="B1786" s="2" t="s">
        <v>15</v>
      </c>
      <c r="C1786" s="2" t="s">
        <v>38</v>
      </c>
      <c r="D1786" s="2" t="s">
        <v>21</v>
      </c>
      <c r="E1786" s="2" t="s">
        <v>54</v>
      </c>
      <c r="F1786" s="2">
        <v>89124</v>
      </c>
      <c r="G1786" s="2">
        <v>2664</v>
      </c>
      <c r="H1786" s="2">
        <v>3303.36</v>
      </c>
      <c r="I1786" s="2">
        <v>198</v>
      </c>
      <c r="J1786" s="2">
        <v>52262.98</v>
      </c>
    </row>
    <row r="1787" spans="1:10" x14ac:dyDescent="0.45">
      <c r="A1787" s="2" t="s">
        <v>127</v>
      </c>
      <c r="B1787" s="2" t="s">
        <v>15</v>
      </c>
      <c r="C1787" s="2" t="s">
        <v>24</v>
      </c>
      <c r="D1787" s="2" t="s">
        <v>17</v>
      </c>
      <c r="E1787" s="2" t="s">
        <v>51</v>
      </c>
      <c r="F1787" s="2">
        <v>126404</v>
      </c>
      <c r="G1787" s="2">
        <v>2073</v>
      </c>
      <c r="H1787" s="2">
        <v>1907.16</v>
      </c>
      <c r="I1787" s="2">
        <v>24</v>
      </c>
      <c r="J1787" s="2">
        <v>3807.61</v>
      </c>
    </row>
    <row r="1788" spans="1:10" x14ac:dyDescent="0.45">
      <c r="A1788" s="2" t="s">
        <v>332</v>
      </c>
      <c r="B1788" s="2" t="s">
        <v>35</v>
      </c>
      <c r="C1788" s="2" t="s">
        <v>16</v>
      </c>
      <c r="D1788" s="2" t="s">
        <v>25</v>
      </c>
      <c r="E1788" s="2" t="s">
        <v>33</v>
      </c>
      <c r="F1788" s="2">
        <v>84654</v>
      </c>
      <c r="G1788" s="2">
        <v>2937</v>
      </c>
      <c r="H1788" s="2">
        <v>5404.08</v>
      </c>
      <c r="I1788" s="2">
        <v>104</v>
      </c>
      <c r="J1788" s="2">
        <v>30747.279999999999</v>
      </c>
    </row>
    <row r="1789" spans="1:10" x14ac:dyDescent="0.45">
      <c r="A1789" s="2" t="s">
        <v>267</v>
      </c>
      <c r="B1789" s="2" t="s">
        <v>35</v>
      </c>
      <c r="C1789" s="2" t="s">
        <v>24</v>
      </c>
      <c r="D1789" s="2" t="s">
        <v>21</v>
      </c>
      <c r="E1789" s="2" t="s">
        <v>30</v>
      </c>
      <c r="F1789" s="2">
        <v>95987</v>
      </c>
      <c r="G1789" s="2">
        <v>1919</v>
      </c>
      <c r="H1789" s="2">
        <v>3281.49</v>
      </c>
      <c r="I1789" s="2">
        <v>124</v>
      </c>
      <c r="J1789" s="2">
        <v>28533.79</v>
      </c>
    </row>
    <row r="1790" spans="1:10" x14ac:dyDescent="0.45">
      <c r="A1790" s="2" t="s">
        <v>364</v>
      </c>
      <c r="B1790" s="2" t="s">
        <v>15</v>
      </c>
      <c r="C1790" s="2" t="s">
        <v>28</v>
      </c>
      <c r="D1790" s="2" t="s">
        <v>29</v>
      </c>
      <c r="E1790" s="2" t="s">
        <v>18</v>
      </c>
      <c r="F1790" s="2">
        <v>154088</v>
      </c>
      <c r="G1790" s="2">
        <v>9106</v>
      </c>
      <c r="H1790" s="2">
        <v>29503.439999999999</v>
      </c>
      <c r="I1790" s="2">
        <v>294</v>
      </c>
      <c r="J1790" s="2">
        <v>42565.78</v>
      </c>
    </row>
    <row r="1791" spans="1:10" x14ac:dyDescent="0.45">
      <c r="A1791" s="2" t="s">
        <v>44</v>
      </c>
      <c r="B1791" s="2" t="s">
        <v>20</v>
      </c>
      <c r="C1791" s="2" t="s">
        <v>16</v>
      </c>
      <c r="D1791" s="2" t="s">
        <v>21</v>
      </c>
      <c r="E1791" s="2" t="s">
        <v>54</v>
      </c>
      <c r="F1791" s="2">
        <v>71883</v>
      </c>
      <c r="G1791" s="2">
        <v>2077</v>
      </c>
      <c r="H1791" s="2">
        <v>3551.67</v>
      </c>
      <c r="I1791" s="2">
        <v>87</v>
      </c>
      <c r="J1791" s="2">
        <v>12811.32</v>
      </c>
    </row>
    <row r="1792" spans="1:10" x14ac:dyDescent="0.45">
      <c r="A1792" s="2" t="s">
        <v>298</v>
      </c>
      <c r="B1792" s="2" t="s">
        <v>35</v>
      </c>
      <c r="C1792" s="2" t="s">
        <v>28</v>
      </c>
      <c r="D1792" s="2" t="s">
        <v>41</v>
      </c>
      <c r="E1792" s="2" t="s">
        <v>18</v>
      </c>
      <c r="F1792" s="2">
        <v>133716</v>
      </c>
      <c r="G1792" s="2">
        <v>1617</v>
      </c>
      <c r="H1792" s="2">
        <v>1374.45</v>
      </c>
      <c r="I1792" s="2">
        <v>48</v>
      </c>
      <c r="J1792" s="2">
        <v>3570.09</v>
      </c>
    </row>
    <row r="1793" spans="1:10" x14ac:dyDescent="0.45">
      <c r="A1793" s="2" t="s">
        <v>58</v>
      </c>
      <c r="B1793" s="2" t="s">
        <v>20</v>
      </c>
      <c r="C1793" s="2" t="s">
        <v>38</v>
      </c>
      <c r="D1793" s="2" t="s">
        <v>17</v>
      </c>
      <c r="E1793" s="2" t="s">
        <v>30</v>
      </c>
      <c r="F1793" s="2">
        <v>43319</v>
      </c>
      <c r="G1793" s="2">
        <v>2534</v>
      </c>
      <c r="H1793" s="2">
        <v>4206.4399999999996</v>
      </c>
      <c r="I1793" s="2">
        <v>111</v>
      </c>
      <c r="J1793" s="2">
        <v>10456.870000000001</v>
      </c>
    </row>
    <row r="1794" spans="1:10" x14ac:dyDescent="0.45">
      <c r="A1794" s="2" t="s">
        <v>321</v>
      </c>
      <c r="B1794" s="2" t="s">
        <v>15</v>
      </c>
      <c r="C1794" s="2" t="s">
        <v>16</v>
      </c>
      <c r="D1794" s="2" t="s">
        <v>41</v>
      </c>
      <c r="E1794" s="2" t="s">
        <v>51</v>
      </c>
      <c r="F1794" s="2">
        <v>144911</v>
      </c>
      <c r="G1794" s="2">
        <v>7897</v>
      </c>
      <c r="H1794" s="2">
        <v>12872.11</v>
      </c>
      <c r="I1794" s="2">
        <v>555</v>
      </c>
      <c r="J1794" s="2">
        <v>21004.5</v>
      </c>
    </row>
    <row r="1795" spans="1:10" x14ac:dyDescent="0.45">
      <c r="A1795" s="2" t="s">
        <v>342</v>
      </c>
      <c r="B1795" s="2" t="s">
        <v>15</v>
      </c>
      <c r="C1795" s="2" t="s">
        <v>16</v>
      </c>
      <c r="D1795" s="2" t="s">
        <v>17</v>
      </c>
      <c r="E1795" s="2" t="s">
        <v>18</v>
      </c>
      <c r="F1795" s="2">
        <v>180634</v>
      </c>
      <c r="G1795" s="2">
        <v>7821</v>
      </c>
      <c r="H1795" s="2">
        <v>17284.41</v>
      </c>
      <c r="I1795" s="2">
        <v>581</v>
      </c>
      <c r="J1795" s="2">
        <v>136556.31</v>
      </c>
    </row>
    <row r="1796" spans="1:10" x14ac:dyDescent="0.45">
      <c r="A1796" s="2" t="s">
        <v>337</v>
      </c>
      <c r="B1796" s="2" t="s">
        <v>35</v>
      </c>
      <c r="C1796" s="2" t="s">
        <v>38</v>
      </c>
      <c r="D1796" s="2" t="s">
        <v>21</v>
      </c>
      <c r="E1796" s="2" t="s">
        <v>54</v>
      </c>
      <c r="F1796" s="2">
        <v>76095</v>
      </c>
      <c r="G1796" s="2">
        <v>2031</v>
      </c>
      <c r="H1796" s="2">
        <v>3026.19</v>
      </c>
      <c r="I1796" s="2">
        <v>135</v>
      </c>
      <c r="J1796" s="2">
        <v>33172.870000000003</v>
      </c>
    </row>
    <row r="1797" spans="1:10" x14ac:dyDescent="0.45">
      <c r="A1797" s="2" t="s">
        <v>340</v>
      </c>
      <c r="B1797" s="2" t="s">
        <v>20</v>
      </c>
      <c r="C1797" s="2" t="s">
        <v>24</v>
      </c>
      <c r="D1797" s="2" t="s">
        <v>41</v>
      </c>
      <c r="E1797" s="2" t="s">
        <v>30</v>
      </c>
      <c r="F1797" s="2">
        <v>180128</v>
      </c>
      <c r="G1797" s="2">
        <v>10555</v>
      </c>
      <c r="H1797" s="2">
        <v>8866.2000000000007</v>
      </c>
      <c r="I1797" s="2">
        <v>707</v>
      </c>
      <c r="J1797" s="2">
        <v>200566.9</v>
      </c>
    </row>
    <row r="1798" spans="1:10" x14ac:dyDescent="0.45">
      <c r="A1798" s="2" t="s">
        <v>87</v>
      </c>
      <c r="B1798" s="2" t="s">
        <v>35</v>
      </c>
      <c r="C1798" s="2" t="s">
        <v>38</v>
      </c>
      <c r="D1798" s="2" t="s">
        <v>21</v>
      </c>
      <c r="E1798" s="2" t="s">
        <v>54</v>
      </c>
      <c r="F1798" s="2">
        <v>169849</v>
      </c>
      <c r="G1798" s="2">
        <v>5927</v>
      </c>
      <c r="H1798" s="2">
        <v>5571.38</v>
      </c>
      <c r="I1798" s="2">
        <v>437</v>
      </c>
      <c r="J1798" s="2">
        <v>105321.92</v>
      </c>
    </row>
    <row r="1799" spans="1:10" x14ac:dyDescent="0.45">
      <c r="A1799" s="2" t="s">
        <v>157</v>
      </c>
      <c r="B1799" s="2" t="s">
        <v>35</v>
      </c>
      <c r="C1799" s="2" t="s">
        <v>24</v>
      </c>
      <c r="D1799" s="2" t="s">
        <v>17</v>
      </c>
      <c r="E1799" s="2" t="s">
        <v>54</v>
      </c>
      <c r="F1799" s="2">
        <v>122974</v>
      </c>
      <c r="G1799" s="2">
        <v>2939</v>
      </c>
      <c r="H1799" s="2">
        <v>5437.15</v>
      </c>
      <c r="I1799" s="2">
        <v>91</v>
      </c>
      <c r="J1799" s="2">
        <v>26004.98</v>
      </c>
    </row>
    <row r="1800" spans="1:10" x14ac:dyDescent="0.45">
      <c r="A1800" s="2" t="s">
        <v>236</v>
      </c>
      <c r="B1800" s="2" t="s">
        <v>15</v>
      </c>
      <c r="C1800" s="2" t="s">
        <v>16</v>
      </c>
      <c r="D1800" s="2" t="s">
        <v>41</v>
      </c>
      <c r="E1800" s="2" t="s">
        <v>26</v>
      </c>
      <c r="F1800" s="2">
        <v>28553</v>
      </c>
      <c r="G1800" s="2">
        <v>850</v>
      </c>
      <c r="H1800" s="2">
        <v>1751</v>
      </c>
      <c r="I1800" s="2">
        <v>51</v>
      </c>
      <c r="J1800" s="2">
        <v>13010.72</v>
      </c>
    </row>
    <row r="1801" spans="1:10" x14ac:dyDescent="0.45">
      <c r="A1801" s="2" t="s">
        <v>240</v>
      </c>
      <c r="B1801" s="2" t="s">
        <v>35</v>
      </c>
      <c r="C1801" s="2" t="s">
        <v>38</v>
      </c>
      <c r="D1801" s="2" t="s">
        <v>21</v>
      </c>
      <c r="E1801" s="2" t="s">
        <v>22</v>
      </c>
      <c r="F1801" s="2">
        <v>77447</v>
      </c>
      <c r="G1801" s="2">
        <v>906</v>
      </c>
      <c r="H1801" s="2">
        <v>1041.9000000000001</v>
      </c>
      <c r="I1801" s="2">
        <v>29</v>
      </c>
      <c r="J1801" s="2">
        <v>8284.1299999999992</v>
      </c>
    </row>
  </sheetData>
  <autoFilter ref="A1:J18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01"/>
  <sheetViews>
    <sheetView topLeftCell="E1" workbookViewId="0">
      <pane ySplit="1" topLeftCell="A2" activePane="bottomLeft" state="frozen"/>
      <selection pane="bottomLeft" activeCell="F1" sqref="F1:F1048576"/>
    </sheetView>
  </sheetViews>
  <sheetFormatPr defaultRowHeight="14.25" x14ac:dyDescent="0.45"/>
  <cols>
    <col min="1" max="1" width="16.73046875" customWidth="1"/>
    <col min="2" max="2" width="17.73046875" customWidth="1"/>
    <col min="3" max="3" width="20.46484375" customWidth="1"/>
    <col min="4" max="4" width="20.73046875" customWidth="1"/>
    <col min="5" max="5" width="16.1328125" customWidth="1"/>
    <col min="6" max="6" width="17.1328125" customWidth="1"/>
    <col min="7" max="7" width="14" customWidth="1"/>
    <col min="8" max="8" width="22.265625" customWidth="1"/>
    <col min="9" max="9" width="20.46484375" customWidth="1"/>
    <col min="10" max="10" width="16.1328125" customWidth="1"/>
    <col min="11" max="11" width="13.59765625" style="4" customWidth="1"/>
    <col min="12" max="12" width="12.3984375" style="6" customWidth="1"/>
    <col min="13" max="13" width="12.73046875" style="6" customWidth="1"/>
    <col min="14" max="14" width="14.3984375" style="8" customWidth="1"/>
  </cols>
  <sheetData>
    <row r="1" spans="1:14" x14ac:dyDescent="0.45">
      <c r="A1" s="11" t="s">
        <v>0</v>
      </c>
      <c r="B1" s="1" t="s">
        <v>1</v>
      </c>
      <c r="C1" s="1" t="s">
        <v>2</v>
      </c>
      <c r="D1" s="1" t="s">
        <v>3</v>
      </c>
      <c r="E1" s="1" t="s">
        <v>4</v>
      </c>
      <c r="F1" s="1" t="s">
        <v>5</v>
      </c>
      <c r="G1" s="1" t="s">
        <v>6</v>
      </c>
      <c r="H1" s="1" t="s">
        <v>9</v>
      </c>
      <c r="I1" s="1" t="s">
        <v>10</v>
      </c>
      <c r="J1" s="1" t="s">
        <v>12</v>
      </c>
      <c r="K1" s="3" t="s">
        <v>7</v>
      </c>
      <c r="L1" s="5" t="s">
        <v>8</v>
      </c>
      <c r="M1" s="5" t="s">
        <v>11</v>
      </c>
      <c r="N1" s="7" t="s">
        <v>13</v>
      </c>
    </row>
    <row r="2" spans="1:14" x14ac:dyDescent="0.45">
      <c r="A2" s="12">
        <v>45312</v>
      </c>
      <c r="B2" s="2" t="s">
        <v>15</v>
      </c>
      <c r="C2" s="2" t="s">
        <v>16</v>
      </c>
      <c r="D2" s="2" t="s">
        <v>17</v>
      </c>
      <c r="E2" s="2" t="s">
        <v>18</v>
      </c>
      <c r="F2" s="2">
        <v>59886</v>
      </c>
      <c r="G2" s="2">
        <v>2113</v>
      </c>
      <c r="H2" s="2">
        <v>2662.38</v>
      </c>
      <c r="I2" s="2">
        <v>159</v>
      </c>
      <c r="J2" s="2">
        <v>4803.43</v>
      </c>
      <c r="K2" s="4">
        <f xml:space="preserve"> G2 / F2</f>
        <v>3.5283705707510937E-2</v>
      </c>
      <c r="L2" s="6">
        <f>H2/G2</f>
        <v>1.26</v>
      </c>
      <c r="M2" s="6">
        <f>H2/I2</f>
        <v>16.744528301886792</v>
      </c>
      <c r="N2" s="8">
        <f>J2/H2</f>
        <v>1.8041864797662241</v>
      </c>
    </row>
    <row r="3" spans="1:14" x14ac:dyDescent="0.45">
      <c r="A3" s="12">
        <v>45313</v>
      </c>
      <c r="B3" s="2" t="s">
        <v>20</v>
      </c>
      <c r="C3" s="2" t="s">
        <v>16</v>
      </c>
      <c r="D3" s="2" t="s">
        <v>21</v>
      </c>
      <c r="E3" s="2" t="s">
        <v>22</v>
      </c>
      <c r="F3" s="2">
        <v>135608</v>
      </c>
      <c r="G3" s="2">
        <v>5220</v>
      </c>
      <c r="H3" s="2">
        <v>6159.6</v>
      </c>
      <c r="I3" s="2">
        <v>411</v>
      </c>
      <c r="J3" s="2">
        <v>64126.68</v>
      </c>
      <c r="K3" s="4">
        <f t="shared" ref="K3:K66" si="0" xml:space="preserve"> G3 / F3</f>
        <v>3.8493304229838946E-2</v>
      </c>
      <c r="L3" s="6">
        <f t="shared" ref="L3:L66" si="1">H3/G3</f>
        <v>1.1800000000000002</v>
      </c>
      <c r="M3" s="6">
        <f t="shared" ref="M3:M66" si="2">H3/I3</f>
        <v>14.986861313868614</v>
      </c>
      <c r="N3" s="8">
        <f t="shared" ref="N3:N66" si="3">J3/H3</f>
        <v>10.410851353984024</v>
      </c>
    </row>
    <row r="4" spans="1:14" x14ac:dyDescent="0.45">
      <c r="A4" s="12">
        <v>45458</v>
      </c>
      <c r="B4" s="2" t="s">
        <v>20</v>
      </c>
      <c r="C4" s="2" t="s">
        <v>24</v>
      </c>
      <c r="D4" s="2" t="s">
        <v>25</v>
      </c>
      <c r="E4" s="2" t="s">
        <v>26</v>
      </c>
      <c r="F4" s="2">
        <v>92313</v>
      </c>
      <c r="G4" s="2">
        <v>5991</v>
      </c>
      <c r="H4" s="2">
        <v>5092.3500000000004</v>
      </c>
      <c r="I4" s="2">
        <v>267</v>
      </c>
      <c r="J4" s="2">
        <v>10489.07</v>
      </c>
      <c r="K4" s="4">
        <f t="shared" si="0"/>
        <v>6.4898768320821559E-2</v>
      </c>
      <c r="L4" s="6">
        <f t="shared" si="1"/>
        <v>0.85000000000000009</v>
      </c>
      <c r="M4" s="6">
        <f t="shared" si="2"/>
        <v>19.072471910112363</v>
      </c>
      <c r="N4" s="8">
        <f t="shared" si="3"/>
        <v>2.0597700472277043</v>
      </c>
    </row>
    <row r="5" spans="1:14" x14ac:dyDescent="0.45">
      <c r="A5" s="12">
        <v>45293</v>
      </c>
      <c r="B5" s="2" t="s">
        <v>20</v>
      </c>
      <c r="C5" s="2" t="s">
        <v>28</v>
      </c>
      <c r="D5" s="2" t="s">
        <v>29</v>
      </c>
      <c r="E5" s="2" t="s">
        <v>30</v>
      </c>
      <c r="F5" s="2">
        <v>83953</v>
      </c>
      <c r="G5" s="2">
        <v>5935</v>
      </c>
      <c r="H5" s="2">
        <v>7834.2</v>
      </c>
      <c r="I5" s="2">
        <v>296</v>
      </c>
      <c r="J5" s="2">
        <v>50505.07</v>
      </c>
      <c r="K5" s="4">
        <f t="shared" si="0"/>
        <v>7.0694317058354078E-2</v>
      </c>
      <c r="L5" s="6">
        <f t="shared" si="1"/>
        <v>1.32</v>
      </c>
      <c r="M5" s="6">
        <f t="shared" si="2"/>
        <v>26.466891891891891</v>
      </c>
      <c r="N5" s="8">
        <f t="shared" si="3"/>
        <v>6.4467424880651505</v>
      </c>
    </row>
    <row r="6" spans="1:14" x14ac:dyDescent="0.45">
      <c r="A6" s="12">
        <v>45344</v>
      </c>
      <c r="B6" s="2" t="s">
        <v>20</v>
      </c>
      <c r="C6" s="2" t="s">
        <v>16</v>
      </c>
      <c r="D6" s="2" t="s">
        <v>25</v>
      </c>
      <c r="E6" s="2" t="s">
        <v>22</v>
      </c>
      <c r="F6" s="2">
        <v>91807</v>
      </c>
      <c r="G6" s="2">
        <v>4489</v>
      </c>
      <c r="H6" s="2">
        <v>8663.77</v>
      </c>
      <c r="I6" s="2">
        <v>107</v>
      </c>
      <c r="J6" s="2">
        <v>3369.53</v>
      </c>
      <c r="K6" s="4">
        <f t="shared" si="0"/>
        <v>4.8896053677824132E-2</v>
      </c>
      <c r="L6" s="6">
        <f t="shared" si="1"/>
        <v>1.9300000000000002</v>
      </c>
      <c r="M6" s="6">
        <f t="shared" si="2"/>
        <v>80.969813084112147</v>
      </c>
      <c r="N6" s="8">
        <f t="shared" si="3"/>
        <v>0.38892191274699123</v>
      </c>
    </row>
    <row r="7" spans="1:14" x14ac:dyDescent="0.45">
      <c r="A7" s="12">
        <v>45580</v>
      </c>
      <c r="B7" s="2" t="s">
        <v>20</v>
      </c>
      <c r="C7" s="2" t="s">
        <v>16</v>
      </c>
      <c r="D7" s="2" t="s">
        <v>17</v>
      </c>
      <c r="E7" s="2" t="s">
        <v>33</v>
      </c>
      <c r="F7" s="2">
        <v>17666</v>
      </c>
      <c r="G7" s="2">
        <v>724</v>
      </c>
      <c r="H7" s="2">
        <v>267.88</v>
      </c>
      <c r="I7" s="2">
        <v>23</v>
      </c>
      <c r="J7" s="2">
        <v>5220.8500000000004</v>
      </c>
      <c r="K7" s="4">
        <f t="shared" si="0"/>
        <v>4.0982678591644971E-2</v>
      </c>
      <c r="L7" s="6">
        <f t="shared" si="1"/>
        <v>0.37</v>
      </c>
      <c r="M7" s="6">
        <f t="shared" si="2"/>
        <v>11.64695652173913</v>
      </c>
      <c r="N7" s="8">
        <f t="shared" si="3"/>
        <v>19.489510228460507</v>
      </c>
    </row>
    <row r="8" spans="1:14" x14ac:dyDescent="0.45">
      <c r="A8" s="12">
        <v>45518</v>
      </c>
      <c r="B8" s="2" t="s">
        <v>35</v>
      </c>
      <c r="C8" s="2" t="s">
        <v>24</v>
      </c>
      <c r="D8" s="2" t="s">
        <v>17</v>
      </c>
      <c r="E8" s="2" t="s">
        <v>26</v>
      </c>
      <c r="F8" s="2">
        <v>118252</v>
      </c>
      <c r="G8" s="2">
        <v>3748</v>
      </c>
      <c r="H8" s="2">
        <v>1574.16</v>
      </c>
      <c r="I8" s="2">
        <v>152</v>
      </c>
      <c r="J8" s="2">
        <v>12838.56</v>
      </c>
      <c r="K8" s="4">
        <f t="shared" si="0"/>
        <v>3.1695024185637452E-2</v>
      </c>
      <c r="L8" s="6">
        <f t="shared" si="1"/>
        <v>0.42000000000000004</v>
      </c>
      <c r="M8" s="6">
        <f t="shared" si="2"/>
        <v>10.356315789473685</v>
      </c>
      <c r="N8" s="8">
        <f t="shared" si="3"/>
        <v>8.1558164354322304</v>
      </c>
    </row>
    <row r="9" spans="1:14" x14ac:dyDescent="0.45">
      <c r="A9" s="12">
        <v>45387</v>
      </c>
      <c r="B9" s="2" t="s">
        <v>20</v>
      </c>
      <c r="C9" s="2" t="s">
        <v>16</v>
      </c>
      <c r="D9" s="2" t="s">
        <v>21</v>
      </c>
      <c r="E9" s="2" t="s">
        <v>18</v>
      </c>
      <c r="F9" s="2">
        <v>92939</v>
      </c>
      <c r="G9" s="2">
        <v>5176</v>
      </c>
      <c r="H9" s="2">
        <v>3416.16</v>
      </c>
      <c r="I9" s="2">
        <v>388</v>
      </c>
      <c r="J9" s="2">
        <v>96298.69</v>
      </c>
      <c r="K9" s="4">
        <f t="shared" si="0"/>
        <v>5.5692443430637298E-2</v>
      </c>
      <c r="L9" s="6">
        <f t="shared" si="1"/>
        <v>0.65999999999999992</v>
      </c>
      <c r="M9" s="6">
        <f t="shared" si="2"/>
        <v>8.8045360824742271</v>
      </c>
      <c r="N9" s="8">
        <f t="shared" si="3"/>
        <v>28.189162685588499</v>
      </c>
    </row>
    <row r="10" spans="1:14" x14ac:dyDescent="0.45">
      <c r="A10" s="12">
        <v>45399</v>
      </c>
      <c r="B10" s="2" t="s">
        <v>35</v>
      </c>
      <c r="C10" s="2" t="s">
        <v>38</v>
      </c>
      <c r="D10" s="2" t="s">
        <v>21</v>
      </c>
      <c r="E10" s="2" t="s">
        <v>30</v>
      </c>
      <c r="F10" s="2">
        <v>30939</v>
      </c>
      <c r="G10" s="2">
        <v>937</v>
      </c>
      <c r="H10" s="2">
        <v>552.83000000000004</v>
      </c>
      <c r="I10" s="2">
        <v>63</v>
      </c>
      <c r="J10" s="2">
        <v>16531.03</v>
      </c>
      <c r="K10" s="4">
        <f t="shared" si="0"/>
        <v>3.0285400303823654E-2</v>
      </c>
      <c r="L10" s="6">
        <f t="shared" si="1"/>
        <v>0.59000000000000008</v>
      </c>
      <c r="M10" s="6">
        <f t="shared" si="2"/>
        <v>8.7750793650793657</v>
      </c>
      <c r="N10" s="8">
        <f t="shared" si="3"/>
        <v>29.902555939438884</v>
      </c>
    </row>
    <row r="11" spans="1:14" x14ac:dyDescent="0.45">
      <c r="A11" s="12">
        <v>45609</v>
      </c>
      <c r="B11" s="2" t="s">
        <v>15</v>
      </c>
      <c r="C11" s="2" t="s">
        <v>28</v>
      </c>
      <c r="D11" s="2" t="s">
        <v>17</v>
      </c>
      <c r="E11" s="2" t="s">
        <v>26</v>
      </c>
      <c r="F11" s="2">
        <v>8748</v>
      </c>
      <c r="G11" s="2">
        <v>362</v>
      </c>
      <c r="H11" s="2">
        <v>438.02</v>
      </c>
      <c r="I11" s="2">
        <v>10</v>
      </c>
      <c r="J11" s="2">
        <v>966.57</v>
      </c>
      <c r="K11" s="4">
        <f t="shared" si="0"/>
        <v>4.1380887059899403E-2</v>
      </c>
      <c r="L11" s="6">
        <f t="shared" si="1"/>
        <v>1.21</v>
      </c>
      <c r="M11" s="6">
        <f t="shared" si="2"/>
        <v>43.802</v>
      </c>
      <c r="N11" s="8">
        <f t="shared" si="3"/>
        <v>2.2066800602712209</v>
      </c>
    </row>
    <row r="12" spans="1:14" x14ac:dyDescent="0.45">
      <c r="A12" s="12">
        <v>45404</v>
      </c>
      <c r="B12" s="2" t="s">
        <v>35</v>
      </c>
      <c r="C12" s="2" t="s">
        <v>24</v>
      </c>
      <c r="D12" s="2" t="s">
        <v>41</v>
      </c>
      <c r="E12" s="2" t="s">
        <v>18</v>
      </c>
      <c r="F12" s="2">
        <v>98264</v>
      </c>
      <c r="G12" s="2">
        <v>3144</v>
      </c>
      <c r="H12" s="2">
        <v>4904.6400000000003</v>
      </c>
      <c r="I12" s="2">
        <v>129</v>
      </c>
      <c r="J12" s="2">
        <v>23127.27</v>
      </c>
      <c r="K12" s="4">
        <f t="shared" si="0"/>
        <v>3.1995440853211758E-2</v>
      </c>
      <c r="L12" s="6">
        <f t="shared" si="1"/>
        <v>1.56</v>
      </c>
      <c r="M12" s="6">
        <f t="shared" si="2"/>
        <v>38.02046511627907</v>
      </c>
      <c r="N12" s="8">
        <f t="shared" si="3"/>
        <v>4.7153858387159913</v>
      </c>
    </row>
    <row r="13" spans="1:14" x14ac:dyDescent="0.45">
      <c r="A13" s="12">
        <v>45546</v>
      </c>
      <c r="B13" s="2" t="s">
        <v>35</v>
      </c>
      <c r="C13" s="2" t="s">
        <v>24</v>
      </c>
      <c r="D13" s="2" t="s">
        <v>17</v>
      </c>
      <c r="E13" s="2" t="s">
        <v>33</v>
      </c>
      <c r="F13" s="2">
        <v>173229</v>
      </c>
      <c r="G13" s="2">
        <v>5092</v>
      </c>
      <c r="H13" s="2">
        <v>8758.24</v>
      </c>
      <c r="I13" s="2">
        <v>65</v>
      </c>
      <c r="J13" s="2">
        <v>12320.17</v>
      </c>
      <c r="K13" s="4">
        <f t="shared" si="0"/>
        <v>2.9394616374856405E-2</v>
      </c>
      <c r="L13" s="6">
        <f t="shared" si="1"/>
        <v>1.72</v>
      </c>
      <c r="M13" s="6">
        <f t="shared" si="2"/>
        <v>134.74215384615385</v>
      </c>
      <c r="N13" s="8">
        <f t="shared" si="3"/>
        <v>1.4066947240541479</v>
      </c>
    </row>
    <row r="14" spans="1:14" x14ac:dyDescent="0.45">
      <c r="A14" s="12">
        <v>45438</v>
      </c>
      <c r="B14" s="2" t="s">
        <v>35</v>
      </c>
      <c r="C14" s="2" t="s">
        <v>24</v>
      </c>
      <c r="D14" s="2" t="s">
        <v>29</v>
      </c>
      <c r="E14" s="2" t="s">
        <v>33</v>
      </c>
      <c r="F14" s="2">
        <v>147483</v>
      </c>
      <c r="G14" s="2">
        <v>2138</v>
      </c>
      <c r="H14" s="2">
        <v>1218.6600000000001</v>
      </c>
      <c r="I14" s="2">
        <v>159</v>
      </c>
      <c r="J14" s="2">
        <v>42434.18</v>
      </c>
      <c r="K14" s="4">
        <f t="shared" si="0"/>
        <v>1.4496586047205441E-2</v>
      </c>
      <c r="L14" s="6">
        <f t="shared" si="1"/>
        <v>0.57000000000000006</v>
      </c>
      <c r="M14" s="6">
        <f t="shared" si="2"/>
        <v>7.6645283018867927</v>
      </c>
      <c r="N14" s="8">
        <f t="shared" si="3"/>
        <v>34.820360067615248</v>
      </c>
    </row>
    <row r="15" spans="1:14" x14ac:dyDescent="0.45">
      <c r="A15" s="12">
        <v>45351</v>
      </c>
      <c r="B15" s="2" t="s">
        <v>15</v>
      </c>
      <c r="C15" s="2" t="s">
        <v>28</v>
      </c>
      <c r="D15" s="2" t="s">
        <v>29</v>
      </c>
      <c r="E15" s="2" t="s">
        <v>26</v>
      </c>
      <c r="F15" s="2">
        <v>116472</v>
      </c>
      <c r="G15" s="2">
        <v>4006</v>
      </c>
      <c r="H15" s="2">
        <v>10736.08</v>
      </c>
      <c r="I15" s="2">
        <v>291</v>
      </c>
      <c r="J15" s="2">
        <v>78428.38</v>
      </c>
      <c r="K15" s="4">
        <f t="shared" si="0"/>
        <v>3.4394532591524141E-2</v>
      </c>
      <c r="L15" s="6">
        <f t="shared" si="1"/>
        <v>2.68</v>
      </c>
      <c r="M15" s="6">
        <f t="shared" si="2"/>
        <v>36.893745704467356</v>
      </c>
      <c r="N15" s="8">
        <f t="shared" si="3"/>
        <v>7.3051225400704913</v>
      </c>
    </row>
    <row r="16" spans="1:14" x14ac:dyDescent="0.45">
      <c r="A16" s="12">
        <v>45404</v>
      </c>
      <c r="B16" s="2" t="s">
        <v>20</v>
      </c>
      <c r="C16" s="2" t="s">
        <v>28</v>
      </c>
      <c r="D16" s="2" t="s">
        <v>21</v>
      </c>
      <c r="E16" s="2" t="s">
        <v>33</v>
      </c>
      <c r="F16" s="2">
        <v>37711</v>
      </c>
      <c r="G16" s="2">
        <v>2111</v>
      </c>
      <c r="H16" s="2">
        <v>1435.48</v>
      </c>
      <c r="I16" s="2">
        <v>92</v>
      </c>
      <c r="J16" s="2">
        <v>13898.86</v>
      </c>
      <c r="K16" s="4">
        <f t="shared" si="0"/>
        <v>5.5978361751213172E-2</v>
      </c>
      <c r="L16" s="6">
        <f t="shared" si="1"/>
        <v>0.68</v>
      </c>
      <c r="M16" s="6">
        <f t="shared" si="2"/>
        <v>15.60304347826087</v>
      </c>
      <c r="N16" s="8">
        <f t="shared" si="3"/>
        <v>9.6823780198957845</v>
      </c>
    </row>
    <row r="17" spans="1:14" x14ac:dyDescent="0.45">
      <c r="A17" s="12">
        <v>45580</v>
      </c>
      <c r="B17" s="2" t="s">
        <v>20</v>
      </c>
      <c r="C17" s="2" t="s">
        <v>28</v>
      </c>
      <c r="D17" s="2" t="s">
        <v>41</v>
      </c>
      <c r="E17" s="2" t="s">
        <v>30</v>
      </c>
      <c r="F17" s="2">
        <v>96412</v>
      </c>
      <c r="G17" s="2">
        <v>7047</v>
      </c>
      <c r="H17" s="2">
        <v>7822.17</v>
      </c>
      <c r="I17" s="2">
        <v>194</v>
      </c>
      <c r="J17" s="2">
        <v>36717.43</v>
      </c>
      <c r="K17" s="4">
        <f t="shared" si="0"/>
        <v>7.3092561091980257E-2</v>
      </c>
      <c r="L17" s="6">
        <f t="shared" si="1"/>
        <v>1.1100000000000001</v>
      </c>
      <c r="M17" s="6">
        <f t="shared" si="2"/>
        <v>40.320463917525771</v>
      </c>
      <c r="N17" s="8">
        <f t="shared" si="3"/>
        <v>4.6940209686058987</v>
      </c>
    </row>
    <row r="18" spans="1:14" x14ac:dyDescent="0.45">
      <c r="A18" s="12">
        <v>45517</v>
      </c>
      <c r="B18" s="2" t="s">
        <v>20</v>
      </c>
      <c r="C18" s="2" t="s">
        <v>24</v>
      </c>
      <c r="D18" s="2" t="s">
        <v>17</v>
      </c>
      <c r="E18" s="2" t="s">
        <v>33</v>
      </c>
      <c r="F18" s="2">
        <v>184476</v>
      </c>
      <c r="G18" s="2">
        <v>8854</v>
      </c>
      <c r="H18" s="2">
        <v>3098.9</v>
      </c>
      <c r="I18" s="2">
        <v>198</v>
      </c>
      <c r="J18" s="2">
        <v>56216.92</v>
      </c>
      <c r="K18" s="4">
        <f t="shared" si="0"/>
        <v>4.7995403196079707E-2</v>
      </c>
      <c r="L18" s="6">
        <f t="shared" si="1"/>
        <v>0.35000000000000003</v>
      </c>
      <c r="M18" s="6">
        <f t="shared" si="2"/>
        <v>15.651010101010101</v>
      </c>
      <c r="N18" s="8">
        <f t="shared" si="3"/>
        <v>18.140927425860788</v>
      </c>
    </row>
    <row r="19" spans="1:14" x14ac:dyDescent="0.45">
      <c r="A19" s="12">
        <v>45524</v>
      </c>
      <c r="B19" s="2" t="s">
        <v>20</v>
      </c>
      <c r="C19" s="2" t="s">
        <v>16</v>
      </c>
      <c r="D19" s="2" t="s">
        <v>17</v>
      </c>
      <c r="E19" s="2" t="s">
        <v>30</v>
      </c>
      <c r="F19" s="2">
        <v>38828</v>
      </c>
      <c r="G19" s="2">
        <v>3607</v>
      </c>
      <c r="H19" s="2">
        <v>3498.79</v>
      </c>
      <c r="I19" s="2">
        <v>116</v>
      </c>
      <c r="J19" s="2">
        <v>8788.51</v>
      </c>
      <c r="K19" s="4">
        <f t="shared" si="0"/>
        <v>9.2896878541258887E-2</v>
      </c>
      <c r="L19" s="6">
        <f t="shared" si="1"/>
        <v>0.97</v>
      </c>
      <c r="M19" s="6">
        <f t="shared" si="2"/>
        <v>30.161982758620688</v>
      </c>
      <c r="N19" s="8">
        <f t="shared" si="3"/>
        <v>2.5118712469167912</v>
      </c>
    </row>
    <row r="20" spans="1:14" x14ac:dyDescent="0.45">
      <c r="A20" s="12">
        <v>45651</v>
      </c>
      <c r="B20" s="2" t="s">
        <v>35</v>
      </c>
      <c r="C20" s="2" t="s">
        <v>24</v>
      </c>
      <c r="D20" s="2" t="s">
        <v>29</v>
      </c>
      <c r="E20" s="2" t="s">
        <v>33</v>
      </c>
      <c r="F20" s="2">
        <v>187957</v>
      </c>
      <c r="G20" s="2">
        <v>4586</v>
      </c>
      <c r="H20" s="2">
        <v>9630.6</v>
      </c>
      <c r="I20" s="2">
        <v>271</v>
      </c>
      <c r="J20" s="2">
        <v>34433.97</v>
      </c>
      <c r="K20" s="4">
        <f t="shared" si="0"/>
        <v>2.4399197688833085E-2</v>
      </c>
      <c r="L20" s="6">
        <f t="shared" si="1"/>
        <v>2.1</v>
      </c>
      <c r="M20" s="6">
        <f t="shared" si="2"/>
        <v>35.537269372693729</v>
      </c>
      <c r="N20" s="8">
        <f t="shared" si="3"/>
        <v>3.5754750482835962</v>
      </c>
    </row>
    <row r="21" spans="1:14" x14ac:dyDescent="0.45">
      <c r="A21" s="12">
        <v>45597</v>
      </c>
      <c r="B21" s="2" t="s">
        <v>15</v>
      </c>
      <c r="C21" s="2" t="s">
        <v>24</v>
      </c>
      <c r="D21" s="2" t="s">
        <v>29</v>
      </c>
      <c r="E21" s="2" t="s">
        <v>33</v>
      </c>
      <c r="F21" s="2">
        <v>34592</v>
      </c>
      <c r="G21" s="2">
        <v>1615</v>
      </c>
      <c r="H21" s="2">
        <v>1857.25</v>
      </c>
      <c r="I21" s="2">
        <v>116</v>
      </c>
      <c r="J21" s="2">
        <v>4344.96</v>
      </c>
      <c r="K21" s="4">
        <f t="shared" si="0"/>
        <v>4.6687095282146159E-2</v>
      </c>
      <c r="L21" s="6">
        <f t="shared" si="1"/>
        <v>1.1499999999999999</v>
      </c>
      <c r="M21" s="6">
        <f t="shared" si="2"/>
        <v>16.010775862068964</v>
      </c>
      <c r="N21" s="8">
        <f t="shared" si="3"/>
        <v>2.3394588773724592</v>
      </c>
    </row>
    <row r="22" spans="1:14" x14ac:dyDescent="0.45">
      <c r="A22" s="12">
        <v>45477</v>
      </c>
      <c r="B22" s="2" t="s">
        <v>35</v>
      </c>
      <c r="C22" s="2" t="s">
        <v>28</v>
      </c>
      <c r="D22" s="2" t="s">
        <v>17</v>
      </c>
      <c r="E22" s="2" t="s">
        <v>26</v>
      </c>
      <c r="F22" s="2">
        <v>185798</v>
      </c>
      <c r="G22" s="2">
        <v>5889</v>
      </c>
      <c r="H22" s="2">
        <v>5300.1</v>
      </c>
      <c r="I22" s="2">
        <v>400</v>
      </c>
      <c r="J22" s="2">
        <v>41326.629999999997</v>
      </c>
      <c r="K22" s="4">
        <f t="shared" si="0"/>
        <v>3.1695712548036041E-2</v>
      </c>
      <c r="L22" s="6">
        <f t="shared" si="1"/>
        <v>0.9</v>
      </c>
      <c r="M22" s="6">
        <f t="shared" si="2"/>
        <v>13.250250000000001</v>
      </c>
      <c r="N22" s="8">
        <f t="shared" si="3"/>
        <v>7.7973302390520924</v>
      </c>
    </row>
    <row r="23" spans="1:14" x14ac:dyDescent="0.45">
      <c r="A23" s="12">
        <v>45656</v>
      </c>
      <c r="B23" s="2" t="s">
        <v>20</v>
      </c>
      <c r="C23" s="2" t="s">
        <v>24</v>
      </c>
      <c r="D23" s="2" t="s">
        <v>21</v>
      </c>
      <c r="E23" s="2" t="s">
        <v>51</v>
      </c>
      <c r="F23" s="2">
        <v>194407</v>
      </c>
      <c r="G23" s="2">
        <v>13122</v>
      </c>
      <c r="H23" s="2">
        <v>11153.7</v>
      </c>
      <c r="I23" s="2">
        <v>379</v>
      </c>
      <c r="J23" s="2">
        <v>56289.95</v>
      </c>
      <c r="K23" s="4">
        <f t="shared" si="0"/>
        <v>6.7497569531961302E-2</v>
      </c>
      <c r="L23" s="6">
        <f t="shared" si="1"/>
        <v>0.85000000000000009</v>
      </c>
      <c r="M23" s="6">
        <f t="shared" si="2"/>
        <v>29.429287598944594</v>
      </c>
      <c r="N23" s="8">
        <f t="shared" si="3"/>
        <v>5.0467513022584427</v>
      </c>
    </row>
    <row r="24" spans="1:14" x14ac:dyDescent="0.45">
      <c r="A24" s="12">
        <v>45609</v>
      </c>
      <c r="B24" s="2" t="s">
        <v>15</v>
      </c>
      <c r="C24" s="2" t="s">
        <v>16</v>
      </c>
      <c r="D24" s="2" t="s">
        <v>29</v>
      </c>
      <c r="E24" s="2" t="s">
        <v>18</v>
      </c>
      <c r="F24" s="2">
        <v>188062</v>
      </c>
      <c r="G24" s="2">
        <v>8143</v>
      </c>
      <c r="H24" s="2">
        <v>14657.4</v>
      </c>
      <c r="I24" s="2">
        <v>614</v>
      </c>
      <c r="J24" s="2">
        <v>124232.5</v>
      </c>
      <c r="K24" s="4">
        <f t="shared" si="0"/>
        <v>4.3299550148355327E-2</v>
      </c>
      <c r="L24" s="6">
        <f t="shared" si="1"/>
        <v>1.8</v>
      </c>
      <c r="M24" s="6">
        <f t="shared" si="2"/>
        <v>23.871986970684038</v>
      </c>
      <c r="N24" s="8">
        <f t="shared" si="3"/>
        <v>8.4757528620355593</v>
      </c>
    </row>
    <row r="25" spans="1:14" x14ac:dyDescent="0.45">
      <c r="A25" s="12">
        <v>45640</v>
      </c>
      <c r="B25" s="2" t="s">
        <v>35</v>
      </c>
      <c r="C25" s="2" t="s">
        <v>28</v>
      </c>
      <c r="D25" s="2" t="s">
        <v>25</v>
      </c>
      <c r="E25" s="2" t="s">
        <v>51</v>
      </c>
      <c r="F25" s="2">
        <v>195710</v>
      </c>
      <c r="G25" s="2">
        <v>4481</v>
      </c>
      <c r="H25" s="2">
        <v>2374.9299999999998</v>
      </c>
      <c r="I25" s="2">
        <v>352</v>
      </c>
      <c r="J25" s="2">
        <v>27223.39</v>
      </c>
      <c r="K25" s="4">
        <f t="shared" si="0"/>
        <v>2.2896121812886413E-2</v>
      </c>
      <c r="L25" s="6">
        <f t="shared" si="1"/>
        <v>0.52999999999999992</v>
      </c>
      <c r="M25" s="6">
        <f t="shared" si="2"/>
        <v>6.7469602272727265</v>
      </c>
      <c r="N25" s="8">
        <f t="shared" si="3"/>
        <v>11.462817851473517</v>
      </c>
    </row>
    <row r="26" spans="1:14" x14ac:dyDescent="0.45">
      <c r="A26" s="12">
        <v>45391</v>
      </c>
      <c r="B26" s="2" t="s">
        <v>15</v>
      </c>
      <c r="C26" s="2" t="s">
        <v>38</v>
      </c>
      <c r="D26" s="2" t="s">
        <v>25</v>
      </c>
      <c r="E26" s="2" t="s">
        <v>54</v>
      </c>
      <c r="F26" s="2">
        <v>198824</v>
      </c>
      <c r="G26" s="2">
        <v>9046</v>
      </c>
      <c r="H26" s="2">
        <v>32656.06</v>
      </c>
      <c r="I26" s="2">
        <v>407</v>
      </c>
      <c r="J26" s="2">
        <v>71482.19</v>
      </c>
      <c r="K26" s="4">
        <f t="shared" si="0"/>
        <v>4.5497525449643909E-2</v>
      </c>
      <c r="L26" s="6">
        <f t="shared" si="1"/>
        <v>3.6100000000000003</v>
      </c>
      <c r="M26" s="6">
        <f t="shared" si="2"/>
        <v>80.236019656019664</v>
      </c>
      <c r="N26" s="8">
        <f t="shared" si="3"/>
        <v>2.1889410418770665</v>
      </c>
    </row>
    <row r="27" spans="1:14" x14ac:dyDescent="0.45">
      <c r="A27" s="12">
        <v>45451</v>
      </c>
      <c r="B27" s="2" t="s">
        <v>35</v>
      </c>
      <c r="C27" s="2" t="s">
        <v>28</v>
      </c>
      <c r="D27" s="2" t="s">
        <v>29</v>
      </c>
      <c r="E27" s="2" t="s">
        <v>26</v>
      </c>
      <c r="F27" s="2">
        <v>196962</v>
      </c>
      <c r="G27" s="2">
        <v>5081</v>
      </c>
      <c r="H27" s="2">
        <v>10466.86</v>
      </c>
      <c r="I27" s="2">
        <v>282</v>
      </c>
      <c r="J27" s="2">
        <v>24196.95</v>
      </c>
      <c r="K27" s="4">
        <f t="shared" si="0"/>
        <v>2.579685421553396E-2</v>
      </c>
      <c r="L27" s="6">
        <f t="shared" si="1"/>
        <v>2.06</v>
      </c>
      <c r="M27" s="6">
        <f t="shared" si="2"/>
        <v>37.116524822695041</v>
      </c>
      <c r="N27" s="8">
        <f t="shared" si="3"/>
        <v>2.3117678081105506</v>
      </c>
    </row>
    <row r="28" spans="1:14" x14ac:dyDescent="0.45">
      <c r="A28" s="12">
        <v>45533</v>
      </c>
      <c r="B28" s="2" t="s">
        <v>15</v>
      </c>
      <c r="C28" s="2" t="s">
        <v>28</v>
      </c>
      <c r="D28" s="2" t="s">
        <v>29</v>
      </c>
      <c r="E28" s="2" t="s">
        <v>18</v>
      </c>
      <c r="F28" s="2">
        <v>105386</v>
      </c>
      <c r="G28" s="2">
        <v>3783</v>
      </c>
      <c r="H28" s="2">
        <v>6885.06</v>
      </c>
      <c r="I28" s="2">
        <v>130</v>
      </c>
      <c r="J28" s="2">
        <v>36776.35</v>
      </c>
      <c r="K28" s="4">
        <f t="shared" si="0"/>
        <v>3.589660865769647E-2</v>
      </c>
      <c r="L28" s="6">
        <f t="shared" si="1"/>
        <v>1.82</v>
      </c>
      <c r="M28" s="6">
        <f t="shared" si="2"/>
        <v>52.962000000000003</v>
      </c>
      <c r="N28" s="8">
        <f t="shared" si="3"/>
        <v>5.3414712435330989</v>
      </c>
    </row>
    <row r="29" spans="1:14" x14ac:dyDescent="0.45">
      <c r="A29" s="12">
        <v>45540</v>
      </c>
      <c r="B29" s="2" t="s">
        <v>15</v>
      </c>
      <c r="C29" s="2" t="s">
        <v>16</v>
      </c>
      <c r="D29" s="2" t="s">
        <v>25</v>
      </c>
      <c r="E29" s="2" t="s">
        <v>18</v>
      </c>
      <c r="F29" s="2">
        <v>49425</v>
      </c>
      <c r="G29" s="2">
        <v>1996</v>
      </c>
      <c r="H29" s="2">
        <v>2534.92</v>
      </c>
      <c r="I29" s="2">
        <v>98</v>
      </c>
      <c r="J29" s="2">
        <v>9253.27</v>
      </c>
      <c r="K29" s="4">
        <f t="shared" si="0"/>
        <v>4.0384420839656043E-2</v>
      </c>
      <c r="L29" s="6">
        <f t="shared" si="1"/>
        <v>1.27</v>
      </c>
      <c r="M29" s="6">
        <f t="shared" si="2"/>
        <v>25.866530612244897</v>
      </c>
      <c r="N29" s="8">
        <f t="shared" si="3"/>
        <v>3.6503203256907515</v>
      </c>
    </row>
    <row r="30" spans="1:14" x14ac:dyDescent="0.45">
      <c r="A30" s="12">
        <v>45652</v>
      </c>
      <c r="B30" s="2" t="s">
        <v>35</v>
      </c>
      <c r="C30" s="2" t="s">
        <v>24</v>
      </c>
      <c r="D30" s="2" t="s">
        <v>41</v>
      </c>
      <c r="E30" s="2" t="s">
        <v>33</v>
      </c>
      <c r="F30" s="2">
        <v>191141</v>
      </c>
      <c r="G30" s="2">
        <v>4453</v>
      </c>
      <c r="H30" s="2">
        <v>5477.19</v>
      </c>
      <c r="I30" s="2">
        <v>72</v>
      </c>
      <c r="J30" s="2">
        <v>8367.4599999999991</v>
      </c>
      <c r="K30" s="4">
        <f t="shared" si="0"/>
        <v>2.3296937862624972E-2</v>
      </c>
      <c r="L30" s="6">
        <f t="shared" si="1"/>
        <v>1.23</v>
      </c>
      <c r="M30" s="6">
        <f t="shared" si="2"/>
        <v>76.072083333333325</v>
      </c>
      <c r="N30" s="8">
        <f t="shared" si="3"/>
        <v>1.5276921194992321</v>
      </c>
    </row>
    <row r="31" spans="1:14" x14ac:dyDescent="0.45">
      <c r="A31" s="12">
        <v>45435</v>
      </c>
      <c r="B31" s="2" t="s">
        <v>20</v>
      </c>
      <c r="C31" s="2" t="s">
        <v>28</v>
      </c>
      <c r="D31" s="2" t="s">
        <v>21</v>
      </c>
      <c r="E31" s="2" t="s">
        <v>33</v>
      </c>
      <c r="F31" s="2">
        <v>91900</v>
      </c>
      <c r="G31" s="2">
        <v>4696</v>
      </c>
      <c r="H31" s="2">
        <v>2488.88</v>
      </c>
      <c r="I31" s="2">
        <v>367</v>
      </c>
      <c r="J31" s="2">
        <v>109696.83</v>
      </c>
      <c r="K31" s="4">
        <f t="shared" si="0"/>
        <v>5.1099020674646355E-2</v>
      </c>
      <c r="L31" s="6">
        <f t="shared" si="1"/>
        <v>0.53</v>
      </c>
      <c r="M31" s="6">
        <f t="shared" si="2"/>
        <v>6.7816893732970032</v>
      </c>
      <c r="N31" s="8">
        <f t="shared" si="3"/>
        <v>44.074776606345019</v>
      </c>
    </row>
    <row r="32" spans="1:14" x14ac:dyDescent="0.45">
      <c r="A32" s="12">
        <v>45622</v>
      </c>
      <c r="B32" s="2" t="s">
        <v>15</v>
      </c>
      <c r="C32" s="2" t="s">
        <v>24</v>
      </c>
      <c r="D32" s="2" t="s">
        <v>25</v>
      </c>
      <c r="E32" s="2" t="s">
        <v>33</v>
      </c>
      <c r="F32" s="2">
        <v>11801</v>
      </c>
      <c r="G32" s="2">
        <v>795</v>
      </c>
      <c r="H32" s="2">
        <v>2361.15</v>
      </c>
      <c r="I32" s="2">
        <v>57</v>
      </c>
      <c r="J32" s="2">
        <v>3966.25</v>
      </c>
      <c r="K32" s="4">
        <f t="shared" si="0"/>
        <v>6.7367172273536141E-2</v>
      </c>
      <c r="L32" s="6">
        <f t="shared" si="1"/>
        <v>2.97</v>
      </c>
      <c r="M32" s="6">
        <f t="shared" si="2"/>
        <v>41.423684210526318</v>
      </c>
      <c r="N32" s="8">
        <f t="shared" si="3"/>
        <v>1.6797958621857991</v>
      </c>
    </row>
    <row r="33" spans="1:14" x14ac:dyDescent="0.45">
      <c r="A33" s="12">
        <v>45612</v>
      </c>
      <c r="B33" s="2" t="s">
        <v>35</v>
      </c>
      <c r="C33" s="2" t="s">
        <v>38</v>
      </c>
      <c r="D33" s="2" t="s">
        <v>17</v>
      </c>
      <c r="E33" s="2" t="s">
        <v>18</v>
      </c>
      <c r="F33" s="2">
        <v>193926</v>
      </c>
      <c r="G33" s="2">
        <v>5837</v>
      </c>
      <c r="H33" s="2">
        <v>5837</v>
      </c>
      <c r="I33" s="2">
        <v>193</v>
      </c>
      <c r="J33" s="2">
        <v>28429.29</v>
      </c>
      <c r="K33" s="4">
        <f t="shared" si="0"/>
        <v>3.0099109969782288E-2</v>
      </c>
      <c r="L33" s="6">
        <f t="shared" si="1"/>
        <v>1</v>
      </c>
      <c r="M33" s="6">
        <f t="shared" si="2"/>
        <v>30.243523316062177</v>
      </c>
      <c r="N33" s="8">
        <f t="shared" si="3"/>
        <v>4.870531094740449</v>
      </c>
    </row>
    <row r="34" spans="1:14" x14ac:dyDescent="0.45">
      <c r="A34" s="12">
        <v>45349</v>
      </c>
      <c r="B34" s="2" t="s">
        <v>15</v>
      </c>
      <c r="C34" s="2" t="s">
        <v>38</v>
      </c>
      <c r="D34" s="2" t="s">
        <v>21</v>
      </c>
      <c r="E34" s="2" t="s">
        <v>51</v>
      </c>
      <c r="F34" s="2">
        <v>35355</v>
      </c>
      <c r="G34" s="2">
        <v>961</v>
      </c>
      <c r="H34" s="2">
        <v>2133.42</v>
      </c>
      <c r="I34" s="2">
        <v>68</v>
      </c>
      <c r="J34" s="2">
        <v>6145.22</v>
      </c>
      <c r="K34" s="4">
        <f t="shared" si="0"/>
        <v>2.7181445340121624E-2</v>
      </c>
      <c r="L34" s="6">
        <f t="shared" si="1"/>
        <v>2.2200000000000002</v>
      </c>
      <c r="M34" s="6">
        <f t="shared" si="2"/>
        <v>31.373823529411766</v>
      </c>
      <c r="N34" s="8">
        <f t="shared" si="3"/>
        <v>2.8804548565214541</v>
      </c>
    </row>
    <row r="35" spans="1:14" x14ac:dyDescent="0.45">
      <c r="A35" s="12">
        <v>45608</v>
      </c>
      <c r="B35" s="2" t="s">
        <v>20</v>
      </c>
      <c r="C35" s="2" t="s">
        <v>28</v>
      </c>
      <c r="D35" s="2" t="s">
        <v>25</v>
      </c>
      <c r="E35" s="2" t="s">
        <v>18</v>
      </c>
      <c r="F35" s="2">
        <v>133148</v>
      </c>
      <c r="G35" s="2">
        <v>9120</v>
      </c>
      <c r="H35" s="2">
        <v>4560</v>
      </c>
      <c r="I35" s="2">
        <v>279</v>
      </c>
      <c r="J35" s="2">
        <v>83385.98</v>
      </c>
      <c r="K35" s="4">
        <f t="shared" si="0"/>
        <v>6.8495208339592037E-2</v>
      </c>
      <c r="L35" s="6">
        <f t="shared" si="1"/>
        <v>0.5</v>
      </c>
      <c r="M35" s="6">
        <f t="shared" si="2"/>
        <v>16.344086021505376</v>
      </c>
      <c r="N35" s="8">
        <f t="shared" si="3"/>
        <v>18.286399122807016</v>
      </c>
    </row>
    <row r="36" spans="1:14" x14ac:dyDescent="0.45">
      <c r="A36" s="12">
        <v>45303</v>
      </c>
      <c r="B36" s="2" t="s">
        <v>35</v>
      </c>
      <c r="C36" s="2" t="s">
        <v>24</v>
      </c>
      <c r="D36" s="2" t="s">
        <v>41</v>
      </c>
      <c r="E36" s="2" t="s">
        <v>33</v>
      </c>
      <c r="F36" s="2">
        <v>104657</v>
      </c>
      <c r="G36" s="2">
        <v>4029</v>
      </c>
      <c r="H36" s="2">
        <v>2860.59</v>
      </c>
      <c r="I36" s="2">
        <v>204</v>
      </c>
      <c r="J36" s="2">
        <v>10401.620000000001</v>
      </c>
      <c r="K36" s="4">
        <f t="shared" si="0"/>
        <v>3.8497186045844997E-2</v>
      </c>
      <c r="L36" s="6">
        <f t="shared" si="1"/>
        <v>0.71000000000000008</v>
      </c>
      <c r="M36" s="6">
        <f t="shared" si="2"/>
        <v>14.022500000000001</v>
      </c>
      <c r="N36" s="8">
        <f t="shared" si="3"/>
        <v>3.6361799488916624</v>
      </c>
    </row>
    <row r="37" spans="1:14" x14ac:dyDescent="0.45">
      <c r="A37" s="12">
        <v>45436</v>
      </c>
      <c r="B37" s="2" t="s">
        <v>20</v>
      </c>
      <c r="C37" s="2" t="s">
        <v>28</v>
      </c>
      <c r="D37" s="2" t="s">
        <v>17</v>
      </c>
      <c r="E37" s="2" t="s">
        <v>51</v>
      </c>
      <c r="F37" s="2">
        <v>174160</v>
      </c>
      <c r="G37" s="2">
        <v>9683</v>
      </c>
      <c r="H37" s="2">
        <v>17816.72</v>
      </c>
      <c r="I37" s="2">
        <v>512</v>
      </c>
      <c r="J37" s="2">
        <v>73177.919999999998</v>
      </c>
      <c r="K37" s="4">
        <f t="shared" si="0"/>
        <v>5.5598300413412953E-2</v>
      </c>
      <c r="L37" s="6">
        <f t="shared" si="1"/>
        <v>1.84</v>
      </c>
      <c r="M37" s="6">
        <f t="shared" si="2"/>
        <v>34.798281250000002</v>
      </c>
      <c r="N37" s="8">
        <f t="shared" si="3"/>
        <v>4.1072610446816249</v>
      </c>
    </row>
    <row r="38" spans="1:14" x14ac:dyDescent="0.45">
      <c r="A38" s="12">
        <v>45296</v>
      </c>
      <c r="B38" s="2" t="s">
        <v>20</v>
      </c>
      <c r="C38" s="2" t="s">
        <v>38</v>
      </c>
      <c r="D38" s="2" t="s">
        <v>17</v>
      </c>
      <c r="E38" s="2" t="s">
        <v>18</v>
      </c>
      <c r="F38" s="2">
        <v>6015</v>
      </c>
      <c r="G38" s="2">
        <v>410</v>
      </c>
      <c r="H38" s="2">
        <v>791.3</v>
      </c>
      <c r="I38" s="2">
        <v>28</v>
      </c>
      <c r="J38" s="2">
        <v>4383.32</v>
      </c>
      <c r="K38" s="4">
        <f t="shared" si="0"/>
        <v>6.816292601828762E-2</v>
      </c>
      <c r="L38" s="6">
        <f t="shared" si="1"/>
        <v>1.93</v>
      </c>
      <c r="M38" s="6">
        <f t="shared" si="2"/>
        <v>28.260714285714283</v>
      </c>
      <c r="N38" s="8">
        <f t="shared" si="3"/>
        <v>5.5393908757740427</v>
      </c>
    </row>
    <row r="39" spans="1:14" x14ac:dyDescent="0.45">
      <c r="A39" s="12">
        <v>45297</v>
      </c>
      <c r="B39" s="2" t="s">
        <v>35</v>
      </c>
      <c r="C39" s="2" t="s">
        <v>16</v>
      </c>
      <c r="D39" s="2" t="s">
        <v>25</v>
      </c>
      <c r="E39" s="2" t="s">
        <v>54</v>
      </c>
      <c r="F39" s="2">
        <v>17763</v>
      </c>
      <c r="G39" s="2">
        <v>726</v>
      </c>
      <c r="H39" s="2">
        <v>1408.44</v>
      </c>
      <c r="I39" s="2">
        <v>30</v>
      </c>
      <c r="J39" s="2">
        <v>1946.19</v>
      </c>
      <c r="K39" s="4">
        <f t="shared" si="0"/>
        <v>4.0871474413105895E-2</v>
      </c>
      <c r="L39" s="6">
        <f t="shared" si="1"/>
        <v>1.9400000000000002</v>
      </c>
      <c r="M39" s="6">
        <f t="shared" si="2"/>
        <v>46.948</v>
      </c>
      <c r="N39" s="8">
        <f t="shared" si="3"/>
        <v>1.381805401721053</v>
      </c>
    </row>
    <row r="40" spans="1:14" x14ac:dyDescent="0.45">
      <c r="A40" s="12">
        <v>45579</v>
      </c>
      <c r="B40" s="2" t="s">
        <v>20</v>
      </c>
      <c r="C40" s="2" t="s">
        <v>16</v>
      </c>
      <c r="D40" s="2" t="s">
        <v>21</v>
      </c>
      <c r="E40" s="2" t="s">
        <v>51</v>
      </c>
      <c r="F40" s="2">
        <v>97193</v>
      </c>
      <c r="G40" s="2">
        <v>6230</v>
      </c>
      <c r="H40" s="2">
        <v>9968</v>
      </c>
      <c r="I40" s="2">
        <v>306</v>
      </c>
      <c r="J40" s="2">
        <v>81609.119999999995</v>
      </c>
      <c r="K40" s="4">
        <f t="shared" si="0"/>
        <v>6.4099266408074659E-2</v>
      </c>
      <c r="L40" s="6">
        <f t="shared" si="1"/>
        <v>1.6</v>
      </c>
      <c r="M40" s="6">
        <f t="shared" si="2"/>
        <v>32.575163398692808</v>
      </c>
      <c r="N40" s="8">
        <f t="shared" si="3"/>
        <v>8.1871107544141246</v>
      </c>
    </row>
    <row r="41" spans="1:14" x14ac:dyDescent="0.45">
      <c r="A41" s="12">
        <v>45357</v>
      </c>
      <c r="B41" s="2" t="s">
        <v>35</v>
      </c>
      <c r="C41" s="2" t="s">
        <v>28</v>
      </c>
      <c r="D41" s="2" t="s">
        <v>25</v>
      </c>
      <c r="E41" s="2" t="s">
        <v>18</v>
      </c>
      <c r="F41" s="2">
        <v>58682</v>
      </c>
      <c r="G41" s="2">
        <v>1748</v>
      </c>
      <c r="H41" s="2">
        <v>2604.52</v>
      </c>
      <c r="I41" s="2">
        <v>84</v>
      </c>
      <c r="J41" s="2">
        <v>12746.65</v>
      </c>
      <c r="K41" s="4">
        <f t="shared" si="0"/>
        <v>2.9787669131931427E-2</v>
      </c>
      <c r="L41" s="6">
        <f t="shared" si="1"/>
        <v>1.49</v>
      </c>
      <c r="M41" s="6">
        <f t="shared" si="2"/>
        <v>31.006190476190476</v>
      </c>
      <c r="N41" s="8">
        <f t="shared" si="3"/>
        <v>4.8940495753536162</v>
      </c>
    </row>
    <row r="42" spans="1:14" x14ac:dyDescent="0.45">
      <c r="A42" s="12">
        <v>45372</v>
      </c>
      <c r="B42" s="2" t="s">
        <v>20</v>
      </c>
      <c r="C42" s="2" t="s">
        <v>38</v>
      </c>
      <c r="D42" s="2" t="s">
        <v>29</v>
      </c>
      <c r="E42" s="2" t="s">
        <v>33</v>
      </c>
      <c r="F42" s="2">
        <v>108196</v>
      </c>
      <c r="G42" s="2">
        <v>5334</v>
      </c>
      <c r="H42" s="2">
        <v>5280.66</v>
      </c>
      <c r="I42" s="2">
        <v>289</v>
      </c>
      <c r="J42" s="2">
        <v>27408.560000000001</v>
      </c>
      <c r="K42" s="4">
        <f t="shared" si="0"/>
        <v>4.9299419571888055E-2</v>
      </c>
      <c r="L42" s="6">
        <f t="shared" si="1"/>
        <v>0.99</v>
      </c>
      <c r="M42" s="6">
        <f t="shared" si="2"/>
        <v>18.272179930795847</v>
      </c>
      <c r="N42" s="8">
        <f t="shared" si="3"/>
        <v>5.1903663557206867</v>
      </c>
    </row>
    <row r="43" spans="1:14" x14ac:dyDescent="0.45">
      <c r="A43" s="12">
        <v>45299</v>
      </c>
      <c r="B43" s="2" t="s">
        <v>15</v>
      </c>
      <c r="C43" s="2" t="s">
        <v>16</v>
      </c>
      <c r="D43" s="2" t="s">
        <v>17</v>
      </c>
      <c r="E43" s="2" t="s">
        <v>51</v>
      </c>
      <c r="F43" s="2">
        <v>63243</v>
      </c>
      <c r="G43" s="2">
        <v>1707</v>
      </c>
      <c r="H43" s="2">
        <v>3823.68</v>
      </c>
      <c r="I43" s="2">
        <v>37</v>
      </c>
      <c r="J43" s="2">
        <v>3893.12</v>
      </c>
      <c r="K43" s="4">
        <f t="shared" si="0"/>
        <v>2.6991129453062E-2</v>
      </c>
      <c r="L43" s="6">
        <f t="shared" si="1"/>
        <v>2.2399999999999998</v>
      </c>
      <c r="M43" s="6">
        <f t="shared" si="2"/>
        <v>103.3427027027027</v>
      </c>
      <c r="N43" s="8">
        <f t="shared" si="3"/>
        <v>1.0181605155243116</v>
      </c>
    </row>
    <row r="44" spans="1:14" x14ac:dyDescent="0.45">
      <c r="A44" s="12">
        <v>45524</v>
      </c>
      <c r="B44" s="2" t="s">
        <v>15</v>
      </c>
      <c r="C44" s="2" t="s">
        <v>16</v>
      </c>
      <c r="D44" s="2" t="s">
        <v>41</v>
      </c>
      <c r="E44" s="2" t="s">
        <v>18</v>
      </c>
      <c r="F44" s="2">
        <v>152979</v>
      </c>
      <c r="G44" s="2">
        <v>4650</v>
      </c>
      <c r="H44" s="2">
        <v>3673.5</v>
      </c>
      <c r="I44" s="2">
        <v>330</v>
      </c>
      <c r="J44" s="2">
        <v>91949.73</v>
      </c>
      <c r="K44" s="4">
        <f t="shared" si="0"/>
        <v>3.039632890788932E-2</v>
      </c>
      <c r="L44" s="6">
        <f t="shared" si="1"/>
        <v>0.79</v>
      </c>
      <c r="M44" s="6">
        <f t="shared" si="2"/>
        <v>11.131818181818181</v>
      </c>
      <c r="N44" s="8">
        <f t="shared" si="3"/>
        <v>25.030551245406286</v>
      </c>
    </row>
    <row r="45" spans="1:14" x14ac:dyDescent="0.45">
      <c r="A45" s="12">
        <v>45299</v>
      </c>
      <c r="B45" s="2" t="s">
        <v>15</v>
      </c>
      <c r="C45" s="2" t="s">
        <v>38</v>
      </c>
      <c r="D45" s="2" t="s">
        <v>21</v>
      </c>
      <c r="E45" s="2" t="s">
        <v>26</v>
      </c>
      <c r="F45" s="2">
        <v>132600</v>
      </c>
      <c r="G45" s="2">
        <v>6802</v>
      </c>
      <c r="H45" s="2">
        <v>10407.06</v>
      </c>
      <c r="I45" s="2">
        <v>97</v>
      </c>
      <c r="J45" s="2">
        <v>6779.29</v>
      </c>
      <c r="K45" s="4">
        <f t="shared" si="0"/>
        <v>5.1297134238310706E-2</v>
      </c>
      <c r="L45" s="6">
        <f t="shared" si="1"/>
        <v>1.53</v>
      </c>
      <c r="M45" s="6">
        <f t="shared" si="2"/>
        <v>107.28927835051546</v>
      </c>
      <c r="N45" s="8">
        <f t="shared" si="3"/>
        <v>0.65141259875507596</v>
      </c>
    </row>
    <row r="46" spans="1:14" x14ac:dyDescent="0.45">
      <c r="A46" s="12">
        <v>45565</v>
      </c>
      <c r="B46" s="2" t="s">
        <v>15</v>
      </c>
      <c r="C46" s="2" t="s">
        <v>24</v>
      </c>
      <c r="D46" s="2" t="s">
        <v>17</v>
      </c>
      <c r="E46" s="2" t="s">
        <v>54</v>
      </c>
      <c r="F46" s="2">
        <v>110977</v>
      </c>
      <c r="G46" s="2">
        <v>4150</v>
      </c>
      <c r="H46" s="2">
        <v>4689.5</v>
      </c>
      <c r="I46" s="2">
        <v>197</v>
      </c>
      <c r="J46" s="2">
        <v>18314.78</v>
      </c>
      <c r="K46" s="4">
        <f t="shared" si="0"/>
        <v>3.7395135929066382E-2</v>
      </c>
      <c r="L46" s="6">
        <f t="shared" si="1"/>
        <v>1.1299999999999999</v>
      </c>
      <c r="M46" s="6">
        <f t="shared" si="2"/>
        <v>23.804568527918782</v>
      </c>
      <c r="N46" s="8">
        <f t="shared" si="3"/>
        <v>3.9054867256637165</v>
      </c>
    </row>
    <row r="47" spans="1:14" x14ac:dyDescent="0.45">
      <c r="A47" s="12">
        <v>45358</v>
      </c>
      <c r="B47" s="2" t="s">
        <v>15</v>
      </c>
      <c r="C47" s="2" t="s">
        <v>16</v>
      </c>
      <c r="D47" s="2" t="s">
        <v>21</v>
      </c>
      <c r="E47" s="2" t="s">
        <v>22</v>
      </c>
      <c r="F47" s="2">
        <v>87152</v>
      </c>
      <c r="G47" s="2">
        <v>3599</v>
      </c>
      <c r="H47" s="2">
        <v>9465.3700000000008</v>
      </c>
      <c r="I47" s="2">
        <v>127</v>
      </c>
      <c r="J47" s="2">
        <v>25958.5</v>
      </c>
      <c r="K47" s="4">
        <f t="shared" si="0"/>
        <v>4.1295667339820083E-2</v>
      </c>
      <c r="L47" s="6">
        <f t="shared" si="1"/>
        <v>2.6300000000000003</v>
      </c>
      <c r="M47" s="6">
        <f t="shared" si="2"/>
        <v>74.530472440944891</v>
      </c>
      <c r="N47" s="8">
        <f t="shared" si="3"/>
        <v>2.7424707116573361</v>
      </c>
    </row>
    <row r="48" spans="1:14" x14ac:dyDescent="0.45">
      <c r="A48" s="12">
        <v>45520</v>
      </c>
      <c r="B48" s="2" t="s">
        <v>35</v>
      </c>
      <c r="C48" s="2" t="s">
        <v>28</v>
      </c>
      <c r="D48" s="2" t="s">
        <v>17</v>
      </c>
      <c r="E48" s="2" t="s">
        <v>18</v>
      </c>
      <c r="F48" s="2">
        <v>164096</v>
      </c>
      <c r="G48" s="2">
        <v>1919</v>
      </c>
      <c r="H48" s="2">
        <v>1266.54</v>
      </c>
      <c r="I48" s="2">
        <v>139</v>
      </c>
      <c r="J48" s="2">
        <v>7181.17</v>
      </c>
      <c r="K48" s="4">
        <f t="shared" si="0"/>
        <v>1.1694374024960999E-2</v>
      </c>
      <c r="L48" s="6">
        <f t="shared" si="1"/>
        <v>0.66</v>
      </c>
      <c r="M48" s="6">
        <f t="shared" si="2"/>
        <v>9.1117985611510797</v>
      </c>
      <c r="N48" s="8">
        <f t="shared" si="3"/>
        <v>5.6699117280149069</v>
      </c>
    </row>
    <row r="49" spans="1:14" x14ac:dyDescent="0.45">
      <c r="A49" s="12">
        <v>45514</v>
      </c>
      <c r="B49" s="2" t="s">
        <v>35</v>
      </c>
      <c r="C49" s="2" t="s">
        <v>28</v>
      </c>
      <c r="D49" s="2" t="s">
        <v>25</v>
      </c>
      <c r="E49" s="2" t="s">
        <v>30</v>
      </c>
      <c r="F49" s="2">
        <v>21389</v>
      </c>
      <c r="G49" s="2">
        <v>941</v>
      </c>
      <c r="H49" s="2">
        <v>752.8</v>
      </c>
      <c r="I49" s="2">
        <v>46</v>
      </c>
      <c r="J49" s="2">
        <v>8479.43</v>
      </c>
      <c r="K49" s="4">
        <f t="shared" si="0"/>
        <v>4.3994576651549863E-2</v>
      </c>
      <c r="L49" s="6">
        <f t="shared" si="1"/>
        <v>0.79999999999999993</v>
      </c>
      <c r="M49" s="6">
        <f t="shared" si="2"/>
        <v>16.365217391304348</v>
      </c>
      <c r="N49" s="8">
        <f t="shared" si="3"/>
        <v>11.263854941551543</v>
      </c>
    </row>
    <row r="50" spans="1:14" x14ac:dyDescent="0.45">
      <c r="A50" s="12">
        <v>45409</v>
      </c>
      <c r="B50" s="2" t="s">
        <v>15</v>
      </c>
      <c r="C50" s="2" t="s">
        <v>28</v>
      </c>
      <c r="D50" s="2" t="s">
        <v>25</v>
      </c>
      <c r="E50" s="2" t="s">
        <v>51</v>
      </c>
      <c r="F50" s="2">
        <v>69323</v>
      </c>
      <c r="G50" s="2">
        <v>2169</v>
      </c>
      <c r="H50" s="2">
        <v>4750.1099999999997</v>
      </c>
      <c r="I50" s="2">
        <v>94</v>
      </c>
      <c r="J50" s="2">
        <v>16337.12</v>
      </c>
      <c r="K50" s="4">
        <f t="shared" si="0"/>
        <v>3.1288317008784962E-2</v>
      </c>
      <c r="L50" s="6">
        <f t="shared" si="1"/>
        <v>2.19</v>
      </c>
      <c r="M50" s="6">
        <f t="shared" si="2"/>
        <v>50.533085106382977</v>
      </c>
      <c r="N50" s="8">
        <f t="shared" si="3"/>
        <v>3.4393140369380926</v>
      </c>
    </row>
    <row r="51" spans="1:14" x14ac:dyDescent="0.45">
      <c r="A51" s="12">
        <v>45429</v>
      </c>
      <c r="B51" s="2" t="s">
        <v>15</v>
      </c>
      <c r="C51" s="2" t="s">
        <v>38</v>
      </c>
      <c r="D51" s="2" t="s">
        <v>29</v>
      </c>
      <c r="E51" s="2" t="s">
        <v>18</v>
      </c>
      <c r="F51" s="2">
        <v>138291</v>
      </c>
      <c r="G51" s="2">
        <v>3318</v>
      </c>
      <c r="H51" s="2">
        <v>2753.94</v>
      </c>
      <c r="I51" s="2">
        <v>217</v>
      </c>
      <c r="J51" s="2">
        <v>12761.51</v>
      </c>
      <c r="K51" s="4">
        <f t="shared" si="0"/>
        <v>2.3992884569494759E-2</v>
      </c>
      <c r="L51" s="6">
        <f t="shared" si="1"/>
        <v>0.83000000000000007</v>
      </c>
      <c r="M51" s="6">
        <f t="shared" si="2"/>
        <v>12.690967741935484</v>
      </c>
      <c r="N51" s="8">
        <f t="shared" si="3"/>
        <v>4.6339099617275616</v>
      </c>
    </row>
    <row r="52" spans="1:14" x14ac:dyDescent="0.45">
      <c r="A52" s="12">
        <v>45625</v>
      </c>
      <c r="B52" s="2" t="s">
        <v>20</v>
      </c>
      <c r="C52" s="2" t="s">
        <v>28</v>
      </c>
      <c r="D52" s="2" t="s">
        <v>21</v>
      </c>
      <c r="E52" s="2" t="s">
        <v>22</v>
      </c>
      <c r="F52" s="2">
        <v>72444</v>
      </c>
      <c r="G52" s="2">
        <v>2339</v>
      </c>
      <c r="H52" s="2">
        <v>3251.21</v>
      </c>
      <c r="I52" s="2">
        <v>153</v>
      </c>
      <c r="J52" s="2">
        <v>12919.22</v>
      </c>
      <c r="K52" s="4">
        <f t="shared" si="0"/>
        <v>3.2287007895753964E-2</v>
      </c>
      <c r="L52" s="6">
        <f t="shared" si="1"/>
        <v>1.3900000000000001</v>
      </c>
      <c r="M52" s="6">
        <f t="shared" si="2"/>
        <v>21.249738562091505</v>
      </c>
      <c r="N52" s="8">
        <f t="shared" si="3"/>
        <v>3.9736651892679955</v>
      </c>
    </row>
    <row r="53" spans="1:14" x14ac:dyDescent="0.45">
      <c r="A53" s="12">
        <v>45630</v>
      </c>
      <c r="B53" s="2" t="s">
        <v>15</v>
      </c>
      <c r="C53" s="2" t="s">
        <v>16</v>
      </c>
      <c r="D53" s="2" t="s">
        <v>25</v>
      </c>
      <c r="E53" s="2" t="s">
        <v>18</v>
      </c>
      <c r="F53" s="2">
        <v>160002</v>
      </c>
      <c r="G53" s="2">
        <v>7520</v>
      </c>
      <c r="H53" s="2">
        <v>22259.200000000001</v>
      </c>
      <c r="I53" s="2">
        <v>403</v>
      </c>
      <c r="J53" s="2">
        <v>70823.58</v>
      </c>
      <c r="K53" s="4">
        <f t="shared" si="0"/>
        <v>4.6999412507343657E-2</v>
      </c>
      <c r="L53" s="6">
        <f t="shared" si="1"/>
        <v>2.96</v>
      </c>
      <c r="M53" s="6">
        <f t="shared" si="2"/>
        <v>55.233746898263028</v>
      </c>
      <c r="N53" s="8">
        <f t="shared" si="3"/>
        <v>3.1817666403105234</v>
      </c>
    </row>
    <row r="54" spans="1:14" x14ac:dyDescent="0.45">
      <c r="A54" s="12">
        <v>45516</v>
      </c>
      <c r="B54" s="2" t="s">
        <v>35</v>
      </c>
      <c r="C54" s="2" t="s">
        <v>16</v>
      </c>
      <c r="D54" s="2" t="s">
        <v>41</v>
      </c>
      <c r="E54" s="2" t="s">
        <v>26</v>
      </c>
      <c r="F54" s="2">
        <v>16246</v>
      </c>
      <c r="G54" s="2">
        <v>448</v>
      </c>
      <c r="H54" s="2">
        <v>891.52</v>
      </c>
      <c r="I54" s="2">
        <v>8</v>
      </c>
      <c r="J54" s="2">
        <v>1955.09</v>
      </c>
      <c r="K54" s="4">
        <f t="shared" si="0"/>
        <v>2.7576018712298412E-2</v>
      </c>
      <c r="L54" s="6">
        <f t="shared" si="1"/>
        <v>1.99</v>
      </c>
      <c r="M54" s="6">
        <f t="shared" si="2"/>
        <v>111.44</v>
      </c>
      <c r="N54" s="8">
        <f t="shared" si="3"/>
        <v>2.1929850143575016</v>
      </c>
    </row>
    <row r="55" spans="1:14" x14ac:dyDescent="0.45">
      <c r="A55" s="12">
        <v>45448</v>
      </c>
      <c r="B55" s="2" t="s">
        <v>35</v>
      </c>
      <c r="C55" s="2" t="s">
        <v>28</v>
      </c>
      <c r="D55" s="2" t="s">
        <v>17</v>
      </c>
      <c r="E55" s="2" t="s">
        <v>30</v>
      </c>
      <c r="F55" s="2">
        <v>15789</v>
      </c>
      <c r="G55" s="2">
        <v>423</v>
      </c>
      <c r="H55" s="2">
        <v>765.63</v>
      </c>
      <c r="I55" s="2">
        <v>7</v>
      </c>
      <c r="J55" s="2">
        <v>1223.95</v>
      </c>
      <c r="K55" s="4">
        <f t="shared" si="0"/>
        <v>2.6790803724111724E-2</v>
      </c>
      <c r="L55" s="6">
        <f t="shared" si="1"/>
        <v>1.81</v>
      </c>
      <c r="M55" s="6">
        <f t="shared" si="2"/>
        <v>109.37571428571428</v>
      </c>
      <c r="N55" s="8">
        <f t="shared" si="3"/>
        <v>1.5986181314734271</v>
      </c>
    </row>
    <row r="56" spans="1:14" x14ac:dyDescent="0.45">
      <c r="A56" s="12">
        <v>45448</v>
      </c>
      <c r="B56" s="2" t="s">
        <v>15</v>
      </c>
      <c r="C56" s="2" t="s">
        <v>16</v>
      </c>
      <c r="D56" s="2" t="s">
        <v>21</v>
      </c>
      <c r="E56" s="2" t="s">
        <v>54</v>
      </c>
      <c r="F56" s="2">
        <v>25103</v>
      </c>
      <c r="G56" s="2">
        <v>710</v>
      </c>
      <c r="H56" s="2">
        <v>1661.4</v>
      </c>
      <c r="I56" s="2">
        <v>24</v>
      </c>
      <c r="J56" s="2">
        <v>1896.75</v>
      </c>
      <c r="K56" s="4">
        <f t="shared" si="0"/>
        <v>2.8283472094968728E-2</v>
      </c>
      <c r="L56" s="6">
        <f t="shared" si="1"/>
        <v>2.3400000000000003</v>
      </c>
      <c r="M56" s="6">
        <f t="shared" si="2"/>
        <v>69.225000000000009</v>
      </c>
      <c r="N56" s="8">
        <f t="shared" si="3"/>
        <v>1.1416576381365113</v>
      </c>
    </row>
    <row r="57" spans="1:14" x14ac:dyDescent="0.45">
      <c r="A57" s="12">
        <v>45654</v>
      </c>
      <c r="B57" s="2" t="s">
        <v>20</v>
      </c>
      <c r="C57" s="2" t="s">
        <v>38</v>
      </c>
      <c r="D57" s="2" t="s">
        <v>29</v>
      </c>
      <c r="E57" s="2" t="s">
        <v>51</v>
      </c>
      <c r="F57" s="2">
        <v>138515</v>
      </c>
      <c r="G57" s="2">
        <v>4377</v>
      </c>
      <c r="H57" s="2">
        <v>2232.27</v>
      </c>
      <c r="I57" s="2">
        <v>285</v>
      </c>
      <c r="J57" s="2">
        <v>10321.59</v>
      </c>
      <c r="K57" s="4">
        <f t="shared" si="0"/>
        <v>3.1599465761830849E-2</v>
      </c>
      <c r="L57" s="6">
        <f t="shared" si="1"/>
        <v>0.51</v>
      </c>
      <c r="M57" s="6">
        <f t="shared" si="2"/>
        <v>7.8325263157894733</v>
      </c>
      <c r="N57" s="8">
        <f t="shared" si="3"/>
        <v>4.6238089478423312</v>
      </c>
    </row>
    <row r="58" spans="1:14" x14ac:dyDescent="0.45">
      <c r="A58" s="12">
        <v>45342</v>
      </c>
      <c r="B58" s="2" t="s">
        <v>35</v>
      </c>
      <c r="C58" s="2" t="s">
        <v>16</v>
      </c>
      <c r="D58" s="2" t="s">
        <v>21</v>
      </c>
      <c r="E58" s="2" t="s">
        <v>54</v>
      </c>
      <c r="F58" s="2">
        <v>180399</v>
      </c>
      <c r="G58" s="2">
        <v>6025</v>
      </c>
      <c r="H58" s="2">
        <v>4217.5</v>
      </c>
      <c r="I58" s="2">
        <v>191</v>
      </c>
      <c r="J58" s="2">
        <v>17456.79</v>
      </c>
      <c r="K58" s="4">
        <f t="shared" si="0"/>
        <v>3.3398189568678321E-2</v>
      </c>
      <c r="L58" s="6">
        <f t="shared" si="1"/>
        <v>0.7</v>
      </c>
      <c r="M58" s="6">
        <f t="shared" si="2"/>
        <v>22.081151832460733</v>
      </c>
      <c r="N58" s="8">
        <f t="shared" si="3"/>
        <v>4.1391321873147602</v>
      </c>
    </row>
    <row r="59" spans="1:14" x14ac:dyDescent="0.45">
      <c r="A59" s="12">
        <v>45428</v>
      </c>
      <c r="B59" s="2" t="s">
        <v>35</v>
      </c>
      <c r="C59" s="2" t="s">
        <v>24</v>
      </c>
      <c r="D59" s="2" t="s">
        <v>41</v>
      </c>
      <c r="E59" s="2" t="s">
        <v>18</v>
      </c>
      <c r="F59" s="2">
        <v>62545</v>
      </c>
      <c r="G59" s="2">
        <v>606</v>
      </c>
      <c r="H59" s="2">
        <v>1187.76</v>
      </c>
      <c r="I59" s="2">
        <v>37</v>
      </c>
      <c r="J59" s="2">
        <v>5627.66</v>
      </c>
      <c r="K59" s="4">
        <f t="shared" si="0"/>
        <v>9.6890239027899918E-3</v>
      </c>
      <c r="L59" s="6">
        <f t="shared" si="1"/>
        <v>1.96</v>
      </c>
      <c r="M59" s="6">
        <f t="shared" si="2"/>
        <v>32.101621621621618</v>
      </c>
      <c r="N59" s="8">
        <f t="shared" si="3"/>
        <v>4.7380447228396312</v>
      </c>
    </row>
    <row r="60" spans="1:14" x14ac:dyDescent="0.45">
      <c r="A60" s="12">
        <v>45473</v>
      </c>
      <c r="B60" s="2" t="s">
        <v>15</v>
      </c>
      <c r="C60" s="2" t="s">
        <v>28</v>
      </c>
      <c r="D60" s="2" t="s">
        <v>17</v>
      </c>
      <c r="E60" s="2" t="s">
        <v>33</v>
      </c>
      <c r="F60" s="2">
        <v>72526</v>
      </c>
      <c r="G60" s="2">
        <v>2146</v>
      </c>
      <c r="H60" s="2">
        <v>3347.76</v>
      </c>
      <c r="I60" s="2">
        <v>168</v>
      </c>
      <c r="J60" s="2">
        <v>25859.74</v>
      </c>
      <c r="K60" s="4">
        <f t="shared" si="0"/>
        <v>2.9589388633041943E-2</v>
      </c>
      <c r="L60" s="6">
        <f t="shared" si="1"/>
        <v>1.56</v>
      </c>
      <c r="M60" s="6">
        <f t="shared" si="2"/>
        <v>19.927142857142858</v>
      </c>
      <c r="N60" s="8">
        <f t="shared" si="3"/>
        <v>7.7244904055248886</v>
      </c>
    </row>
    <row r="61" spans="1:14" x14ac:dyDescent="0.45">
      <c r="A61" s="12">
        <v>45480</v>
      </c>
      <c r="B61" s="2" t="s">
        <v>35</v>
      </c>
      <c r="C61" s="2" t="s">
        <v>38</v>
      </c>
      <c r="D61" s="2" t="s">
        <v>21</v>
      </c>
      <c r="E61" s="2" t="s">
        <v>54</v>
      </c>
      <c r="F61" s="2">
        <v>67823</v>
      </c>
      <c r="G61" s="2">
        <v>2075</v>
      </c>
      <c r="H61" s="2">
        <v>3797.25</v>
      </c>
      <c r="I61" s="2">
        <v>26</v>
      </c>
      <c r="J61" s="2">
        <v>4093.91</v>
      </c>
      <c r="K61" s="4">
        <f t="shared" si="0"/>
        <v>3.059434115270631E-2</v>
      </c>
      <c r="L61" s="6">
        <f t="shared" si="1"/>
        <v>1.83</v>
      </c>
      <c r="M61" s="6">
        <f t="shared" si="2"/>
        <v>146.04807692307693</v>
      </c>
      <c r="N61" s="8">
        <f t="shared" si="3"/>
        <v>1.0781249588518007</v>
      </c>
    </row>
    <row r="62" spans="1:14" x14ac:dyDescent="0.45">
      <c r="A62" s="12">
        <v>45466</v>
      </c>
      <c r="B62" s="2" t="s">
        <v>35</v>
      </c>
      <c r="C62" s="2" t="s">
        <v>38</v>
      </c>
      <c r="D62" s="2" t="s">
        <v>41</v>
      </c>
      <c r="E62" s="2" t="s">
        <v>51</v>
      </c>
      <c r="F62" s="2">
        <v>164937</v>
      </c>
      <c r="G62" s="2">
        <v>4453</v>
      </c>
      <c r="H62" s="2">
        <v>4809.24</v>
      </c>
      <c r="I62" s="2">
        <v>129</v>
      </c>
      <c r="J62" s="2">
        <v>35127.5</v>
      </c>
      <c r="K62" s="4">
        <f t="shared" si="0"/>
        <v>2.6998187186622773E-2</v>
      </c>
      <c r="L62" s="6">
        <f t="shared" si="1"/>
        <v>1.0799999999999998</v>
      </c>
      <c r="M62" s="6">
        <f t="shared" si="2"/>
        <v>37.280930232558141</v>
      </c>
      <c r="N62" s="8">
        <f t="shared" si="3"/>
        <v>7.3041686420307581</v>
      </c>
    </row>
    <row r="63" spans="1:14" x14ac:dyDescent="0.45">
      <c r="A63" s="12">
        <v>45640</v>
      </c>
      <c r="B63" s="2" t="s">
        <v>35</v>
      </c>
      <c r="C63" s="2" t="s">
        <v>16</v>
      </c>
      <c r="D63" s="2" t="s">
        <v>21</v>
      </c>
      <c r="E63" s="2" t="s">
        <v>22</v>
      </c>
      <c r="F63" s="2">
        <v>114575</v>
      </c>
      <c r="G63" s="2">
        <v>2039</v>
      </c>
      <c r="H63" s="2">
        <v>1080.67</v>
      </c>
      <c r="I63" s="2">
        <v>113</v>
      </c>
      <c r="J63" s="2">
        <v>10656.96</v>
      </c>
      <c r="K63" s="4">
        <f t="shared" si="0"/>
        <v>1.7796203360244383E-2</v>
      </c>
      <c r="L63" s="6">
        <f t="shared" si="1"/>
        <v>0.53</v>
      </c>
      <c r="M63" s="6">
        <f t="shared" si="2"/>
        <v>9.5634513274336292</v>
      </c>
      <c r="N63" s="8">
        <f t="shared" si="3"/>
        <v>9.8614378117279085</v>
      </c>
    </row>
    <row r="64" spans="1:14" x14ac:dyDescent="0.45">
      <c r="A64" s="12">
        <v>45456</v>
      </c>
      <c r="B64" s="2" t="s">
        <v>15</v>
      </c>
      <c r="C64" s="2" t="s">
        <v>28</v>
      </c>
      <c r="D64" s="2" t="s">
        <v>17</v>
      </c>
      <c r="E64" s="2" t="s">
        <v>30</v>
      </c>
      <c r="F64" s="2">
        <v>132157</v>
      </c>
      <c r="G64" s="2">
        <v>2999</v>
      </c>
      <c r="H64" s="2">
        <v>2789.07</v>
      </c>
      <c r="I64" s="2">
        <v>152</v>
      </c>
      <c r="J64" s="2">
        <v>21855.26</v>
      </c>
      <c r="K64" s="4">
        <f t="shared" si="0"/>
        <v>2.2692706402233708E-2</v>
      </c>
      <c r="L64" s="6">
        <f t="shared" si="1"/>
        <v>0.93</v>
      </c>
      <c r="M64" s="6">
        <f t="shared" si="2"/>
        <v>18.349144736842106</v>
      </c>
      <c r="N64" s="8">
        <f t="shared" si="3"/>
        <v>7.8360385361428708</v>
      </c>
    </row>
    <row r="65" spans="1:14" x14ac:dyDescent="0.45">
      <c r="A65" s="12">
        <v>45302</v>
      </c>
      <c r="B65" s="2" t="s">
        <v>20</v>
      </c>
      <c r="C65" s="2" t="s">
        <v>24</v>
      </c>
      <c r="D65" s="2" t="s">
        <v>25</v>
      </c>
      <c r="E65" s="2" t="s">
        <v>30</v>
      </c>
      <c r="F65" s="2">
        <v>108145</v>
      </c>
      <c r="G65" s="2">
        <v>3882</v>
      </c>
      <c r="H65" s="2">
        <v>3649.08</v>
      </c>
      <c r="I65" s="2">
        <v>98</v>
      </c>
      <c r="J65" s="2">
        <v>28726.52</v>
      </c>
      <c r="K65" s="4">
        <f t="shared" si="0"/>
        <v>3.5896250404549447E-2</v>
      </c>
      <c r="L65" s="6">
        <f t="shared" si="1"/>
        <v>0.94</v>
      </c>
      <c r="M65" s="6">
        <f t="shared" si="2"/>
        <v>37.235510204081635</v>
      </c>
      <c r="N65" s="8">
        <f t="shared" si="3"/>
        <v>7.8722636938625632</v>
      </c>
    </row>
    <row r="66" spans="1:14" x14ac:dyDescent="0.45">
      <c r="A66" s="12">
        <v>45411</v>
      </c>
      <c r="B66" s="2" t="s">
        <v>20</v>
      </c>
      <c r="C66" s="2" t="s">
        <v>16</v>
      </c>
      <c r="D66" s="2" t="s">
        <v>29</v>
      </c>
      <c r="E66" s="2" t="s">
        <v>51</v>
      </c>
      <c r="F66" s="2">
        <v>72642</v>
      </c>
      <c r="G66" s="2">
        <v>3014</v>
      </c>
      <c r="H66" s="2">
        <v>3496.24</v>
      </c>
      <c r="I66" s="2">
        <v>59</v>
      </c>
      <c r="J66" s="2">
        <v>15070.44</v>
      </c>
      <c r="K66" s="4">
        <f t="shared" si="0"/>
        <v>4.1491148371465544E-2</v>
      </c>
      <c r="L66" s="6">
        <f t="shared" si="1"/>
        <v>1.1599999999999999</v>
      </c>
      <c r="M66" s="6">
        <f t="shared" si="2"/>
        <v>59.258305084745757</v>
      </c>
      <c r="N66" s="8">
        <f t="shared" si="3"/>
        <v>4.3104706770702244</v>
      </c>
    </row>
    <row r="67" spans="1:14" x14ac:dyDescent="0.45">
      <c r="A67" s="12">
        <v>45389</v>
      </c>
      <c r="B67" s="2" t="s">
        <v>20</v>
      </c>
      <c r="C67" s="2" t="s">
        <v>38</v>
      </c>
      <c r="D67" s="2" t="s">
        <v>25</v>
      </c>
      <c r="E67" s="2" t="s">
        <v>18</v>
      </c>
      <c r="F67" s="2">
        <v>131678</v>
      </c>
      <c r="G67" s="2">
        <v>8374</v>
      </c>
      <c r="H67" s="2">
        <v>7620.34</v>
      </c>
      <c r="I67" s="2">
        <v>505</v>
      </c>
      <c r="J67" s="2">
        <v>29682.01</v>
      </c>
      <c r="K67" s="4">
        <f t="shared" ref="K67:K130" si="4" xml:space="preserve"> G67 / F67</f>
        <v>6.359452604079649E-2</v>
      </c>
      <c r="L67" s="6">
        <f t="shared" ref="L67:L130" si="5">H67/G67</f>
        <v>0.91</v>
      </c>
      <c r="M67" s="6">
        <f t="shared" ref="M67:M130" si="6">H67/I67</f>
        <v>15.089782178217822</v>
      </c>
      <c r="N67" s="8">
        <f t="shared" ref="N67:N130" si="7">J67/H67</f>
        <v>3.8951031056357062</v>
      </c>
    </row>
    <row r="68" spans="1:14" x14ac:dyDescent="0.45">
      <c r="A68" s="12">
        <v>45425</v>
      </c>
      <c r="B68" s="2" t="s">
        <v>15</v>
      </c>
      <c r="C68" s="2" t="s">
        <v>24</v>
      </c>
      <c r="D68" s="2" t="s">
        <v>41</v>
      </c>
      <c r="E68" s="2" t="s">
        <v>54</v>
      </c>
      <c r="F68" s="2">
        <v>34402</v>
      </c>
      <c r="G68" s="2">
        <v>1314</v>
      </c>
      <c r="H68" s="2">
        <v>4323.0600000000004</v>
      </c>
      <c r="I68" s="2">
        <v>17</v>
      </c>
      <c r="J68" s="2">
        <v>1273.24</v>
      </c>
      <c r="K68" s="4">
        <f t="shared" si="4"/>
        <v>3.8195453752688797E-2</v>
      </c>
      <c r="L68" s="6">
        <f t="shared" si="5"/>
        <v>3.2900000000000005</v>
      </c>
      <c r="M68" s="6">
        <f t="shared" si="6"/>
        <v>254.29764705882354</v>
      </c>
      <c r="N68" s="8">
        <f t="shared" si="7"/>
        <v>0.29452286112152037</v>
      </c>
    </row>
    <row r="69" spans="1:14" x14ac:dyDescent="0.45">
      <c r="A69" s="12">
        <v>45573</v>
      </c>
      <c r="B69" s="2" t="s">
        <v>35</v>
      </c>
      <c r="C69" s="2" t="s">
        <v>24</v>
      </c>
      <c r="D69" s="2" t="s">
        <v>25</v>
      </c>
      <c r="E69" s="2" t="s">
        <v>30</v>
      </c>
      <c r="F69" s="2">
        <v>58276</v>
      </c>
      <c r="G69" s="2">
        <v>1183</v>
      </c>
      <c r="H69" s="2">
        <v>1762.67</v>
      </c>
      <c r="I69" s="2">
        <v>89</v>
      </c>
      <c r="J69" s="2">
        <v>20273.71</v>
      </c>
      <c r="K69" s="4">
        <f t="shared" si="4"/>
        <v>2.0299951952776445E-2</v>
      </c>
      <c r="L69" s="6">
        <f t="shared" si="5"/>
        <v>1.49</v>
      </c>
      <c r="M69" s="6">
        <f t="shared" si="6"/>
        <v>19.805280898876404</v>
      </c>
      <c r="N69" s="8">
        <f t="shared" si="7"/>
        <v>11.501704800104386</v>
      </c>
    </row>
    <row r="70" spans="1:14" x14ac:dyDescent="0.45">
      <c r="A70" s="12">
        <v>45518</v>
      </c>
      <c r="B70" s="2" t="s">
        <v>15</v>
      </c>
      <c r="C70" s="2" t="s">
        <v>28</v>
      </c>
      <c r="D70" s="2" t="s">
        <v>21</v>
      </c>
      <c r="E70" s="2" t="s">
        <v>33</v>
      </c>
      <c r="F70" s="2">
        <v>168059</v>
      </c>
      <c r="G70" s="2">
        <v>3462</v>
      </c>
      <c r="H70" s="2">
        <v>10662.96</v>
      </c>
      <c r="I70" s="2">
        <v>154</v>
      </c>
      <c r="J70" s="2">
        <v>33243.769999999997</v>
      </c>
      <c r="K70" s="4">
        <f t="shared" si="4"/>
        <v>2.059990836551449E-2</v>
      </c>
      <c r="L70" s="6">
        <f t="shared" si="5"/>
        <v>3.0799999999999996</v>
      </c>
      <c r="M70" s="6">
        <f t="shared" si="6"/>
        <v>69.239999999999995</v>
      </c>
      <c r="N70" s="8">
        <f t="shared" si="7"/>
        <v>3.1176868336747021</v>
      </c>
    </row>
    <row r="71" spans="1:14" x14ac:dyDescent="0.45">
      <c r="A71" s="12">
        <v>45520</v>
      </c>
      <c r="B71" s="2" t="s">
        <v>35</v>
      </c>
      <c r="C71" s="2" t="s">
        <v>24</v>
      </c>
      <c r="D71" s="2" t="s">
        <v>17</v>
      </c>
      <c r="E71" s="2" t="s">
        <v>33</v>
      </c>
      <c r="F71" s="2">
        <v>91123</v>
      </c>
      <c r="G71" s="2">
        <v>1567</v>
      </c>
      <c r="H71" s="2">
        <v>3651.11</v>
      </c>
      <c r="I71" s="2">
        <v>64</v>
      </c>
      <c r="J71" s="2">
        <v>5119.1000000000004</v>
      </c>
      <c r="K71" s="4">
        <f t="shared" si="4"/>
        <v>1.7196536549499028E-2</v>
      </c>
      <c r="L71" s="6">
        <f t="shared" si="5"/>
        <v>2.33</v>
      </c>
      <c r="M71" s="6">
        <f t="shared" si="6"/>
        <v>57.048593750000002</v>
      </c>
      <c r="N71" s="8">
        <f t="shared" si="7"/>
        <v>1.402066768736083</v>
      </c>
    </row>
    <row r="72" spans="1:14" x14ac:dyDescent="0.45">
      <c r="A72" s="12">
        <v>45440</v>
      </c>
      <c r="B72" s="2" t="s">
        <v>35</v>
      </c>
      <c r="C72" s="2" t="s">
        <v>28</v>
      </c>
      <c r="D72" s="2" t="s">
        <v>17</v>
      </c>
      <c r="E72" s="2" t="s">
        <v>54</v>
      </c>
      <c r="F72" s="2">
        <v>16344</v>
      </c>
      <c r="G72" s="2">
        <v>452</v>
      </c>
      <c r="H72" s="2">
        <v>406.8</v>
      </c>
      <c r="I72" s="2">
        <v>5</v>
      </c>
      <c r="J72" s="2">
        <v>1102.53</v>
      </c>
      <c r="K72" s="4">
        <f t="shared" si="4"/>
        <v>2.7655408712677434E-2</v>
      </c>
      <c r="L72" s="6">
        <f t="shared" si="5"/>
        <v>0.9</v>
      </c>
      <c r="M72" s="6">
        <f t="shared" si="6"/>
        <v>81.36</v>
      </c>
      <c r="N72" s="8">
        <f t="shared" si="7"/>
        <v>2.7102507374631268</v>
      </c>
    </row>
    <row r="73" spans="1:14" x14ac:dyDescent="0.45">
      <c r="A73" s="12">
        <v>45377</v>
      </c>
      <c r="B73" s="2" t="s">
        <v>20</v>
      </c>
      <c r="C73" s="2" t="s">
        <v>24</v>
      </c>
      <c r="D73" s="2" t="s">
        <v>29</v>
      </c>
      <c r="E73" s="2" t="s">
        <v>18</v>
      </c>
      <c r="F73" s="2">
        <v>99457</v>
      </c>
      <c r="G73" s="2">
        <v>5808</v>
      </c>
      <c r="H73" s="2">
        <v>9292.7999999999993</v>
      </c>
      <c r="I73" s="2">
        <v>80</v>
      </c>
      <c r="J73" s="2">
        <v>12231.1</v>
      </c>
      <c r="K73" s="4">
        <f t="shared" si="4"/>
        <v>5.839709623254271E-2</v>
      </c>
      <c r="L73" s="6">
        <f t="shared" si="5"/>
        <v>1.5999999999999999</v>
      </c>
      <c r="M73" s="6">
        <f t="shared" si="6"/>
        <v>116.16</v>
      </c>
      <c r="N73" s="8">
        <f t="shared" si="7"/>
        <v>1.3161910296143251</v>
      </c>
    </row>
    <row r="74" spans="1:14" x14ac:dyDescent="0.45">
      <c r="A74" s="12">
        <v>45450</v>
      </c>
      <c r="B74" s="2" t="s">
        <v>35</v>
      </c>
      <c r="C74" s="2" t="s">
        <v>24</v>
      </c>
      <c r="D74" s="2" t="s">
        <v>41</v>
      </c>
      <c r="E74" s="2" t="s">
        <v>51</v>
      </c>
      <c r="F74" s="2">
        <v>57375</v>
      </c>
      <c r="G74" s="2">
        <v>843</v>
      </c>
      <c r="H74" s="2">
        <v>1357.23</v>
      </c>
      <c r="I74" s="2">
        <v>40</v>
      </c>
      <c r="J74" s="2">
        <v>9739.81</v>
      </c>
      <c r="K74" s="4">
        <f t="shared" si="4"/>
        <v>1.469281045751634E-2</v>
      </c>
      <c r="L74" s="6">
        <f t="shared" si="5"/>
        <v>1.61</v>
      </c>
      <c r="M74" s="6">
        <f t="shared" si="6"/>
        <v>33.930750000000003</v>
      </c>
      <c r="N74" s="8">
        <f t="shared" si="7"/>
        <v>7.1762413150313504</v>
      </c>
    </row>
    <row r="75" spans="1:14" x14ac:dyDescent="0.45">
      <c r="A75" s="12">
        <v>45399</v>
      </c>
      <c r="B75" s="2" t="s">
        <v>15</v>
      </c>
      <c r="C75" s="2" t="s">
        <v>38</v>
      </c>
      <c r="D75" s="2" t="s">
        <v>41</v>
      </c>
      <c r="E75" s="2" t="s">
        <v>18</v>
      </c>
      <c r="F75" s="2">
        <v>115017</v>
      </c>
      <c r="G75" s="2">
        <v>2771</v>
      </c>
      <c r="H75" s="2">
        <v>7093.76</v>
      </c>
      <c r="I75" s="2">
        <v>95</v>
      </c>
      <c r="J75" s="2">
        <v>22528.38</v>
      </c>
      <c r="K75" s="4">
        <f t="shared" si="4"/>
        <v>2.4092090734413173E-2</v>
      </c>
      <c r="L75" s="6">
        <f t="shared" si="5"/>
        <v>2.56</v>
      </c>
      <c r="M75" s="6">
        <f t="shared" si="6"/>
        <v>74.671157894736851</v>
      </c>
      <c r="N75" s="8">
        <f t="shared" si="7"/>
        <v>3.175802395344641</v>
      </c>
    </row>
    <row r="76" spans="1:14" x14ac:dyDescent="0.45">
      <c r="A76" s="12">
        <v>45563</v>
      </c>
      <c r="B76" s="2" t="s">
        <v>35</v>
      </c>
      <c r="C76" s="2" t="s">
        <v>16</v>
      </c>
      <c r="D76" s="2" t="s">
        <v>21</v>
      </c>
      <c r="E76" s="2" t="s">
        <v>26</v>
      </c>
      <c r="F76" s="2">
        <v>90431</v>
      </c>
      <c r="G76" s="2">
        <v>1853</v>
      </c>
      <c r="H76" s="2">
        <v>3150.1</v>
      </c>
      <c r="I76" s="2">
        <v>57</v>
      </c>
      <c r="J76" s="2">
        <v>14834.93</v>
      </c>
      <c r="K76" s="4">
        <f t="shared" si="4"/>
        <v>2.0490760911634286E-2</v>
      </c>
      <c r="L76" s="6">
        <f t="shared" si="5"/>
        <v>1.7</v>
      </c>
      <c r="M76" s="6">
        <f t="shared" si="6"/>
        <v>55.264912280701751</v>
      </c>
      <c r="N76" s="8">
        <f t="shared" si="7"/>
        <v>4.7093520840608241</v>
      </c>
    </row>
    <row r="77" spans="1:14" x14ac:dyDescent="0.45">
      <c r="A77" s="12">
        <v>45364</v>
      </c>
      <c r="B77" s="2" t="s">
        <v>35</v>
      </c>
      <c r="C77" s="2" t="s">
        <v>16</v>
      </c>
      <c r="D77" s="2" t="s">
        <v>41</v>
      </c>
      <c r="E77" s="2" t="s">
        <v>26</v>
      </c>
      <c r="F77" s="2">
        <v>140566</v>
      </c>
      <c r="G77" s="2">
        <v>5046</v>
      </c>
      <c r="H77" s="2">
        <v>3128.52</v>
      </c>
      <c r="I77" s="2">
        <v>384</v>
      </c>
      <c r="J77" s="2">
        <v>59980.19</v>
      </c>
      <c r="K77" s="4">
        <f t="shared" si="4"/>
        <v>3.5897727757779267E-2</v>
      </c>
      <c r="L77" s="6">
        <f t="shared" si="5"/>
        <v>0.62</v>
      </c>
      <c r="M77" s="6">
        <f t="shared" si="6"/>
        <v>8.1471874999999994</v>
      </c>
      <c r="N77" s="8">
        <f t="shared" si="7"/>
        <v>19.172065385549718</v>
      </c>
    </row>
    <row r="78" spans="1:14" x14ac:dyDescent="0.45">
      <c r="A78" s="12">
        <v>45350</v>
      </c>
      <c r="B78" s="2" t="s">
        <v>35</v>
      </c>
      <c r="C78" s="2" t="s">
        <v>16</v>
      </c>
      <c r="D78" s="2" t="s">
        <v>21</v>
      </c>
      <c r="E78" s="2" t="s">
        <v>30</v>
      </c>
      <c r="F78" s="2">
        <v>133583</v>
      </c>
      <c r="G78" s="2">
        <v>3954</v>
      </c>
      <c r="H78" s="2">
        <v>2570.1</v>
      </c>
      <c r="I78" s="2">
        <v>255</v>
      </c>
      <c r="J78" s="2">
        <v>31756.12</v>
      </c>
      <c r="K78" s="4">
        <f t="shared" si="4"/>
        <v>2.9599574796194128E-2</v>
      </c>
      <c r="L78" s="6">
        <f t="shared" si="5"/>
        <v>0.65</v>
      </c>
      <c r="M78" s="6">
        <f t="shared" si="6"/>
        <v>10.078823529411764</v>
      </c>
      <c r="N78" s="8">
        <f t="shared" si="7"/>
        <v>12.355986148398895</v>
      </c>
    </row>
    <row r="79" spans="1:14" x14ac:dyDescent="0.45">
      <c r="A79" s="12">
        <v>45390</v>
      </c>
      <c r="B79" s="2" t="s">
        <v>15</v>
      </c>
      <c r="C79" s="2" t="s">
        <v>24</v>
      </c>
      <c r="D79" s="2" t="s">
        <v>41</v>
      </c>
      <c r="E79" s="2" t="s">
        <v>26</v>
      </c>
      <c r="F79" s="2">
        <v>198555</v>
      </c>
      <c r="G79" s="2">
        <v>13104</v>
      </c>
      <c r="H79" s="2">
        <v>32235.84</v>
      </c>
      <c r="I79" s="2">
        <v>336</v>
      </c>
      <c r="J79" s="2">
        <v>58794.32</v>
      </c>
      <c r="K79" s="4">
        <f t="shared" si="4"/>
        <v>6.5996827075621364E-2</v>
      </c>
      <c r="L79" s="6">
        <f t="shared" si="5"/>
        <v>2.46</v>
      </c>
      <c r="M79" s="6">
        <f t="shared" si="6"/>
        <v>95.94</v>
      </c>
      <c r="N79" s="8">
        <f t="shared" si="7"/>
        <v>1.8238805007097689</v>
      </c>
    </row>
    <row r="80" spans="1:14" x14ac:dyDescent="0.45">
      <c r="A80" s="12">
        <v>45558</v>
      </c>
      <c r="B80" s="2" t="s">
        <v>35</v>
      </c>
      <c r="C80" s="2" t="s">
        <v>38</v>
      </c>
      <c r="D80" s="2" t="s">
        <v>25</v>
      </c>
      <c r="E80" s="2" t="s">
        <v>22</v>
      </c>
      <c r="F80" s="2">
        <v>88560</v>
      </c>
      <c r="G80" s="2">
        <v>1319</v>
      </c>
      <c r="H80" s="2">
        <v>685.88</v>
      </c>
      <c r="I80" s="2">
        <v>81</v>
      </c>
      <c r="J80" s="2">
        <v>8584.02</v>
      </c>
      <c r="K80" s="4">
        <f t="shared" si="4"/>
        <v>1.4893857271906053E-2</v>
      </c>
      <c r="L80" s="6">
        <f t="shared" si="5"/>
        <v>0.52</v>
      </c>
      <c r="M80" s="6">
        <f t="shared" si="6"/>
        <v>8.4676543209876538</v>
      </c>
      <c r="N80" s="8">
        <f t="shared" si="7"/>
        <v>12.515337959993003</v>
      </c>
    </row>
    <row r="81" spans="1:14" x14ac:dyDescent="0.45">
      <c r="A81" s="12">
        <v>45467</v>
      </c>
      <c r="B81" s="2" t="s">
        <v>15</v>
      </c>
      <c r="C81" s="2" t="s">
        <v>38</v>
      </c>
      <c r="D81" s="2" t="s">
        <v>17</v>
      </c>
      <c r="E81" s="2" t="s">
        <v>18</v>
      </c>
      <c r="F81" s="2">
        <v>117217</v>
      </c>
      <c r="G81" s="2">
        <v>5602</v>
      </c>
      <c r="H81" s="2">
        <v>19550.98</v>
      </c>
      <c r="I81" s="2">
        <v>411</v>
      </c>
      <c r="J81" s="2">
        <v>75729.259999999995</v>
      </c>
      <c r="K81" s="4">
        <f t="shared" si="4"/>
        <v>4.7791702568740033E-2</v>
      </c>
      <c r="L81" s="6">
        <f t="shared" si="5"/>
        <v>3.4899999999999998</v>
      </c>
      <c r="M81" s="6">
        <f t="shared" si="6"/>
        <v>47.56929440389294</v>
      </c>
      <c r="N81" s="8">
        <f t="shared" si="7"/>
        <v>3.8734252707536911</v>
      </c>
    </row>
    <row r="82" spans="1:14" x14ac:dyDescent="0.45">
      <c r="A82" s="12">
        <v>45528</v>
      </c>
      <c r="B82" s="2" t="s">
        <v>35</v>
      </c>
      <c r="C82" s="2" t="s">
        <v>28</v>
      </c>
      <c r="D82" s="2" t="s">
        <v>17</v>
      </c>
      <c r="E82" s="2" t="s">
        <v>18</v>
      </c>
      <c r="F82" s="2">
        <v>104616</v>
      </c>
      <c r="G82" s="2">
        <v>4048</v>
      </c>
      <c r="H82" s="2">
        <v>7164.96</v>
      </c>
      <c r="I82" s="2">
        <v>233</v>
      </c>
      <c r="J82" s="2">
        <v>45906.84</v>
      </c>
      <c r="K82" s="4">
        <f t="shared" si="4"/>
        <v>3.8693890035940967E-2</v>
      </c>
      <c r="L82" s="6">
        <f t="shared" si="5"/>
        <v>1.77</v>
      </c>
      <c r="M82" s="6">
        <f t="shared" si="6"/>
        <v>30.750901287553649</v>
      </c>
      <c r="N82" s="8">
        <f t="shared" si="7"/>
        <v>6.4071313726803769</v>
      </c>
    </row>
    <row r="83" spans="1:14" x14ac:dyDescent="0.45">
      <c r="A83" s="12">
        <v>45336</v>
      </c>
      <c r="B83" s="2" t="s">
        <v>20</v>
      </c>
      <c r="C83" s="2" t="s">
        <v>24</v>
      </c>
      <c r="D83" s="2" t="s">
        <v>25</v>
      </c>
      <c r="E83" s="2" t="s">
        <v>33</v>
      </c>
      <c r="F83" s="2">
        <v>79553</v>
      </c>
      <c r="G83" s="2">
        <v>2712</v>
      </c>
      <c r="H83" s="2">
        <v>840.72</v>
      </c>
      <c r="I83" s="2">
        <v>170</v>
      </c>
      <c r="J83" s="2">
        <v>16973.79</v>
      </c>
      <c r="K83" s="4">
        <f t="shared" si="4"/>
        <v>3.4090480560129727E-2</v>
      </c>
      <c r="L83" s="6">
        <f t="shared" si="5"/>
        <v>0.31</v>
      </c>
      <c r="M83" s="6">
        <f t="shared" si="6"/>
        <v>4.9454117647058826</v>
      </c>
      <c r="N83" s="8">
        <f t="shared" si="7"/>
        <v>20.189587496431631</v>
      </c>
    </row>
    <row r="84" spans="1:14" x14ac:dyDescent="0.45">
      <c r="A84" s="12">
        <v>45524</v>
      </c>
      <c r="B84" s="2" t="s">
        <v>15</v>
      </c>
      <c r="C84" s="2" t="s">
        <v>16</v>
      </c>
      <c r="D84" s="2" t="s">
        <v>17</v>
      </c>
      <c r="E84" s="2" t="s">
        <v>26</v>
      </c>
      <c r="F84" s="2">
        <v>170904</v>
      </c>
      <c r="G84" s="2">
        <v>4751</v>
      </c>
      <c r="H84" s="2">
        <v>5321.12</v>
      </c>
      <c r="I84" s="2">
        <v>326</v>
      </c>
      <c r="J84" s="2">
        <v>44297.15</v>
      </c>
      <c r="K84" s="4">
        <f t="shared" si="4"/>
        <v>2.7799232317558396E-2</v>
      </c>
      <c r="L84" s="6">
        <f t="shared" si="5"/>
        <v>1.1199999999999999</v>
      </c>
      <c r="M84" s="6">
        <f t="shared" si="6"/>
        <v>16.322453987730061</v>
      </c>
      <c r="N84" s="8">
        <f t="shared" si="7"/>
        <v>8.3247793697567438</v>
      </c>
    </row>
    <row r="85" spans="1:14" x14ac:dyDescent="0.45">
      <c r="A85" s="12">
        <v>45487</v>
      </c>
      <c r="B85" s="2" t="s">
        <v>15</v>
      </c>
      <c r="C85" s="2" t="s">
        <v>16</v>
      </c>
      <c r="D85" s="2" t="s">
        <v>25</v>
      </c>
      <c r="E85" s="2" t="s">
        <v>51</v>
      </c>
      <c r="F85" s="2">
        <v>88807</v>
      </c>
      <c r="G85" s="2">
        <v>4999</v>
      </c>
      <c r="H85" s="2">
        <v>11847.63</v>
      </c>
      <c r="I85" s="2">
        <v>348</v>
      </c>
      <c r="J85" s="2">
        <v>103474.34</v>
      </c>
      <c r="K85" s="4">
        <f t="shared" si="4"/>
        <v>5.629060772236423E-2</v>
      </c>
      <c r="L85" s="6">
        <f t="shared" si="5"/>
        <v>2.3699999999999997</v>
      </c>
      <c r="M85" s="6">
        <f t="shared" si="6"/>
        <v>34.044913793103447</v>
      </c>
      <c r="N85" s="8">
        <f t="shared" si="7"/>
        <v>8.733758566059203</v>
      </c>
    </row>
    <row r="86" spans="1:14" x14ac:dyDescent="0.45">
      <c r="A86" s="12">
        <v>45518</v>
      </c>
      <c r="B86" s="2" t="s">
        <v>35</v>
      </c>
      <c r="C86" s="2" t="s">
        <v>28</v>
      </c>
      <c r="D86" s="2" t="s">
        <v>21</v>
      </c>
      <c r="E86" s="2" t="s">
        <v>33</v>
      </c>
      <c r="F86" s="2">
        <v>157499</v>
      </c>
      <c r="G86" s="2">
        <v>1574</v>
      </c>
      <c r="H86" s="2">
        <v>2770.24</v>
      </c>
      <c r="I86" s="2">
        <v>45</v>
      </c>
      <c r="J86" s="2">
        <v>13465.06</v>
      </c>
      <c r="K86" s="4">
        <f t="shared" si="4"/>
        <v>9.993714245804735E-3</v>
      </c>
      <c r="L86" s="6">
        <f t="shared" si="5"/>
        <v>1.7599999999999998</v>
      </c>
      <c r="M86" s="6">
        <f t="shared" si="6"/>
        <v>61.560888888888883</v>
      </c>
      <c r="N86" s="8">
        <f t="shared" si="7"/>
        <v>4.8606113549728542</v>
      </c>
    </row>
    <row r="87" spans="1:14" x14ac:dyDescent="0.45">
      <c r="A87" s="12">
        <v>45562</v>
      </c>
      <c r="B87" s="2" t="s">
        <v>35</v>
      </c>
      <c r="C87" s="2" t="s">
        <v>16</v>
      </c>
      <c r="D87" s="2" t="s">
        <v>41</v>
      </c>
      <c r="E87" s="2" t="s">
        <v>54</v>
      </c>
      <c r="F87" s="2">
        <v>46846</v>
      </c>
      <c r="G87" s="2">
        <v>983</v>
      </c>
      <c r="H87" s="2">
        <v>707.76</v>
      </c>
      <c r="I87" s="2">
        <v>11</v>
      </c>
      <c r="J87" s="2">
        <v>2501.87</v>
      </c>
      <c r="K87" s="4">
        <f t="shared" si="4"/>
        <v>2.0983648550569951E-2</v>
      </c>
      <c r="L87" s="6">
        <f t="shared" si="5"/>
        <v>0.72</v>
      </c>
      <c r="M87" s="6">
        <f t="shared" si="6"/>
        <v>64.341818181818184</v>
      </c>
      <c r="N87" s="8">
        <f t="shared" si="7"/>
        <v>3.5349129648468405</v>
      </c>
    </row>
    <row r="88" spans="1:14" x14ac:dyDescent="0.45">
      <c r="A88" s="12">
        <v>45553</v>
      </c>
      <c r="B88" s="2" t="s">
        <v>20</v>
      </c>
      <c r="C88" s="2" t="s">
        <v>16</v>
      </c>
      <c r="D88" s="2" t="s">
        <v>17</v>
      </c>
      <c r="E88" s="2" t="s">
        <v>30</v>
      </c>
      <c r="F88" s="2">
        <v>104986</v>
      </c>
      <c r="G88" s="2">
        <v>6131</v>
      </c>
      <c r="H88" s="2">
        <v>2207.16</v>
      </c>
      <c r="I88" s="2">
        <v>219</v>
      </c>
      <c r="J88" s="2">
        <v>57679.5</v>
      </c>
      <c r="K88" s="4">
        <f t="shared" si="4"/>
        <v>5.8398262625492921E-2</v>
      </c>
      <c r="L88" s="6">
        <f t="shared" si="5"/>
        <v>0.36</v>
      </c>
      <c r="M88" s="6">
        <f t="shared" si="6"/>
        <v>10.07835616438356</v>
      </c>
      <c r="N88" s="8">
        <f t="shared" si="7"/>
        <v>26.132903822106236</v>
      </c>
    </row>
    <row r="89" spans="1:14" x14ac:dyDescent="0.45">
      <c r="A89" s="12">
        <v>45436</v>
      </c>
      <c r="B89" s="2" t="s">
        <v>35</v>
      </c>
      <c r="C89" s="2" t="s">
        <v>28</v>
      </c>
      <c r="D89" s="2" t="s">
        <v>21</v>
      </c>
      <c r="E89" s="2" t="s">
        <v>51</v>
      </c>
      <c r="F89" s="2">
        <v>172516</v>
      </c>
      <c r="G89" s="2">
        <v>6314</v>
      </c>
      <c r="H89" s="2">
        <v>4546.08</v>
      </c>
      <c r="I89" s="2">
        <v>335</v>
      </c>
      <c r="J89" s="2">
        <v>82096.800000000003</v>
      </c>
      <c r="K89" s="4">
        <f t="shared" si="4"/>
        <v>3.6599503814138977E-2</v>
      </c>
      <c r="L89" s="6">
        <f t="shared" si="5"/>
        <v>0.72</v>
      </c>
      <c r="M89" s="6">
        <f t="shared" si="6"/>
        <v>13.570388059701493</v>
      </c>
      <c r="N89" s="8">
        <f t="shared" si="7"/>
        <v>18.058811107591595</v>
      </c>
    </row>
    <row r="90" spans="1:14" x14ac:dyDescent="0.45">
      <c r="A90" s="12">
        <v>45527</v>
      </c>
      <c r="B90" s="2" t="s">
        <v>35</v>
      </c>
      <c r="C90" s="2" t="s">
        <v>38</v>
      </c>
      <c r="D90" s="2" t="s">
        <v>41</v>
      </c>
      <c r="E90" s="2" t="s">
        <v>51</v>
      </c>
      <c r="F90" s="2">
        <v>187099</v>
      </c>
      <c r="G90" s="2">
        <v>2469</v>
      </c>
      <c r="H90" s="2">
        <v>2049.27</v>
      </c>
      <c r="I90" s="2">
        <v>103</v>
      </c>
      <c r="J90" s="2">
        <v>3413.17</v>
      </c>
      <c r="K90" s="4">
        <f t="shared" si="4"/>
        <v>1.3196222320803424E-2</v>
      </c>
      <c r="L90" s="6">
        <f t="shared" si="5"/>
        <v>0.83</v>
      </c>
      <c r="M90" s="6">
        <f t="shared" si="6"/>
        <v>19.895825242718445</v>
      </c>
      <c r="N90" s="8">
        <f t="shared" si="7"/>
        <v>1.6655540753536626</v>
      </c>
    </row>
    <row r="91" spans="1:14" x14ac:dyDescent="0.45">
      <c r="A91" s="12">
        <v>45386</v>
      </c>
      <c r="B91" s="2" t="s">
        <v>15</v>
      </c>
      <c r="C91" s="2" t="s">
        <v>28</v>
      </c>
      <c r="D91" s="2" t="s">
        <v>29</v>
      </c>
      <c r="E91" s="2" t="s">
        <v>51</v>
      </c>
      <c r="F91" s="2">
        <v>111661</v>
      </c>
      <c r="G91" s="2">
        <v>3930</v>
      </c>
      <c r="H91" s="2">
        <v>3301.2</v>
      </c>
      <c r="I91" s="2">
        <v>310</v>
      </c>
      <c r="J91" s="2">
        <v>21226.880000000001</v>
      </c>
      <c r="K91" s="4">
        <f t="shared" si="4"/>
        <v>3.5195815907075878E-2</v>
      </c>
      <c r="L91" s="6">
        <f t="shared" si="5"/>
        <v>0.84</v>
      </c>
      <c r="M91" s="6">
        <f t="shared" si="6"/>
        <v>10.649032258064516</v>
      </c>
      <c r="N91" s="8">
        <f t="shared" si="7"/>
        <v>6.4300496789046413</v>
      </c>
    </row>
    <row r="92" spans="1:14" x14ac:dyDescent="0.45">
      <c r="A92" s="12">
        <v>45452</v>
      </c>
      <c r="B92" s="2" t="s">
        <v>35</v>
      </c>
      <c r="C92" s="2" t="s">
        <v>38</v>
      </c>
      <c r="D92" s="2" t="s">
        <v>21</v>
      </c>
      <c r="E92" s="2" t="s">
        <v>30</v>
      </c>
      <c r="F92" s="2">
        <v>79441</v>
      </c>
      <c r="G92" s="2">
        <v>3082</v>
      </c>
      <c r="H92" s="2">
        <v>1633.46</v>
      </c>
      <c r="I92" s="2">
        <v>100</v>
      </c>
      <c r="J92" s="2">
        <v>29391.59</v>
      </c>
      <c r="K92" s="4">
        <f t="shared" si="4"/>
        <v>3.8796087662542014E-2</v>
      </c>
      <c r="L92" s="6">
        <f t="shared" si="5"/>
        <v>0.53</v>
      </c>
      <c r="M92" s="6">
        <f t="shared" si="6"/>
        <v>16.334600000000002</v>
      </c>
      <c r="N92" s="8">
        <f t="shared" si="7"/>
        <v>17.993455609564972</v>
      </c>
    </row>
    <row r="93" spans="1:14" x14ac:dyDescent="0.45">
      <c r="A93" s="12">
        <v>45397</v>
      </c>
      <c r="B93" s="2" t="s">
        <v>15</v>
      </c>
      <c r="C93" s="2" t="s">
        <v>38</v>
      </c>
      <c r="D93" s="2" t="s">
        <v>29</v>
      </c>
      <c r="E93" s="2" t="s">
        <v>54</v>
      </c>
      <c r="F93" s="2">
        <v>14078</v>
      </c>
      <c r="G93" s="2">
        <v>763</v>
      </c>
      <c r="H93" s="2">
        <v>1724.38</v>
      </c>
      <c r="I93" s="2">
        <v>57</v>
      </c>
      <c r="J93" s="2">
        <v>16289.72</v>
      </c>
      <c r="K93" s="4">
        <f t="shared" si="4"/>
        <v>5.4198039494246342E-2</v>
      </c>
      <c r="L93" s="6">
        <f t="shared" si="5"/>
        <v>2.2600000000000002</v>
      </c>
      <c r="M93" s="6">
        <f t="shared" si="6"/>
        <v>30.252280701754387</v>
      </c>
      <c r="N93" s="8">
        <f t="shared" si="7"/>
        <v>9.446711281736043</v>
      </c>
    </row>
    <row r="94" spans="1:14" x14ac:dyDescent="0.45">
      <c r="A94" s="12">
        <v>45298</v>
      </c>
      <c r="B94" s="2" t="s">
        <v>35</v>
      </c>
      <c r="C94" s="2" t="s">
        <v>28</v>
      </c>
      <c r="D94" s="2" t="s">
        <v>17</v>
      </c>
      <c r="E94" s="2" t="s">
        <v>54</v>
      </c>
      <c r="F94" s="2">
        <v>182235</v>
      </c>
      <c r="G94" s="2">
        <v>5047</v>
      </c>
      <c r="H94" s="2">
        <v>3734.78</v>
      </c>
      <c r="I94" s="2">
        <v>260</v>
      </c>
      <c r="J94" s="2">
        <v>53450.65</v>
      </c>
      <c r="K94" s="4">
        <f t="shared" si="4"/>
        <v>2.769500919142865E-2</v>
      </c>
      <c r="L94" s="6">
        <f t="shared" si="5"/>
        <v>0.74</v>
      </c>
      <c r="M94" s="6">
        <f t="shared" si="6"/>
        <v>14.364538461538462</v>
      </c>
      <c r="N94" s="8">
        <f t="shared" si="7"/>
        <v>14.311592650704995</v>
      </c>
    </row>
    <row r="95" spans="1:14" x14ac:dyDescent="0.45">
      <c r="A95" s="12">
        <v>45346</v>
      </c>
      <c r="B95" s="2" t="s">
        <v>35</v>
      </c>
      <c r="C95" s="2" t="s">
        <v>24</v>
      </c>
      <c r="D95" s="2" t="s">
        <v>29</v>
      </c>
      <c r="E95" s="2" t="s">
        <v>33</v>
      </c>
      <c r="F95" s="2">
        <v>128629</v>
      </c>
      <c r="G95" s="2">
        <v>2109</v>
      </c>
      <c r="H95" s="2">
        <v>2720.61</v>
      </c>
      <c r="I95" s="2">
        <v>168</v>
      </c>
      <c r="J95" s="2">
        <v>49256.62</v>
      </c>
      <c r="K95" s="4">
        <f t="shared" si="4"/>
        <v>1.6395991572662465E-2</v>
      </c>
      <c r="L95" s="6">
        <f t="shared" si="5"/>
        <v>1.29</v>
      </c>
      <c r="M95" s="6">
        <f t="shared" si="6"/>
        <v>16.194107142857142</v>
      </c>
      <c r="N95" s="8">
        <f t="shared" si="7"/>
        <v>18.104991160070721</v>
      </c>
    </row>
    <row r="96" spans="1:14" x14ac:dyDescent="0.45">
      <c r="A96" s="12">
        <v>45384</v>
      </c>
      <c r="B96" s="2" t="s">
        <v>35</v>
      </c>
      <c r="C96" s="2" t="s">
        <v>38</v>
      </c>
      <c r="D96" s="2" t="s">
        <v>17</v>
      </c>
      <c r="E96" s="2" t="s">
        <v>33</v>
      </c>
      <c r="F96" s="2">
        <v>21309</v>
      </c>
      <c r="G96" s="2">
        <v>432</v>
      </c>
      <c r="H96" s="2">
        <v>717.12</v>
      </c>
      <c r="I96" s="2">
        <v>15</v>
      </c>
      <c r="J96" s="2">
        <v>4449.9799999999996</v>
      </c>
      <c r="K96" s="4">
        <f t="shared" si="4"/>
        <v>2.0273124032099112E-2</v>
      </c>
      <c r="L96" s="6">
        <f t="shared" si="5"/>
        <v>1.66</v>
      </c>
      <c r="M96" s="6">
        <f t="shared" si="6"/>
        <v>47.808</v>
      </c>
      <c r="N96" s="8">
        <f t="shared" si="7"/>
        <v>6.2053491744756801</v>
      </c>
    </row>
    <row r="97" spans="1:14" x14ac:dyDescent="0.45">
      <c r="A97" s="12">
        <v>45541</v>
      </c>
      <c r="B97" s="2" t="s">
        <v>15</v>
      </c>
      <c r="C97" s="2" t="s">
        <v>16</v>
      </c>
      <c r="D97" s="2" t="s">
        <v>17</v>
      </c>
      <c r="E97" s="2" t="s">
        <v>26</v>
      </c>
      <c r="F97" s="2">
        <v>167932</v>
      </c>
      <c r="G97" s="2">
        <v>6717</v>
      </c>
      <c r="H97" s="2">
        <v>16523.82</v>
      </c>
      <c r="I97" s="2">
        <v>247</v>
      </c>
      <c r="J97" s="2">
        <v>38475.06</v>
      </c>
      <c r="K97" s="4">
        <f t="shared" si="4"/>
        <v>3.9998332658456995E-2</v>
      </c>
      <c r="L97" s="6">
        <f t="shared" si="5"/>
        <v>2.46</v>
      </c>
      <c r="M97" s="6">
        <f t="shared" si="6"/>
        <v>66.898056680161943</v>
      </c>
      <c r="N97" s="8">
        <f t="shared" si="7"/>
        <v>2.3284603681231095</v>
      </c>
    </row>
    <row r="98" spans="1:14" x14ac:dyDescent="0.45">
      <c r="A98" s="12">
        <v>45299</v>
      </c>
      <c r="B98" s="2" t="s">
        <v>20</v>
      </c>
      <c r="C98" s="2" t="s">
        <v>16</v>
      </c>
      <c r="D98" s="2" t="s">
        <v>17</v>
      </c>
      <c r="E98" s="2" t="s">
        <v>22</v>
      </c>
      <c r="F98" s="2">
        <v>162795</v>
      </c>
      <c r="G98" s="2">
        <v>8107</v>
      </c>
      <c r="H98" s="2">
        <v>7782.72</v>
      </c>
      <c r="I98" s="2">
        <v>575</v>
      </c>
      <c r="J98" s="2">
        <v>86383.64</v>
      </c>
      <c r="K98" s="4">
        <f t="shared" si="4"/>
        <v>4.9798826745293158E-2</v>
      </c>
      <c r="L98" s="6">
        <f t="shared" si="5"/>
        <v>0.96000000000000008</v>
      </c>
      <c r="M98" s="6">
        <f t="shared" si="6"/>
        <v>13.535165217391304</v>
      </c>
      <c r="N98" s="8">
        <f t="shared" si="7"/>
        <v>11.099415114510094</v>
      </c>
    </row>
    <row r="99" spans="1:14" x14ac:dyDescent="0.45">
      <c r="A99" s="12">
        <v>45522</v>
      </c>
      <c r="B99" s="2" t="s">
        <v>35</v>
      </c>
      <c r="C99" s="2" t="s">
        <v>16</v>
      </c>
      <c r="D99" s="2" t="s">
        <v>21</v>
      </c>
      <c r="E99" s="2" t="s">
        <v>22</v>
      </c>
      <c r="F99" s="2">
        <v>50893</v>
      </c>
      <c r="G99" s="2">
        <v>1124</v>
      </c>
      <c r="H99" s="2">
        <v>1584.84</v>
      </c>
      <c r="I99" s="2">
        <v>29</v>
      </c>
      <c r="J99" s="2">
        <v>2707.5</v>
      </c>
      <c r="K99" s="4">
        <f t="shared" si="4"/>
        <v>2.2085552040555675E-2</v>
      </c>
      <c r="L99" s="6">
        <f t="shared" si="5"/>
        <v>1.41</v>
      </c>
      <c r="M99" s="6">
        <f t="shared" si="6"/>
        <v>54.649655172413787</v>
      </c>
      <c r="N99" s="8">
        <f t="shared" si="7"/>
        <v>1.7083743469372303</v>
      </c>
    </row>
    <row r="100" spans="1:14" x14ac:dyDescent="0.45">
      <c r="A100" s="12">
        <v>45557</v>
      </c>
      <c r="B100" s="2" t="s">
        <v>20</v>
      </c>
      <c r="C100" s="2" t="s">
        <v>38</v>
      </c>
      <c r="D100" s="2" t="s">
        <v>29</v>
      </c>
      <c r="E100" s="2" t="s">
        <v>18</v>
      </c>
      <c r="F100" s="2">
        <v>81619</v>
      </c>
      <c r="G100" s="2">
        <v>3623</v>
      </c>
      <c r="H100" s="2">
        <v>1702.81</v>
      </c>
      <c r="I100" s="2">
        <v>222</v>
      </c>
      <c r="J100" s="2">
        <v>46448.44</v>
      </c>
      <c r="K100" s="4">
        <f t="shared" si="4"/>
        <v>4.4389174089366448E-2</v>
      </c>
      <c r="L100" s="6">
        <f t="shared" si="5"/>
        <v>0.47</v>
      </c>
      <c r="M100" s="6">
        <f t="shared" si="6"/>
        <v>7.6703153153153147</v>
      </c>
      <c r="N100" s="8">
        <f t="shared" si="7"/>
        <v>27.277523622717744</v>
      </c>
    </row>
    <row r="101" spans="1:14" x14ac:dyDescent="0.45">
      <c r="A101" s="12">
        <v>45498</v>
      </c>
      <c r="B101" s="2" t="s">
        <v>35</v>
      </c>
      <c r="C101" s="2" t="s">
        <v>16</v>
      </c>
      <c r="D101" s="2" t="s">
        <v>21</v>
      </c>
      <c r="E101" s="2" t="s">
        <v>30</v>
      </c>
      <c r="F101" s="2">
        <v>154381</v>
      </c>
      <c r="G101" s="2">
        <v>1698</v>
      </c>
      <c r="H101" s="2">
        <v>3141.3</v>
      </c>
      <c r="I101" s="2">
        <v>70</v>
      </c>
      <c r="J101" s="2">
        <v>19750.240000000002</v>
      </c>
      <c r="K101" s="4">
        <f t="shared" si="4"/>
        <v>1.09987628011219E-2</v>
      </c>
      <c r="L101" s="6">
        <f t="shared" si="5"/>
        <v>1.85</v>
      </c>
      <c r="M101" s="6">
        <f t="shared" si="6"/>
        <v>44.875714285714288</v>
      </c>
      <c r="N101" s="8">
        <f t="shared" si="7"/>
        <v>6.2872823353388725</v>
      </c>
    </row>
    <row r="102" spans="1:14" x14ac:dyDescent="0.45">
      <c r="A102" s="12">
        <v>45303</v>
      </c>
      <c r="B102" s="2" t="s">
        <v>15</v>
      </c>
      <c r="C102" s="2" t="s">
        <v>16</v>
      </c>
      <c r="D102" s="2" t="s">
        <v>17</v>
      </c>
      <c r="E102" s="2" t="s">
        <v>51</v>
      </c>
      <c r="F102" s="2">
        <v>124273</v>
      </c>
      <c r="G102" s="2">
        <v>3603</v>
      </c>
      <c r="H102" s="2">
        <v>5584.65</v>
      </c>
      <c r="I102" s="2">
        <v>167</v>
      </c>
      <c r="J102" s="2">
        <v>20460.25</v>
      </c>
      <c r="K102" s="4">
        <f t="shared" si="4"/>
        <v>2.8992621084225859E-2</v>
      </c>
      <c r="L102" s="6">
        <f t="shared" si="5"/>
        <v>1.5499999999999998</v>
      </c>
      <c r="M102" s="6">
        <f t="shared" si="6"/>
        <v>33.441017964071854</v>
      </c>
      <c r="N102" s="8">
        <f t="shared" si="7"/>
        <v>3.6636584208500089</v>
      </c>
    </row>
    <row r="103" spans="1:14" x14ac:dyDescent="0.45">
      <c r="A103" s="12">
        <v>45627</v>
      </c>
      <c r="B103" s="2" t="s">
        <v>35</v>
      </c>
      <c r="C103" s="2" t="s">
        <v>24</v>
      </c>
      <c r="D103" s="2" t="s">
        <v>25</v>
      </c>
      <c r="E103" s="2" t="s">
        <v>30</v>
      </c>
      <c r="F103" s="2">
        <v>6969</v>
      </c>
      <c r="G103" s="2">
        <v>176</v>
      </c>
      <c r="H103" s="2">
        <v>190.08</v>
      </c>
      <c r="I103" s="2">
        <v>10</v>
      </c>
      <c r="J103" s="2">
        <v>2562.91</v>
      </c>
      <c r="K103" s="4">
        <f t="shared" si="4"/>
        <v>2.5254699382981777E-2</v>
      </c>
      <c r="L103" s="6">
        <f t="shared" si="5"/>
        <v>1.08</v>
      </c>
      <c r="M103" s="6">
        <f t="shared" si="6"/>
        <v>19.008000000000003</v>
      </c>
      <c r="N103" s="8">
        <f t="shared" si="7"/>
        <v>13.48332281144781</v>
      </c>
    </row>
    <row r="104" spans="1:14" x14ac:dyDescent="0.45">
      <c r="A104" s="12">
        <v>45436</v>
      </c>
      <c r="B104" s="2" t="s">
        <v>20</v>
      </c>
      <c r="C104" s="2" t="s">
        <v>38</v>
      </c>
      <c r="D104" s="2" t="s">
        <v>29</v>
      </c>
      <c r="E104" s="2" t="s">
        <v>22</v>
      </c>
      <c r="F104" s="2">
        <v>29089</v>
      </c>
      <c r="G104" s="2">
        <v>1076</v>
      </c>
      <c r="H104" s="2">
        <v>699.4</v>
      </c>
      <c r="I104" s="2">
        <v>40</v>
      </c>
      <c r="J104" s="2">
        <v>8233.32</v>
      </c>
      <c r="K104" s="4">
        <f t="shared" si="4"/>
        <v>3.6989927463989825E-2</v>
      </c>
      <c r="L104" s="6">
        <f t="shared" si="5"/>
        <v>0.65</v>
      </c>
      <c r="M104" s="6">
        <f t="shared" si="6"/>
        <v>17.484999999999999</v>
      </c>
      <c r="N104" s="8">
        <f t="shared" si="7"/>
        <v>11.771975979410923</v>
      </c>
    </row>
    <row r="105" spans="1:14" x14ac:dyDescent="0.45">
      <c r="A105" s="12">
        <v>45483</v>
      </c>
      <c r="B105" s="2" t="s">
        <v>15</v>
      </c>
      <c r="C105" s="2" t="s">
        <v>28</v>
      </c>
      <c r="D105" s="2" t="s">
        <v>29</v>
      </c>
      <c r="E105" s="2" t="s">
        <v>22</v>
      </c>
      <c r="F105" s="2">
        <v>10704</v>
      </c>
      <c r="G105" s="2">
        <v>489</v>
      </c>
      <c r="H105" s="2">
        <v>836.19</v>
      </c>
      <c r="I105" s="2">
        <v>36</v>
      </c>
      <c r="J105" s="2">
        <v>5339.04</v>
      </c>
      <c r="K105" s="4">
        <f t="shared" si="4"/>
        <v>4.5683856502242152E-2</v>
      </c>
      <c r="L105" s="6">
        <f t="shared" si="5"/>
        <v>1.7100000000000002</v>
      </c>
      <c r="M105" s="6">
        <f t="shared" si="6"/>
        <v>23.227500000000003</v>
      </c>
      <c r="N105" s="8">
        <f t="shared" si="7"/>
        <v>6.3849603558999748</v>
      </c>
    </row>
    <row r="106" spans="1:14" x14ac:dyDescent="0.45">
      <c r="A106" s="12">
        <v>45630</v>
      </c>
      <c r="B106" s="2" t="s">
        <v>20</v>
      </c>
      <c r="C106" s="2" t="s">
        <v>16</v>
      </c>
      <c r="D106" s="2" t="s">
        <v>41</v>
      </c>
      <c r="E106" s="2" t="s">
        <v>54</v>
      </c>
      <c r="F106" s="2">
        <v>22772</v>
      </c>
      <c r="G106" s="2">
        <v>1045</v>
      </c>
      <c r="H106" s="2">
        <v>992.75</v>
      </c>
      <c r="I106" s="2">
        <v>38</v>
      </c>
      <c r="J106" s="2">
        <v>5743.6</v>
      </c>
      <c r="K106" s="4">
        <f t="shared" si="4"/>
        <v>4.5889689091867206E-2</v>
      </c>
      <c r="L106" s="6">
        <f t="shared" si="5"/>
        <v>0.95</v>
      </c>
      <c r="M106" s="6">
        <f t="shared" si="6"/>
        <v>26.125</v>
      </c>
      <c r="N106" s="8">
        <f t="shared" si="7"/>
        <v>5.7855452027197183</v>
      </c>
    </row>
    <row r="107" spans="1:14" x14ac:dyDescent="0.45">
      <c r="A107" s="12">
        <v>45393</v>
      </c>
      <c r="B107" s="2" t="s">
        <v>15</v>
      </c>
      <c r="C107" s="2" t="s">
        <v>16</v>
      </c>
      <c r="D107" s="2" t="s">
        <v>17</v>
      </c>
      <c r="E107" s="2" t="s">
        <v>30</v>
      </c>
      <c r="F107" s="2">
        <v>68449</v>
      </c>
      <c r="G107" s="2">
        <v>3285</v>
      </c>
      <c r="H107" s="2">
        <v>7818.3</v>
      </c>
      <c r="I107" s="2">
        <v>243</v>
      </c>
      <c r="J107" s="2">
        <v>60681.21</v>
      </c>
      <c r="K107" s="4">
        <f t="shared" si="4"/>
        <v>4.7991935601688851E-2</v>
      </c>
      <c r="L107" s="6">
        <f t="shared" si="5"/>
        <v>2.38</v>
      </c>
      <c r="M107" s="6">
        <f t="shared" si="6"/>
        <v>32.174074074074078</v>
      </c>
      <c r="N107" s="8">
        <f t="shared" si="7"/>
        <v>7.7614327922949995</v>
      </c>
    </row>
    <row r="108" spans="1:14" x14ac:dyDescent="0.45">
      <c r="A108" s="12">
        <v>45591</v>
      </c>
      <c r="B108" s="2" t="s">
        <v>15</v>
      </c>
      <c r="C108" s="2" t="s">
        <v>16</v>
      </c>
      <c r="D108" s="2" t="s">
        <v>29</v>
      </c>
      <c r="E108" s="2" t="s">
        <v>18</v>
      </c>
      <c r="F108" s="2">
        <v>51819</v>
      </c>
      <c r="G108" s="2">
        <v>2497</v>
      </c>
      <c r="H108" s="2">
        <v>7191.36</v>
      </c>
      <c r="I108" s="2">
        <v>138</v>
      </c>
      <c r="J108" s="2">
        <v>37600.620000000003</v>
      </c>
      <c r="K108" s="4">
        <f t="shared" si="4"/>
        <v>4.8186958451533222E-2</v>
      </c>
      <c r="L108" s="6">
        <f t="shared" si="5"/>
        <v>2.88</v>
      </c>
      <c r="M108" s="6">
        <f t="shared" si="6"/>
        <v>52.111304347826085</v>
      </c>
      <c r="N108" s="8">
        <f t="shared" si="7"/>
        <v>5.2285826324923246</v>
      </c>
    </row>
    <row r="109" spans="1:14" x14ac:dyDescent="0.45">
      <c r="A109" s="12">
        <v>45615</v>
      </c>
      <c r="B109" s="2" t="s">
        <v>15</v>
      </c>
      <c r="C109" s="2" t="s">
        <v>24</v>
      </c>
      <c r="D109" s="2" t="s">
        <v>17</v>
      </c>
      <c r="E109" s="2" t="s">
        <v>54</v>
      </c>
      <c r="F109" s="2">
        <v>173722</v>
      </c>
      <c r="G109" s="2">
        <v>3821</v>
      </c>
      <c r="H109" s="2">
        <v>5884.34</v>
      </c>
      <c r="I109" s="2">
        <v>201</v>
      </c>
      <c r="J109" s="2">
        <v>44895.5</v>
      </c>
      <c r="K109" s="4">
        <f t="shared" si="4"/>
        <v>2.1994911410184087E-2</v>
      </c>
      <c r="L109" s="6">
        <f t="shared" si="5"/>
        <v>1.54</v>
      </c>
      <c r="M109" s="6">
        <f t="shared" si="6"/>
        <v>29.275323383084579</v>
      </c>
      <c r="N109" s="8">
        <f t="shared" si="7"/>
        <v>7.62965770162839</v>
      </c>
    </row>
    <row r="110" spans="1:14" x14ac:dyDescent="0.45">
      <c r="A110" s="12">
        <v>45641</v>
      </c>
      <c r="B110" s="2" t="s">
        <v>15</v>
      </c>
      <c r="C110" s="2" t="s">
        <v>28</v>
      </c>
      <c r="D110" s="2" t="s">
        <v>29</v>
      </c>
      <c r="E110" s="2" t="s">
        <v>26</v>
      </c>
      <c r="F110" s="2">
        <v>119014</v>
      </c>
      <c r="G110" s="2">
        <v>5938</v>
      </c>
      <c r="H110" s="2">
        <v>17101.439999999999</v>
      </c>
      <c r="I110" s="2">
        <v>95</v>
      </c>
      <c r="J110" s="2">
        <v>23773.95</v>
      </c>
      <c r="K110" s="4">
        <f t="shared" si="4"/>
        <v>4.9893289865057894E-2</v>
      </c>
      <c r="L110" s="6">
        <f t="shared" si="5"/>
        <v>2.88</v>
      </c>
      <c r="M110" s="6">
        <f t="shared" si="6"/>
        <v>180.01515789473683</v>
      </c>
      <c r="N110" s="8">
        <f t="shared" si="7"/>
        <v>1.3901724065341867</v>
      </c>
    </row>
    <row r="111" spans="1:14" x14ac:dyDescent="0.45">
      <c r="A111" s="12">
        <v>45432</v>
      </c>
      <c r="B111" s="2" t="s">
        <v>15</v>
      </c>
      <c r="C111" s="2" t="s">
        <v>16</v>
      </c>
      <c r="D111" s="2" t="s">
        <v>29</v>
      </c>
      <c r="E111" s="2" t="s">
        <v>54</v>
      </c>
      <c r="F111" s="2">
        <v>159741</v>
      </c>
      <c r="G111" s="2">
        <v>6868</v>
      </c>
      <c r="H111" s="2">
        <v>9409.16</v>
      </c>
      <c r="I111" s="2">
        <v>336</v>
      </c>
      <c r="J111" s="2">
        <v>33272.11</v>
      </c>
      <c r="K111" s="4">
        <f t="shared" si="4"/>
        <v>4.2994597504710748E-2</v>
      </c>
      <c r="L111" s="6">
        <f t="shared" si="5"/>
        <v>1.3699999999999999</v>
      </c>
      <c r="M111" s="6">
        <f t="shared" si="6"/>
        <v>28.003452380952382</v>
      </c>
      <c r="N111" s="8">
        <f t="shared" si="7"/>
        <v>3.5361403143319916</v>
      </c>
    </row>
    <row r="112" spans="1:14" x14ac:dyDescent="0.45">
      <c r="A112" s="12">
        <v>45351</v>
      </c>
      <c r="B112" s="2" t="s">
        <v>15</v>
      </c>
      <c r="C112" s="2" t="s">
        <v>28</v>
      </c>
      <c r="D112" s="2" t="s">
        <v>17</v>
      </c>
      <c r="E112" s="2" t="s">
        <v>30</v>
      </c>
      <c r="F112" s="2">
        <v>167982</v>
      </c>
      <c r="G112" s="2">
        <v>7693</v>
      </c>
      <c r="H112" s="2">
        <v>20309.52</v>
      </c>
      <c r="I112" s="2">
        <v>193</v>
      </c>
      <c r="J112" s="2">
        <v>10777.69</v>
      </c>
      <c r="K112" s="4">
        <f t="shared" si="4"/>
        <v>4.5796573442392637E-2</v>
      </c>
      <c r="L112" s="6">
        <f t="shared" si="5"/>
        <v>2.64</v>
      </c>
      <c r="M112" s="6">
        <f t="shared" si="6"/>
        <v>105.23067357512953</v>
      </c>
      <c r="N112" s="8">
        <f t="shared" si="7"/>
        <v>0.53067182286927517</v>
      </c>
    </row>
    <row r="113" spans="1:14" x14ac:dyDescent="0.45">
      <c r="A113" s="12">
        <v>45451</v>
      </c>
      <c r="B113" s="2" t="s">
        <v>15</v>
      </c>
      <c r="C113" s="2" t="s">
        <v>24</v>
      </c>
      <c r="D113" s="2" t="s">
        <v>17</v>
      </c>
      <c r="E113" s="2" t="s">
        <v>30</v>
      </c>
      <c r="F113" s="2">
        <v>96658</v>
      </c>
      <c r="G113" s="2">
        <v>2822</v>
      </c>
      <c r="H113" s="2">
        <v>9510.14</v>
      </c>
      <c r="I113" s="2">
        <v>112</v>
      </c>
      <c r="J113" s="2">
        <v>25060.16</v>
      </c>
      <c r="K113" s="4">
        <f t="shared" si="4"/>
        <v>2.9195720995675474E-2</v>
      </c>
      <c r="L113" s="6">
        <f t="shared" si="5"/>
        <v>3.3699999999999997</v>
      </c>
      <c r="M113" s="6">
        <f t="shared" si="6"/>
        <v>84.911964285714276</v>
      </c>
      <c r="N113" s="8">
        <f t="shared" si="7"/>
        <v>2.6350989575337485</v>
      </c>
    </row>
    <row r="114" spans="1:14" x14ac:dyDescent="0.45">
      <c r="A114" s="12">
        <v>45310</v>
      </c>
      <c r="B114" s="2" t="s">
        <v>35</v>
      </c>
      <c r="C114" s="2" t="s">
        <v>24</v>
      </c>
      <c r="D114" s="2" t="s">
        <v>21</v>
      </c>
      <c r="E114" s="2" t="s">
        <v>51</v>
      </c>
      <c r="F114" s="2">
        <v>43467</v>
      </c>
      <c r="G114" s="2">
        <v>991</v>
      </c>
      <c r="H114" s="2">
        <v>1882.9</v>
      </c>
      <c r="I114" s="2">
        <v>25</v>
      </c>
      <c r="J114" s="2">
        <v>3146.23</v>
      </c>
      <c r="K114" s="4">
        <f t="shared" si="4"/>
        <v>2.279890491637334E-2</v>
      </c>
      <c r="L114" s="6">
        <f t="shared" si="5"/>
        <v>1.9000000000000001</v>
      </c>
      <c r="M114" s="6">
        <f t="shared" si="6"/>
        <v>75.316000000000003</v>
      </c>
      <c r="N114" s="8">
        <f t="shared" si="7"/>
        <v>1.6709490679271337</v>
      </c>
    </row>
    <row r="115" spans="1:14" x14ac:dyDescent="0.45">
      <c r="A115" s="12">
        <v>45296</v>
      </c>
      <c r="B115" s="2" t="s">
        <v>15</v>
      </c>
      <c r="C115" s="2" t="s">
        <v>16</v>
      </c>
      <c r="D115" s="2" t="s">
        <v>21</v>
      </c>
      <c r="E115" s="2" t="s">
        <v>22</v>
      </c>
      <c r="F115" s="2">
        <v>41378</v>
      </c>
      <c r="G115" s="2">
        <v>2023</v>
      </c>
      <c r="H115" s="2">
        <v>2488.29</v>
      </c>
      <c r="I115" s="2">
        <v>73</v>
      </c>
      <c r="J115" s="2">
        <v>9343.6299999999992</v>
      </c>
      <c r="K115" s="4">
        <f t="shared" si="4"/>
        <v>4.8890714872637631E-2</v>
      </c>
      <c r="L115" s="6">
        <f t="shared" si="5"/>
        <v>1.23</v>
      </c>
      <c r="M115" s="6">
        <f t="shared" si="6"/>
        <v>34.086164383561645</v>
      </c>
      <c r="N115" s="8">
        <f t="shared" si="7"/>
        <v>3.7550406102182619</v>
      </c>
    </row>
    <row r="116" spans="1:14" x14ac:dyDescent="0.45">
      <c r="A116" s="12">
        <v>45591</v>
      </c>
      <c r="B116" s="2" t="s">
        <v>20</v>
      </c>
      <c r="C116" s="2" t="s">
        <v>24</v>
      </c>
      <c r="D116" s="2" t="s">
        <v>21</v>
      </c>
      <c r="E116" s="2" t="s">
        <v>51</v>
      </c>
      <c r="F116" s="2">
        <v>100673</v>
      </c>
      <c r="G116" s="2">
        <v>5718</v>
      </c>
      <c r="H116" s="2">
        <v>6003.9</v>
      </c>
      <c r="I116" s="2">
        <v>196</v>
      </c>
      <c r="J116" s="2">
        <v>41067.129999999997</v>
      </c>
      <c r="K116" s="4">
        <f t="shared" si="4"/>
        <v>5.6797751134862379E-2</v>
      </c>
      <c r="L116" s="6">
        <f t="shared" si="5"/>
        <v>1.05</v>
      </c>
      <c r="M116" s="6">
        <f t="shared" si="6"/>
        <v>30.632142857142856</v>
      </c>
      <c r="N116" s="8">
        <f t="shared" si="7"/>
        <v>6.8400756175152821</v>
      </c>
    </row>
    <row r="117" spans="1:14" x14ac:dyDescent="0.45">
      <c r="A117" s="12">
        <v>45639</v>
      </c>
      <c r="B117" s="2" t="s">
        <v>20</v>
      </c>
      <c r="C117" s="2" t="s">
        <v>28</v>
      </c>
      <c r="D117" s="2" t="s">
        <v>25</v>
      </c>
      <c r="E117" s="2" t="s">
        <v>54</v>
      </c>
      <c r="F117" s="2">
        <v>191994</v>
      </c>
      <c r="G117" s="2">
        <v>14898</v>
      </c>
      <c r="H117" s="2">
        <v>16089.84</v>
      </c>
      <c r="I117" s="2">
        <v>936</v>
      </c>
      <c r="J117" s="2">
        <v>60355.75</v>
      </c>
      <c r="K117" s="4">
        <f t="shared" si="4"/>
        <v>7.759617488046501E-2</v>
      </c>
      <c r="L117" s="6">
        <f t="shared" si="5"/>
        <v>1.08</v>
      </c>
      <c r="M117" s="6">
        <f t="shared" si="6"/>
        <v>17.190000000000001</v>
      </c>
      <c r="N117" s="8">
        <f t="shared" si="7"/>
        <v>3.7511715467649149</v>
      </c>
    </row>
    <row r="118" spans="1:14" x14ac:dyDescent="0.45">
      <c r="A118" s="12">
        <v>45433</v>
      </c>
      <c r="B118" s="2" t="s">
        <v>20</v>
      </c>
      <c r="C118" s="2" t="s">
        <v>38</v>
      </c>
      <c r="D118" s="2" t="s">
        <v>21</v>
      </c>
      <c r="E118" s="2" t="s">
        <v>22</v>
      </c>
      <c r="F118" s="2">
        <v>152235</v>
      </c>
      <c r="G118" s="2">
        <v>6104</v>
      </c>
      <c r="H118" s="2">
        <v>4455.92</v>
      </c>
      <c r="I118" s="2">
        <v>252</v>
      </c>
      <c r="J118" s="2">
        <v>48424.44</v>
      </c>
      <c r="K118" s="4">
        <f t="shared" si="4"/>
        <v>4.0095904358393275E-2</v>
      </c>
      <c r="L118" s="6">
        <f t="shared" si="5"/>
        <v>0.73</v>
      </c>
      <c r="M118" s="6">
        <f t="shared" si="6"/>
        <v>17.682222222222222</v>
      </c>
      <c r="N118" s="8">
        <f t="shared" si="7"/>
        <v>10.867439271800212</v>
      </c>
    </row>
    <row r="119" spans="1:14" x14ac:dyDescent="0.45">
      <c r="A119" s="12">
        <v>45633</v>
      </c>
      <c r="B119" s="2" t="s">
        <v>35</v>
      </c>
      <c r="C119" s="2" t="s">
        <v>24</v>
      </c>
      <c r="D119" s="2" t="s">
        <v>17</v>
      </c>
      <c r="E119" s="2" t="s">
        <v>54</v>
      </c>
      <c r="F119" s="2">
        <v>66929</v>
      </c>
      <c r="G119" s="2">
        <v>1539</v>
      </c>
      <c r="H119" s="2">
        <v>1862.19</v>
      </c>
      <c r="I119" s="2">
        <v>38</v>
      </c>
      <c r="J119" s="2">
        <v>9540.2199999999993</v>
      </c>
      <c r="K119" s="4">
        <f t="shared" si="4"/>
        <v>2.2994516577268448E-2</v>
      </c>
      <c r="L119" s="6">
        <f t="shared" si="5"/>
        <v>1.21</v>
      </c>
      <c r="M119" s="6">
        <f t="shared" si="6"/>
        <v>49.005000000000003</v>
      </c>
      <c r="N119" s="8">
        <f t="shared" si="7"/>
        <v>5.1231184787803601</v>
      </c>
    </row>
    <row r="120" spans="1:14" x14ac:dyDescent="0.45">
      <c r="A120" s="12">
        <v>45421</v>
      </c>
      <c r="B120" s="2" t="s">
        <v>15</v>
      </c>
      <c r="C120" s="2" t="s">
        <v>24</v>
      </c>
      <c r="D120" s="2" t="s">
        <v>29</v>
      </c>
      <c r="E120" s="2" t="s">
        <v>33</v>
      </c>
      <c r="F120" s="2">
        <v>188202</v>
      </c>
      <c r="G120" s="2">
        <v>7189</v>
      </c>
      <c r="H120" s="2">
        <v>8267.35</v>
      </c>
      <c r="I120" s="2">
        <v>376</v>
      </c>
      <c r="J120" s="2">
        <v>88923.49</v>
      </c>
      <c r="K120" s="4">
        <f t="shared" si="4"/>
        <v>3.8198318827642637E-2</v>
      </c>
      <c r="L120" s="6">
        <f t="shared" si="5"/>
        <v>1.1500000000000001</v>
      </c>
      <c r="M120" s="6">
        <f t="shared" si="6"/>
        <v>21.987632978723404</v>
      </c>
      <c r="N120" s="8">
        <f t="shared" si="7"/>
        <v>10.755984686749684</v>
      </c>
    </row>
    <row r="121" spans="1:14" x14ac:dyDescent="0.45">
      <c r="A121" s="12">
        <v>45316</v>
      </c>
      <c r="B121" s="2" t="s">
        <v>15</v>
      </c>
      <c r="C121" s="2" t="s">
        <v>24</v>
      </c>
      <c r="D121" s="2" t="s">
        <v>17</v>
      </c>
      <c r="E121" s="2" t="s">
        <v>26</v>
      </c>
      <c r="F121" s="2">
        <v>184316</v>
      </c>
      <c r="G121" s="2">
        <v>4091</v>
      </c>
      <c r="H121" s="2">
        <v>4254.6400000000003</v>
      </c>
      <c r="I121" s="2">
        <v>309</v>
      </c>
      <c r="J121" s="2">
        <v>82363.460000000006</v>
      </c>
      <c r="K121" s="4">
        <f t="shared" si="4"/>
        <v>2.2195577160962696E-2</v>
      </c>
      <c r="L121" s="6">
        <f t="shared" si="5"/>
        <v>1.04</v>
      </c>
      <c r="M121" s="6">
        <f t="shared" si="6"/>
        <v>13.76906148867314</v>
      </c>
      <c r="N121" s="8">
        <f t="shared" si="7"/>
        <v>19.358502717033637</v>
      </c>
    </row>
    <row r="122" spans="1:14" x14ac:dyDescent="0.45">
      <c r="A122" s="12">
        <v>45545</v>
      </c>
      <c r="B122" s="2" t="s">
        <v>15</v>
      </c>
      <c r="C122" s="2" t="s">
        <v>24</v>
      </c>
      <c r="D122" s="2" t="s">
        <v>25</v>
      </c>
      <c r="E122" s="2" t="s">
        <v>33</v>
      </c>
      <c r="F122" s="2">
        <v>65545</v>
      </c>
      <c r="G122" s="2">
        <v>3355</v>
      </c>
      <c r="H122" s="2">
        <v>5938.35</v>
      </c>
      <c r="I122" s="2">
        <v>196</v>
      </c>
      <c r="J122" s="2">
        <v>57936.29</v>
      </c>
      <c r="K122" s="4">
        <f t="shared" si="4"/>
        <v>5.118620794873751E-2</v>
      </c>
      <c r="L122" s="6">
        <f t="shared" si="5"/>
        <v>1.77</v>
      </c>
      <c r="M122" s="6">
        <f t="shared" si="6"/>
        <v>30.297704081632656</v>
      </c>
      <c r="N122" s="8">
        <f t="shared" si="7"/>
        <v>9.75629425682218</v>
      </c>
    </row>
    <row r="123" spans="1:14" x14ac:dyDescent="0.45">
      <c r="A123" s="12">
        <v>45447</v>
      </c>
      <c r="B123" s="2" t="s">
        <v>15</v>
      </c>
      <c r="C123" s="2" t="s">
        <v>24</v>
      </c>
      <c r="D123" s="2" t="s">
        <v>25</v>
      </c>
      <c r="E123" s="2" t="s">
        <v>26</v>
      </c>
      <c r="F123" s="2">
        <v>33141</v>
      </c>
      <c r="G123" s="2">
        <v>798</v>
      </c>
      <c r="H123" s="2">
        <v>2625.42</v>
      </c>
      <c r="I123" s="2">
        <v>42</v>
      </c>
      <c r="J123" s="2">
        <v>7236.65</v>
      </c>
      <c r="K123" s="4">
        <f t="shared" si="4"/>
        <v>2.4078935457590295E-2</v>
      </c>
      <c r="L123" s="6">
        <f t="shared" si="5"/>
        <v>3.29</v>
      </c>
      <c r="M123" s="6">
        <f t="shared" si="6"/>
        <v>62.510000000000005</v>
      </c>
      <c r="N123" s="8">
        <f t="shared" si="7"/>
        <v>2.7563780271347058</v>
      </c>
    </row>
    <row r="124" spans="1:14" x14ac:dyDescent="0.45">
      <c r="A124" s="12">
        <v>45482</v>
      </c>
      <c r="B124" s="2" t="s">
        <v>35</v>
      </c>
      <c r="C124" s="2" t="s">
        <v>24</v>
      </c>
      <c r="D124" s="2" t="s">
        <v>25</v>
      </c>
      <c r="E124" s="2" t="s">
        <v>30</v>
      </c>
      <c r="F124" s="2">
        <v>76229</v>
      </c>
      <c r="G124" s="2">
        <v>1562</v>
      </c>
      <c r="H124" s="2">
        <v>1577.62</v>
      </c>
      <c r="I124" s="2">
        <v>30</v>
      </c>
      <c r="J124" s="2">
        <v>4290.5</v>
      </c>
      <c r="K124" s="4">
        <f t="shared" si="4"/>
        <v>2.0490889294100669E-2</v>
      </c>
      <c r="L124" s="6">
        <f t="shared" si="5"/>
        <v>1.01</v>
      </c>
      <c r="M124" s="6">
        <f t="shared" si="6"/>
        <v>52.587333333333326</v>
      </c>
      <c r="N124" s="8">
        <f t="shared" si="7"/>
        <v>2.7196029462101143</v>
      </c>
    </row>
    <row r="125" spans="1:14" x14ac:dyDescent="0.45">
      <c r="A125" s="12">
        <v>45605</v>
      </c>
      <c r="B125" s="2" t="s">
        <v>20</v>
      </c>
      <c r="C125" s="2" t="s">
        <v>16</v>
      </c>
      <c r="D125" s="2" t="s">
        <v>29</v>
      </c>
      <c r="E125" s="2" t="s">
        <v>54</v>
      </c>
      <c r="F125" s="2">
        <v>141614</v>
      </c>
      <c r="G125" s="2">
        <v>10677</v>
      </c>
      <c r="H125" s="2">
        <v>3736.95</v>
      </c>
      <c r="I125" s="2">
        <v>305</v>
      </c>
      <c r="J125" s="2">
        <v>62355.519999999997</v>
      </c>
      <c r="K125" s="4">
        <f t="shared" si="4"/>
        <v>7.539508805626563E-2</v>
      </c>
      <c r="L125" s="6">
        <f t="shared" si="5"/>
        <v>0.35</v>
      </c>
      <c r="M125" s="6">
        <f t="shared" si="6"/>
        <v>12.252295081967212</v>
      </c>
      <c r="N125" s="8">
        <f t="shared" si="7"/>
        <v>16.686206665863875</v>
      </c>
    </row>
    <row r="126" spans="1:14" x14ac:dyDescent="0.45">
      <c r="A126" s="12">
        <v>45487</v>
      </c>
      <c r="B126" s="2" t="s">
        <v>35</v>
      </c>
      <c r="C126" s="2" t="s">
        <v>28</v>
      </c>
      <c r="D126" s="2" t="s">
        <v>25</v>
      </c>
      <c r="E126" s="2" t="s">
        <v>22</v>
      </c>
      <c r="F126" s="2">
        <v>161193</v>
      </c>
      <c r="G126" s="2">
        <v>4916</v>
      </c>
      <c r="H126" s="2">
        <v>6734.92</v>
      </c>
      <c r="I126" s="2">
        <v>377</v>
      </c>
      <c r="J126" s="2">
        <v>91408.9</v>
      </c>
      <c r="K126" s="4">
        <f t="shared" si="4"/>
        <v>3.0497602253199581E-2</v>
      </c>
      <c r="L126" s="6">
        <f t="shared" si="5"/>
        <v>1.37</v>
      </c>
      <c r="M126" s="6">
        <f t="shared" si="6"/>
        <v>17.864509283819629</v>
      </c>
      <c r="N126" s="8">
        <f t="shared" si="7"/>
        <v>13.572380963693703</v>
      </c>
    </row>
    <row r="127" spans="1:14" x14ac:dyDescent="0.45">
      <c r="A127" s="12">
        <v>45339</v>
      </c>
      <c r="B127" s="2" t="s">
        <v>15</v>
      </c>
      <c r="C127" s="2" t="s">
        <v>16</v>
      </c>
      <c r="D127" s="2" t="s">
        <v>29</v>
      </c>
      <c r="E127" s="2" t="s">
        <v>30</v>
      </c>
      <c r="F127" s="2">
        <v>142244</v>
      </c>
      <c r="G127" s="2">
        <v>4935</v>
      </c>
      <c r="H127" s="2">
        <v>14706.3</v>
      </c>
      <c r="I127" s="2">
        <v>127</v>
      </c>
      <c r="J127" s="2">
        <v>34307.21</v>
      </c>
      <c r="K127" s="4">
        <f t="shared" si="4"/>
        <v>3.4693906245606143E-2</v>
      </c>
      <c r="L127" s="6">
        <f t="shared" si="5"/>
        <v>2.98</v>
      </c>
      <c r="M127" s="6">
        <f t="shared" si="6"/>
        <v>115.79763779527559</v>
      </c>
      <c r="N127" s="8">
        <f t="shared" si="7"/>
        <v>2.3328240277976104</v>
      </c>
    </row>
    <row r="128" spans="1:14" x14ac:dyDescent="0.45">
      <c r="A128" s="12">
        <v>45378</v>
      </c>
      <c r="B128" s="2" t="s">
        <v>35</v>
      </c>
      <c r="C128" s="2" t="s">
        <v>16</v>
      </c>
      <c r="D128" s="2" t="s">
        <v>17</v>
      </c>
      <c r="E128" s="2" t="s">
        <v>18</v>
      </c>
      <c r="F128" s="2">
        <v>178063</v>
      </c>
      <c r="G128" s="2">
        <v>1851</v>
      </c>
      <c r="H128" s="2">
        <v>832.95</v>
      </c>
      <c r="I128" s="2">
        <v>64</v>
      </c>
      <c r="J128" s="2">
        <v>7044.13</v>
      </c>
      <c r="K128" s="4">
        <f t="shared" si="4"/>
        <v>1.0395197205483453E-2</v>
      </c>
      <c r="L128" s="6">
        <f t="shared" si="5"/>
        <v>0.45</v>
      </c>
      <c r="M128" s="6">
        <f t="shared" si="6"/>
        <v>13.014843750000001</v>
      </c>
      <c r="N128" s="8">
        <f t="shared" si="7"/>
        <v>8.4568461492286442</v>
      </c>
    </row>
    <row r="129" spans="1:14" x14ac:dyDescent="0.45">
      <c r="A129" s="12">
        <v>45319</v>
      </c>
      <c r="B129" s="2" t="s">
        <v>15</v>
      </c>
      <c r="C129" s="2" t="s">
        <v>24</v>
      </c>
      <c r="D129" s="2" t="s">
        <v>17</v>
      </c>
      <c r="E129" s="2" t="s">
        <v>54</v>
      </c>
      <c r="F129" s="2">
        <v>193978</v>
      </c>
      <c r="G129" s="2">
        <v>5780</v>
      </c>
      <c r="H129" s="2">
        <v>9999.4</v>
      </c>
      <c r="I129" s="2">
        <v>177</v>
      </c>
      <c r="J129" s="2">
        <v>42071.17</v>
      </c>
      <c r="K129" s="4">
        <f t="shared" si="4"/>
        <v>2.9797193496169667E-2</v>
      </c>
      <c r="L129" s="6">
        <f t="shared" si="5"/>
        <v>1.73</v>
      </c>
      <c r="M129" s="6">
        <f t="shared" si="6"/>
        <v>56.493785310734459</v>
      </c>
      <c r="N129" s="8">
        <f t="shared" si="7"/>
        <v>4.20736944216653</v>
      </c>
    </row>
    <row r="130" spans="1:14" x14ac:dyDescent="0.45">
      <c r="A130" s="12">
        <v>45340</v>
      </c>
      <c r="B130" s="2" t="s">
        <v>35</v>
      </c>
      <c r="C130" s="2" t="s">
        <v>38</v>
      </c>
      <c r="D130" s="2" t="s">
        <v>29</v>
      </c>
      <c r="E130" s="2" t="s">
        <v>33</v>
      </c>
      <c r="F130" s="2">
        <v>187051</v>
      </c>
      <c r="G130" s="2">
        <v>6284</v>
      </c>
      <c r="H130" s="2">
        <v>12630.84</v>
      </c>
      <c r="I130" s="2">
        <v>493</v>
      </c>
      <c r="J130" s="2">
        <v>94906.46</v>
      </c>
      <c r="K130" s="4">
        <f t="shared" si="4"/>
        <v>3.3595115770565245E-2</v>
      </c>
      <c r="L130" s="6">
        <f t="shared" si="5"/>
        <v>2.0100000000000002</v>
      </c>
      <c r="M130" s="6">
        <f t="shared" si="6"/>
        <v>25.620365111561867</v>
      </c>
      <c r="N130" s="8">
        <f t="shared" si="7"/>
        <v>7.5138676445905421</v>
      </c>
    </row>
    <row r="131" spans="1:14" x14ac:dyDescent="0.45">
      <c r="A131" s="12">
        <v>45302</v>
      </c>
      <c r="B131" s="2" t="s">
        <v>35</v>
      </c>
      <c r="C131" s="2" t="s">
        <v>24</v>
      </c>
      <c r="D131" s="2" t="s">
        <v>21</v>
      </c>
      <c r="E131" s="2" t="s">
        <v>22</v>
      </c>
      <c r="F131" s="2">
        <v>152977</v>
      </c>
      <c r="G131" s="2">
        <v>5491</v>
      </c>
      <c r="H131" s="2">
        <v>7412.85</v>
      </c>
      <c r="I131" s="2">
        <v>147</v>
      </c>
      <c r="J131" s="2">
        <v>9232.39</v>
      </c>
      <c r="K131" s="4">
        <f t="shared" ref="K131:K194" si="8" xml:space="preserve"> G131 / F131</f>
        <v>3.5894284761761569E-2</v>
      </c>
      <c r="L131" s="6">
        <f t="shared" ref="L131:L194" si="9">H131/G131</f>
        <v>1.35</v>
      </c>
      <c r="M131" s="6">
        <f t="shared" ref="M131:M194" si="10">H131/I131</f>
        <v>50.427551020408167</v>
      </c>
      <c r="N131" s="8">
        <f t="shared" ref="N131:N194" si="11">J131/H131</f>
        <v>1.2454575500650895</v>
      </c>
    </row>
    <row r="132" spans="1:14" x14ac:dyDescent="0.45">
      <c r="A132" s="12">
        <v>45413</v>
      </c>
      <c r="B132" s="2" t="s">
        <v>15</v>
      </c>
      <c r="C132" s="2" t="s">
        <v>38</v>
      </c>
      <c r="D132" s="2" t="s">
        <v>41</v>
      </c>
      <c r="E132" s="2" t="s">
        <v>18</v>
      </c>
      <c r="F132" s="2">
        <v>129447</v>
      </c>
      <c r="G132" s="2">
        <v>4310</v>
      </c>
      <c r="H132" s="2">
        <v>11637</v>
      </c>
      <c r="I132" s="2">
        <v>211</v>
      </c>
      <c r="J132" s="2">
        <v>16618.47</v>
      </c>
      <c r="K132" s="4">
        <f t="shared" si="8"/>
        <v>3.3295480003399075E-2</v>
      </c>
      <c r="L132" s="6">
        <f t="shared" si="9"/>
        <v>2.7</v>
      </c>
      <c r="M132" s="6">
        <f t="shared" si="10"/>
        <v>55.15165876777251</v>
      </c>
      <c r="N132" s="8">
        <f t="shared" si="11"/>
        <v>1.4280716679556589</v>
      </c>
    </row>
    <row r="133" spans="1:14" x14ac:dyDescent="0.45">
      <c r="A133" s="12">
        <v>45313</v>
      </c>
      <c r="B133" s="2" t="s">
        <v>15</v>
      </c>
      <c r="C133" s="2" t="s">
        <v>28</v>
      </c>
      <c r="D133" s="2" t="s">
        <v>17</v>
      </c>
      <c r="E133" s="2" t="s">
        <v>26</v>
      </c>
      <c r="F133" s="2">
        <v>28387</v>
      </c>
      <c r="G133" s="2">
        <v>672</v>
      </c>
      <c r="H133" s="2">
        <v>2231.04</v>
      </c>
      <c r="I133" s="2">
        <v>41</v>
      </c>
      <c r="J133" s="2">
        <v>7232.57</v>
      </c>
      <c r="K133" s="4">
        <f t="shared" si="8"/>
        <v>2.3672807975481734E-2</v>
      </c>
      <c r="L133" s="6">
        <f t="shared" si="9"/>
        <v>3.32</v>
      </c>
      <c r="M133" s="6">
        <f t="shared" si="10"/>
        <v>54.41560975609756</v>
      </c>
      <c r="N133" s="8">
        <f t="shared" si="11"/>
        <v>3.2417930651176134</v>
      </c>
    </row>
    <row r="134" spans="1:14" x14ac:dyDescent="0.45">
      <c r="A134" s="12">
        <v>45409</v>
      </c>
      <c r="B134" s="2" t="s">
        <v>35</v>
      </c>
      <c r="C134" s="2" t="s">
        <v>28</v>
      </c>
      <c r="D134" s="2" t="s">
        <v>17</v>
      </c>
      <c r="E134" s="2" t="s">
        <v>54</v>
      </c>
      <c r="F134" s="2">
        <v>88986</v>
      </c>
      <c r="G134" s="2">
        <v>1308</v>
      </c>
      <c r="H134" s="2">
        <v>981</v>
      </c>
      <c r="I134" s="2">
        <v>80</v>
      </c>
      <c r="J134" s="2">
        <v>21439.34</v>
      </c>
      <c r="K134" s="4">
        <f t="shared" si="8"/>
        <v>1.4698941406513384E-2</v>
      </c>
      <c r="L134" s="6">
        <f t="shared" si="9"/>
        <v>0.75</v>
      </c>
      <c r="M134" s="6">
        <f t="shared" si="10"/>
        <v>12.262499999999999</v>
      </c>
      <c r="N134" s="8">
        <f t="shared" si="11"/>
        <v>21.854576962283385</v>
      </c>
    </row>
    <row r="135" spans="1:14" x14ac:dyDescent="0.45">
      <c r="A135" s="12">
        <v>45301</v>
      </c>
      <c r="B135" s="2" t="s">
        <v>15</v>
      </c>
      <c r="C135" s="2" t="s">
        <v>24</v>
      </c>
      <c r="D135" s="2" t="s">
        <v>29</v>
      </c>
      <c r="E135" s="2" t="s">
        <v>22</v>
      </c>
      <c r="F135" s="2">
        <v>170268</v>
      </c>
      <c r="G135" s="2">
        <v>7917</v>
      </c>
      <c r="H135" s="2">
        <v>24859.38</v>
      </c>
      <c r="I135" s="2">
        <v>98</v>
      </c>
      <c r="J135" s="2">
        <v>22672.12</v>
      </c>
      <c r="K135" s="4">
        <f t="shared" si="8"/>
        <v>4.6497286630488403E-2</v>
      </c>
      <c r="L135" s="6">
        <f t="shared" si="9"/>
        <v>3.14</v>
      </c>
      <c r="M135" s="6">
        <f t="shared" si="10"/>
        <v>253.66714285714286</v>
      </c>
      <c r="N135" s="8">
        <f t="shared" si="11"/>
        <v>0.9120147002861696</v>
      </c>
    </row>
    <row r="136" spans="1:14" x14ac:dyDescent="0.45">
      <c r="A136" s="12">
        <v>45311</v>
      </c>
      <c r="B136" s="2" t="s">
        <v>15</v>
      </c>
      <c r="C136" s="2" t="s">
        <v>38</v>
      </c>
      <c r="D136" s="2" t="s">
        <v>25</v>
      </c>
      <c r="E136" s="2" t="s">
        <v>26</v>
      </c>
      <c r="F136" s="2">
        <v>122322</v>
      </c>
      <c r="G136" s="2">
        <v>6152</v>
      </c>
      <c r="H136" s="2">
        <v>7566.96</v>
      </c>
      <c r="I136" s="2">
        <v>155</v>
      </c>
      <c r="J136" s="2">
        <v>10417.89</v>
      </c>
      <c r="K136" s="4">
        <f t="shared" si="8"/>
        <v>5.029348768005755E-2</v>
      </c>
      <c r="L136" s="6">
        <f t="shared" si="9"/>
        <v>1.23</v>
      </c>
      <c r="M136" s="6">
        <f t="shared" si="10"/>
        <v>48.819096774193547</v>
      </c>
      <c r="N136" s="8">
        <f t="shared" si="11"/>
        <v>1.3767602841828157</v>
      </c>
    </row>
    <row r="137" spans="1:14" x14ac:dyDescent="0.45">
      <c r="A137" s="12">
        <v>45329</v>
      </c>
      <c r="B137" s="2" t="s">
        <v>35</v>
      </c>
      <c r="C137" s="2" t="s">
        <v>38</v>
      </c>
      <c r="D137" s="2" t="s">
        <v>25</v>
      </c>
      <c r="E137" s="2" t="s">
        <v>22</v>
      </c>
      <c r="F137" s="2">
        <v>69429</v>
      </c>
      <c r="G137" s="2">
        <v>2430</v>
      </c>
      <c r="H137" s="2">
        <v>3863.7</v>
      </c>
      <c r="I137" s="2">
        <v>119</v>
      </c>
      <c r="J137" s="2">
        <v>21584.01</v>
      </c>
      <c r="K137" s="4">
        <f t="shared" si="8"/>
        <v>3.4999783951950914E-2</v>
      </c>
      <c r="L137" s="6">
        <f t="shared" si="9"/>
        <v>1.5899999999999999</v>
      </c>
      <c r="M137" s="6">
        <f t="shared" si="10"/>
        <v>32.468067226890753</v>
      </c>
      <c r="N137" s="8">
        <f t="shared" si="11"/>
        <v>5.5863576364624583</v>
      </c>
    </row>
    <row r="138" spans="1:14" x14ac:dyDescent="0.45">
      <c r="A138" s="12">
        <v>45450</v>
      </c>
      <c r="B138" s="2" t="s">
        <v>35</v>
      </c>
      <c r="C138" s="2" t="s">
        <v>38</v>
      </c>
      <c r="D138" s="2" t="s">
        <v>29</v>
      </c>
      <c r="E138" s="2" t="s">
        <v>33</v>
      </c>
      <c r="F138" s="2">
        <v>196675</v>
      </c>
      <c r="G138" s="2">
        <v>4031</v>
      </c>
      <c r="H138" s="2">
        <v>7941.07</v>
      </c>
      <c r="I138" s="2">
        <v>186</v>
      </c>
      <c r="J138" s="2">
        <v>27686.79</v>
      </c>
      <c r="K138" s="4">
        <f t="shared" si="8"/>
        <v>2.049574170585992E-2</v>
      </c>
      <c r="L138" s="6">
        <f t="shared" si="9"/>
        <v>1.97</v>
      </c>
      <c r="M138" s="6">
        <f t="shared" si="10"/>
        <v>42.693924731182797</v>
      </c>
      <c r="N138" s="8">
        <f t="shared" si="11"/>
        <v>3.4865314120137465</v>
      </c>
    </row>
    <row r="139" spans="1:14" x14ac:dyDescent="0.45">
      <c r="A139" s="12">
        <v>45437</v>
      </c>
      <c r="B139" s="2" t="s">
        <v>15</v>
      </c>
      <c r="C139" s="2" t="s">
        <v>24</v>
      </c>
      <c r="D139" s="2" t="s">
        <v>41</v>
      </c>
      <c r="E139" s="2" t="s">
        <v>54</v>
      </c>
      <c r="F139" s="2">
        <v>104134</v>
      </c>
      <c r="G139" s="2">
        <v>3603</v>
      </c>
      <c r="H139" s="2">
        <v>12466.38</v>
      </c>
      <c r="I139" s="2">
        <v>234</v>
      </c>
      <c r="J139" s="2">
        <v>14496.48</v>
      </c>
      <c r="K139" s="4">
        <f t="shared" si="8"/>
        <v>3.4599650450381242E-2</v>
      </c>
      <c r="L139" s="6">
        <f t="shared" si="9"/>
        <v>3.46</v>
      </c>
      <c r="M139" s="6">
        <f t="shared" si="10"/>
        <v>53.275128205128205</v>
      </c>
      <c r="N139" s="8">
        <f t="shared" si="11"/>
        <v>1.162845990576254</v>
      </c>
    </row>
    <row r="140" spans="1:14" x14ac:dyDescent="0.45">
      <c r="A140" s="12">
        <v>45650</v>
      </c>
      <c r="B140" s="2" t="s">
        <v>35</v>
      </c>
      <c r="C140" s="2" t="s">
        <v>38</v>
      </c>
      <c r="D140" s="2" t="s">
        <v>21</v>
      </c>
      <c r="E140" s="2" t="s">
        <v>33</v>
      </c>
      <c r="F140" s="2">
        <v>150544</v>
      </c>
      <c r="G140" s="2">
        <v>2890</v>
      </c>
      <c r="H140" s="2">
        <v>4913</v>
      </c>
      <c r="I140" s="2">
        <v>170</v>
      </c>
      <c r="J140" s="2">
        <v>47769.42</v>
      </c>
      <c r="K140" s="4">
        <f t="shared" si="8"/>
        <v>1.9197045382080988E-2</v>
      </c>
      <c r="L140" s="6">
        <f t="shared" si="9"/>
        <v>1.7</v>
      </c>
      <c r="M140" s="6">
        <f t="shared" si="10"/>
        <v>28.9</v>
      </c>
      <c r="N140" s="8">
        <f t="shared" si="11"/>
        <v>9.7230653368613886</v>
      </c>
    </row>
    <row r="141" spans="1:14" x14ac:dyDescent="0.45">
      <c r="A141" s="12">
        <v>45593</v>
      </c>
      <c r="B141" s="2" t="s">
        <v>20</v>
      </c>
      <c r="C141" s="2" t="s">
        <v>24</v>
      </c>
      <c r="D141" s="2" t="s">
        <v>29</v>
      </c>
      <c r="E141" s="2" t="s">
        <v>33</v>
      </c>
      <c r="F141" s="2">
        <v>75553</v>
      </c>
      <c r="G141" s="2">
        <v>3331</v>
      </c>
      <c r="H141" s="2">
        <v>1465.64</v>
      </c>
      <c r="I141" s="2">
        <v>203</v>
      </c>
      <c r="J141" s="2">
        <v>33301.040000000001</v>
      </c>
      <c r="K141" s="4">
        <f t="shared" si="8"/>
        <v>4.4088255926303388E-2</v>
      </c>
      <c r="L141" s="6">
        <f t="shared" si="9"/>
        <v>0.44000000000000006</v>
      </c>
      <c r="M141" s="6">
        <f t="shared" si="10"/>
        <v>7.2199014778325132</v>
      </c>
      <c r="N141" s="8">
        <f t="shared" si="11"/>
        <v>22.721159357004449</v>
      </c>
    </row>
    <row r="142" spans="1:14" x14ac:dyDescent="0.45">
      <c r="A142" s="12">
        <v>45588</v>
      </c>
      <c r="B142" s="2" t="s">
        <v>35</v>
      </c>
      <c r="C142" s="2" t="s">
        <v>16</v>
      </c>
      <c r="D142" s="2" t="s">
        <v>21</v>
      </c>
      <c r="E142" s="2" t="s">
        <v>51</v>
      </c>
      <c r="F142" s="2">
        <v>149565</v>
      </c>
      <c r="G142" s="2">
        <v>2437</v>
      </c>
      <c r="H142" s="2">
        <v>901.69</v>
      </c>
      <c r="I142" s="2">
        <v>30</v>
      </c>
      <c r="J142" s="2">
        <v>3133.33</v>
      </c>
      <c r="K142" s="4">
        <f t="shared" si="8"/>
        <v>1.6293919031859058E-2</v>
      </c>
      <c r="L142" s="6">
        <f t="shared" si="9"/>
        <v>0.37</v>
      </c>
      <c r="M142" s="6">
        <f t="shared" si="10"/>
        <v>30.056333333333335</v>
      </c>
      <c r="N142" s="8">
        <f t="shared" si="11"/>
        <v>3.4749525890272706</v>
      </c>
    </row>
    <row r="143" spans="1:14" x14ac:dyDescent="0.45">
      <c r="A143" s="12">
        <v>45397</v>
      </c>
      <c r="B143" s="2" t="s">
        <v>15</v>
      </c>
      <c r="C143" s="2" t="s">
        <v>38</v>
      </c>
      <c r="D143" s="2" t="s">
        <v>29</v>
      </c>
      <c r="E143" s="2" t="s">
        <v>51</v>
      </c>
      <c r="F143" s="2">
        <v>12896</v>
      </c>
      <c r="G143" s="2">
        <v>535</v>
      </c>
      <c r="H143" s="2">
        <v>524.29999999999995</v>
      </c>
      <c r="I143" s="2">
        <v>20</v>
      </c>
      <c r="J143" s="2">
        <v>2475.65</v>
      </c>
      <c r="K143" s="4">
        <f t="shared" si="8"/>
        <v>4.1485732009925558E-2</v>
      </c>
      <c r="L143" s="6">
        <f t="shared" si="9"/>
        <v>0.97999999999999987</v>
      </c>
      <c r="M143" s="6">
        <f t="shared" si="10"/>
        <v>26.214999999999996</v>
      </c>
      <c r="N143" s="8">
        <f t="shared" si="11"/>
        <v>4.7218195689490754</v>
      </c>
    </row>
    <row r="144" spans="1:14" x14ac:dyDescent="0.45">
      <c r="A144" s="12">
        <v>45434</v>
      </c>
      <c r="B144" s="2" t="s">
        <v>20</v>
      </c>
      <c r="C144" s="2" t="s">
        <v>38</v>
      </c>
      <c r="D144" s="2" t="s">
        <v>17</v>
      </c>
      <c r="E144" s="2" t="s">
        <v>30</v>
      </c>
      <c r="F144" s="2">
        <v>70428</v>
      </c>
      <c r="G144" s="2">
        <v>3310</v>
      </c>
      <c r="H144" s="2">
        <v>3872.7</v>
      </c>
      <c r="I144" s="2">
        <v>164</v>
      </c>
      <c r="J144" s="2">
        <v>25462.93</v>
      </c>
      <c r="K144" s="4">
        <f t="shared" si="8"/>
        <v>4.6998352927812799E-2</v>
      </c>
      <c r="L144" s="6">
        <f t="shared" si="9"/>
        <v>1.17</v>
      </c>
      <c r="M144" s="6">
        <f t="shared" si="10"/>
        <v>23.614024390243902</v>
      </c>
      <c r="N144" s="8">
        <f t="shared" si="11"/>
        <v>6.5749812792108866</v>
      </c>
    </row>
    <row r="145" spans="1:14" x14ac:dyDescent="0.45">
      <c r="A145" s="12">
        <v>45452</v>
      </c>
      <c r="B145" s="2" t="s">
        <v>20</v>
      </c>
      <c r="C145" s="2" t="s">
        <v>28</v>
      </c>
      <c r="D145" s="2" t="s">
        <v>21</v>
      </c>
      <c r="E145" s="2" t="s">
        <v>26</v>
      </c>
      <c r="F145" s="2">
        <v>12345</v>
      </c>
      <c r="G145" s="2">
        <v>456</v>
      </c>
      <c r="H145" s="2">
        <v>282.72000000000003</v>
      </c>
      <c r="I145" s="2">
        <v>21</v>
      </c>
      <c r="J145" s="2">
        <v>5118.9399999999996</v>
      </c>
      <c r="K145" s="4">
        <f t="shared" si="8"/>
        <v>3.6938031591737544E-2</v>
      </c>
      <c r="L145" s="6">
        <f t="shared" si="9"/>
        <v>0.62000000000000011</v>
      </c>
      <c r="M145" s="6">
        <f t="shared" si="10"/>
        <v>13.462857142857144</v>
      </c>
      <c r="N145" s="8">
        <f t="shared" si="11"/>
        <v>18.106041312959817</v>
      </c>
    </row>
    <row r="146" spans="1:14" x14ac:dyDescent="0.45">
      <c r="A146" s="12">
        <v>45621</v>
      </c>
      <c r="B146" s="2" t="s">
        <v>35</v>
      </c>
      <c r="C146" s="2" t="s">
        <v>38</v>
      </c>
      <c r="D146" s="2" t="s">
        <v>29</v>
      </c>
      <c r="E146" s="2" t="s">
        <v>26</v>
      </c>
      <c r="F146" s="2">
        <v>18140</v>
      </c>
      <c r="G146" s="2">
        <v>455</v>
      </c>
      <c r="H146" s="2">
        <v>523.25</v>
      </c>
      <c r="I146" s="2">
        <v>29</v>
      </c>
      <c r="J146" s="2">
        <v>1746.46</v>
      </c>
      <c r="K146" s="4">
        <f t="shared" si="8"/>
        <v>2.5082690187431093E-2</v>
      </c>
      <c r="L146" s="6">
        <f t="shared" si="9"/>
        <v>1.1499999999999999</v>
      </c>
      <c r="M146" s="6">
        <f t="shared" si="10"/>
        <v>18.043103448275861</v>
      </c>
      <c r="N146" s="8">
        <f t="shared" si="11"/>
        <v>3.3377161968466318</v>
      </c>
    </row>
    <row r="147" spans="1:14" x14ac:dyDescent="0.45">
      <c r="A147" s="12">
        <v>45340</v>
      </c>
      <c r="B147" s="2" t="s">
        <v>15</v>
      </c>
      <c r="C147" s="2" t="s">
        <v>24</v>
      </c>
      <c r="D147" s="2" t="s">
        <v>17</v>
      </c>
      <c r="E147" s="2" t="s">
        <v>54</v>
      </c>
      <c r="F147" s="2">
        <v>42823</v>
      </c>
      <c r="G147" s="2">
        <v>1588</v>
      </c>
      <c r="H147" s="2">
        <v>4716.3599999999997</v>
      </c>
      <c r="I147" s="2">
        <v>33</v>
      </c>
      <c r="J147" s="2">
        <v>3266.45</v>
      </c>
      <c r="K147" s="4">
        <f t="shared" si="8"/>
        <v>3.7082876024566239E-2</v>
      </c>
      <c r="L147" s="6">
        <f t="shared" si="9"/>
        <v>2.9699999999999998</v>
      </c>
      <c r="M147" s="6">
        <f t="shared" si="10"/>
        <v>142.91999999999999</v>
      </c>
      <c r="N147" s="8">
        <f t="shared" si="11"/>
        <v>0.69257859874988337</v>
      </c>
    </row>
    <row r="148" spans="1:14" x14ac:dyDescent="0.45">
      <c r="A148" s="12">
        <v>45317</v>
      </c>
      <c r="B148" s="2" t="s">
        <v>20</v>
      </c>
      <c r="C148" s="2" t="s">
        <v>28</v>
      </c>
      <c r="D148" s="2" t="s">
        <v>29</v>
      </c>
      <c r="E148" s="2" t="s">
        <v>30</v>
      </c>
      <c r="F148" s="2">
        <v>34118</v>
      </c>
      <c r="G148" s="2">
        <v>1470</v>
      </c>
      <c r="H148" s="2">
        <v>1249.5</v>
      </c>
      <c r="I148" s="2">
        <v>55</v>
      </c>
      <c r="J148" s="2">
        <v>3037.11</v>
      </c>
      <c r="K148" s="4">
        <f t="shared" si="8"/>
        <v>4.3085761181780875E-2</v>
      </c>
      <c r="L148" s="6">
        <f t="shared" si="9"/>
        <v>0.85</v>
      </c>
      <c r="M148" s="6">
        <f t="shared" si="10"/>
        <v>22.718181818181819</v>
      </c>
      <c r="N148" s="8">
        <f t="shared" si="11"/>
        <v>2.4306602641056423</v>
      </c>
    </row>
    <row r="149" spans="1:14" x14ac:dyDescent="0.45">
      <c r="A149" s="12">
        <v>45299</v>
      </c>
      <c r="B149" s="2" t="s">
        <v>35</v>
      </c>
      <c r="C149" s="2" t="s">
        <v>24</v>
      </c>
      <c r="D149" s="2" t="s">
        <v>21</v>
      </c>
      <c r="E149" s="2" t="s">
        <v>22</v>
      </c>
      <c r="F149" s="2">
        <v>127775</v>
      </c>
      <c r="G149" s="2">
        <v>3871</v>
      </c>
      <c r="H149" s="2">
        <v>2941.96</v>
      </c>
      <c r="I149" s="2">
        <v>159</v>
      </c>
      <c r="J149" s="2">
        <v>28717.22</v>
      </c>
      <c r="K149" s="4">
        <f t="shared" si="8"/>
        <v>3.0295441205243592E-2</v>
      </c>
      <c r="L149" s="6">
        <f t="shared" si="9"/>
        <v>0.76</v>
      </c>
      <c r="M149" s="6">
        <f t="shared" si="10"/>
        <v>18.502893081761005</v>
      </c>
      <c r="N149" s="8">
        <f t="shared" si="11"/>
        <v>9.7612544018273528</v>
      </c>
    </row>
    <row r="150" spans="1:14" x14ac:dyDescent="0.45">
      <c r="A150" s="12">
        <v>45550</v>
      </c>
      <c r="B150" s="2" t="s">
        <v>15</v>
      </c>
      <c r="C150" s="2" t="s">
        <v>28</v>
      </c>
      <c r="D150" s="2" t="s">
        <v>17</v>
      </c>
      <c r="E150" s="2" t="s">
        <v>18</v>
      </c>
      <c r="F150" s="2">
        <v>136354</v>
      </c>
      <c r="G150" s="2">
        <v>3736</v>
      </c>
      <c r="H150" s="2">
        <v>4333.76</v>
      </c>
      <c r="I150" s="2">
        <v>152</v>
      </c>
      <c r="J150" s="2">
        <v>29811.83</v>
      </c>
      <c r="K150" s="4">
        <f t="shared" si="8"/>
        <v>2.7399269548381421E-2</v>
      </c>
      <c r="L150" s="6">
        <f t="shared" si="9"/>
        <v>1.1600000000000001</v>
      </c>
      <c r="M150" s="6">
        <f t="shared" si="10"/>
        <v>28.511578947368424</v>
      </c>
      <c r="N150" s="8">
        <f t="shared" si="11"/>
        <v>6.8789757623864727</v>
      </c>
    </row>
    <row r="151" spans="1:14" x14ac:dyDescent="0.45">
      <c r="A151" s="12">
        <v>45593</v>
      </c>
      <c r="B151" s="2" t="s">
        <v>15</v>
      </c>
      <c r="C151" s="2" t="s">
        <v>28</v>
      </c>
      <c r="D151" s="2" t="s">
        <v>41</v>
      </c>
      <c r="E151" s="2" t="s">
        <v>30</v>
      </c>
      <c r="F151" s="2">
        <v>115454</v>
      </c>
      <c r="G151" s="2">
        <v>7227</v>
      </c>
      <c r="H151" s="2">
        <v>17778.419999999998</v>
      </c>
      <c r="I151" s="2">
        <v>154</v>
      </c>
      <c r="J151" s="2">
        <v>5144.22</v>
      </c>
      <c r="K151" s="4">
        <f t="shared" si="8"/>
        <v>6.259635872295459E-2</v>
      </c>
      <c r="L151" s="6">
        <f t="shared" si="9"/>
        <v>2.46</v>
      </c>
      <c r="M151" s="6">
        <f t="shared" si="10"/>
        <v>115.4442857142857</v>
      </c>
      <c r="N151" s="8">
        <f t="shared" si="11"/>
        <v>0.28935192216181194</v>
      </c>
    </row>
    <row r="152" spans="1:14" x14ac:dyDescent="0.45">
      <c r="A152" s="12">
        <v>45445</v>
      </c>
      <c r="B152" s="2" t="s">
        <v>35</v>
      </c>
      <c r="C152" s="2" t="s">
        <v>16</v>
      </c>
      <c r="D152" s="2" t="s">
        <v>21</v>
      </c>
      <c r="E152" s="2" t="s">
        <v>26</v>
      </c>
      <c r="F152" s="2">
        <v>37994</v>
      </c>
      <c r="G152" s="2">
        <v>1379</v>
      </c>
      <c r="H152" s="2">
        <v>1461.74</v>
      </c>
      <c r="I152" s="2">
        <v>58</v>
      </c>
      <c r="J152" s="2">
        <v>7343.12</v>
      </c>
      <c r="K152" s="4">
        <f t="shared" si="8"/>
        <v>3.6295204505974628E-2</v>
      </c>
      <c r="L152" s="6">
        <f t="shared" si="9"/>
        <v>1.06</v>
      </c>
      <c r="M152" s="6">
        <f t="shared" si="10"/>
        <v>25.20241379310345</v>
      </c>
      <c r="N152" s="8">
        <f t="shared" si="11"/>
        <v>5.023547279269911</v>
      </c>
    </row>
    <row r="153" spans="1:14" x14ac:dyDescent="0.45">
      <c r="A153" s="12">
        <v>45577</v>
      </c>
      <c r="B153" s="2" t="s">
        <v>35</v>
      </c>
      <c r="C153" s="2" t="s">
        <v>24</v>
      </c>
      <c r="D153" s="2" t="s">
        <v>21</v>
      </c>
      <c r="E153" s="2" t="s">
        <v>30</v>
      </c>
      <c r="F153" s="2">
        <v>74615</v>
      </c>
      <c r="G153" s="2">
        <v>2327</v>
      </c>
      <c r="H153" s="2">
        <v>2559.6999999999998</v>
      </c>
      <c r="I153" s="2">
        <v>129</v>
      </c>
      <c r="J153" s="2">
        <v>25496.94</v>
      </c>
      <c r="K153" s="4">
        <f t="shared" si="8"/>
        <v>3.1186758694632447E-2</v>
      </c>
      <c r="L153" s="6">
        <f t="shared" si="9"/>
        <v>1.0999999999999999</v>
      </c>
      <c r="M153" s="6">
        <f t="shared" si="10"/>
        <v>19.842635658914727</v>
      </c>
      <c r="N153" s="8">
        <f t="shared" si="11"/>
        <v>9.960909481579872</v>
      </c>
    </row>
    <row r="154" spans="1:14" x14ac:dyDescent="0.45">
      <c r="A154" s="12">
        <v>45641</v>
      </c>
      <c r="B154" s="2" t="s">
        <v>15</v>
      </c>
      <c r="C154" s="2" t="s">
        <v>16</v>
      </c>
      <c r="D154" s="2" t="s">
        <v>21</v>
      </c>
      <c r="E154" s="2" t="s">
        <v>33</v>
      </c>
      <c r="F154" s="2">
        <v>176790</v>
      </c>
      <c r="G154" s="2">
        <v>4490</v>
      </c>
      <c r="H154" s="2">
        <v>6690.1</v>
      </c>
      <c r="I154" s="2">
        <v>250</v>
      </c>
      <c r="J154" s="2">
        <v>74442.63</v>
      </c>
      <c r="K154" s="4">
        <f t="shared" si="8"/>
        <v>2.5397364104304543E-2</v>
      </c>
      <c r="L154" s="6">
        <f t="shared" si="9"/>
        <v>1.49</v>
      </c>
      <c r="M154" s="6">
        <f t="shared" si="10"/>
        <v>26.760400000000001</v>
      </c>
      <c r="N154" s="8">
        <f t="shared" si="11"/>
        <v>11.127282103406527</v>
      </c>
    </row>
    <row r="155" spans="1:14" x14ac:dyDescent="0.45">
      <c r="A155" s="12">
        <v>45594</v>
      </c>
      <c r="B155" s="2" t="s">
        <v>15</v>
      </c>
      <c r="C155" s="2" t="s">
        <v>28</v>
      </c>
      <c r="D155" s="2" t="s">
        <v>17</v>
      </c>
      <c r="E155" s="2" t="s">
        <v>30</v>
      </c>
      <c r="F155" s="2">
        <v>60077</v>
      </c>
      <c r="G155" s="2">
        <v>1994</v>
      </c>
      <c r="H155" s="2">
        <v>6201.34</v>
      </c>
      <c r="I155" s="2">
        <v>28</v>
      </c>
      <c r="J155" s="2">
        <v>7635.29</v>
      </c>
      <c r="K155" s="4">
        <f t="shared" si="8"/>
        <v>3.3190738552191353E-2</v>
      </c>
      <c r="L155" s="6">
        <f t="shared" si="9"/>
        <v>3.11</v>
      </c>
      <c r="M155" s="6">
        <f t="shared" si="10"/>
        <v>221.47642857142858</v>
      </c>
      <c r="N155" s="8">
        <f t="shared" si="11"/>
        <v>1.2312322820551687</v>
      </c>
    </row>
    <row r="156" spans="1:14" x14ac:dyDescent="0.45">
      <c r="A156" s="12">
        <v>45382</v>
      </c>
      <c r="B156" s="2" t="s">
        <v>35</v>
      </c>
      <c r="C156" s="2" t="s">
        <v>38</v>
      </c>
      <c r="D156" s="2" t="s">
        <v>17</v>
      </c>
      <c r="E156" s="2" t="s">
        <v>33</v>
      </c>
      <c r="F156" s="2">
        <v>151295</v>
      </c>
      <c r="G156" s="2">
        <v>2163</v>
      </c>
      <c r="H156" s="2">
        <v>3417.54</v>
      </c>
      <c r="I156" s="2">
        <v>85</v>
      </c>
      <c r="J156" s="2">
        <v>3173.67</v>
      </c>
      <c r="K156" s="4">
        <f t="shared" si="8"/>
        <v>1.4296572920453419E-2</v>
      </c>
      <c r="L156" s="6">
        <f t="shared" si="9"/>
        <v>1.58</v>
      </c>
      <c r="M156" s="6">
        <f t="shared" si="10"/>
        <v>40.206352941176469</v>
      </c>
      <c r="N156" s="8">
        <f t="shared" si="11"/>
        <v>0.92864165452342917</v>
      </c>
    </row>
    <row r="157" spans="1:14" x14ac:dyDescent="0.45">
      <c r="A157" s="12">
        <v>45401</v>
      </c>
      <c r="B157" s="2" t="s">
        <v>20</v>
      </c>
      <c r="C157" s="2" t="s">
        <v>38</v>
      </c>
      <c r="D157" s="2" t="s">
        <v>41</v>
      </c>
      <c r="E157" s="2" t="s">
        <v>33</v>
      </c>
      <c r="F157" s="2">
        <v>20282</v>
      </c>
      <c r="G157" s="2">
        <v>1740</v>
      </c>
      <c r="H157" s="2">
        <v>2175</v>
      </c>
      <c r="I157" s="2">
        <v>94</v>
      </c>
      <c r="J157" s="2">
        <v>14237</v>
      </c>
      <c r="K157" s="4">
        <f t="shared" si="8"/>
        <v>8.5790355980672514E-2</v>
      </c>
      <c r="L157" s="6">
        <f t="shared" si="9"/>
        <v>1.25</v>
      </c>
      <c r="M157" s="6">
        <f t="shared" si="10"/>
        <v>23.138297872340427</v>
      </c>
      <c r="N157" s="8">
        <f t="shared" si="11"/>
        <v>6.5457471264367815</v>
      </c>
    </row>
    <row r="158" spans="1:14" x14ac:dyDescent="0.45">
      <c r="A158" s="12">
        <v>45577</v>
      </c>
      <c r="B158" s="2" t="s">
        <v>15</v>
      </c>
      <c r="C158" s="2" t="s">
        <v>16</v>
      </c>
      <c r="D158" s="2" t="s">
        <v>25</v>
      </c>
      <c r="E158" s="2" t="s">
        <v>30</v>
      </c>
      <c r="F158" s="2">
        <v>185488</v>
      </c>
      <c r="G158" s="2">
        <v>3950</v>
      </c>
      <c r="H158" s="2">
        <v>5490.5</v>
      </c>
      <c r="I158" s="2">
        <v>289</v>
      </c>
      <c r="J158" s="2">
        <v>75172.149999999994</v>
      </c>
      <c r="K158" s="4">
        <f t="shared" si="8"/>
        <v>2.1295178124730439E-2</v>
      </c>
      <c r="L158" s="6">
        <f t="shared" si="9"/>
        <v>1.39</v>
      </c>
      <c r="M158" s="6">
        <f t="shared" si="10"/>
        <v>18.998269896193772</v>
      </c>
      <c r="N158" s="8">
        <f t="shared" si="11"/>
        <v>13.691312266642381</v>
      </c>
    </row>
    <row r="159" spans="1:14" x14ac:dyDescent="0.45">
      <c r="A159" s="12">
        <v>45546</v>
      </c>
      <c r="B159" s="2" t="s">
        <v>35</v>
      </c>
      <c r="C159" s="2" t="s">
        <v>38</v>
      </c>
      <c r="D159" s="2" t="s">
        <v>41</v>
      </c>
      <c r="E159" s="2" t="s">
        <v>54</v>
      </c>
      <c r="F159" s="2">
        <v>28567</v>
      </c>
      <c r="G159" s="2">
        <v>999</v>
      </c>
      <c r="H159" s="2">
        <v>1688.31</v>
      </c>
      <c r="I159" s="2">
        <v>68</v>
      </c>
      <c r="J159" s="2">
        <v>13037.25</v>
      </c>
      <c r="K159" s="4">
        <f t="shared" si="8"/>
        <v>3.4970420415164349E-2</v>
      </c>
      <c r="L159" s="6">
        <f t="shared" si="9"/>
        <v>1.69</v>
      </c>
      <c r="M159" s="6">
        <f t="shared" si="10"/>
        <v>24.828088235294118</v>
      </c>
      <c r="N159" s="8">
        <f t="shared" si="11"/>
        <v>7.7220711836096454</v>
      </c>
    </row>
    <row r="160" spans="1:14" x14ac:dyDescent="0.45">
      <c r="A160" s="12">
        <v>45615</v>
      </c>
      <c r="B160" s="2" t="s">
        <v>15</v>
      </c>
      <c r="C160" s="2" t="s">
        <v>16</v>
      </c>
      <c r="D160" s="2" t="s">
        <v>41</v>
      </c>
      <c r="E160" s="2" t="s">
        <v>18</v>
      </c>
      <c r="F160" s="2">
        <v>96170</v>
      </c>
      <c r="G160" s="2">
        <v>5145</v>
      </c>
      <c r="H160" s="2">
        <v>10907.4</v>
      </c>
      <c r="I160" s="2">
        <v>268</v>
      </c>
      <c r="J160" s="2">
        <v>72622.990000000005</v>
      </c>
      <c r="K160" s="4">
        <f t="shared" si="8"/>
        <v>5.3499012165956122E-2</v>
      </c>
      <c r="L160" s="6">
        <f t="shared" si="9"/>
        <v>2.12</v>
      </c>
      <c r="M160" s="6">
        <f t="shared" si="10"/>
        <v>40.699253731343283</v>
      </c>
      <c r="N160" s="8">
        <f t="shared" si="11"/>
        <v>6.6581394282780506</v>
      </c>
    </row>
    <row r="161" spans="1:14" x14ac:dyDescent="0.45">
      <c r="A161" s="12">
        <v>45329</v>
      </c>
      <c r="B161" s="2" t="s">
        <v>35</v>
      </c>
      <c r="C161" s="2" t="s">
        <v>28</v>
      </c>
      <c r="D161" s="2" t="s">
        <v>25</v>
      </c>
      <c r="E161" s="2" t="s">
        <v>33</v>
      </c>
      <c r="F161" s="2">
        <v>101019</v>
      </c>
      <c r="G161" s="2">
        <v>2515</v>
      </c>
      <c r="H161" s="2">
        <v>4250.3500000000004</v>
      </c>
      <c r="I161" s="2">
        <v>72</v>
      </c>
      <c r="J161" s="2">
        <v>11353.12</v>
      </c>
      <c r="K161" s="4">
        <f t="shared" si="8"/>
        <v>2.4896306635385421E-2</v>
      </c>
      <c r="L161" s="6">
        <f t="shared" si="9"/>
        <v>1.6900000000000002</v>
      </c>
      <c r="M161" s="6">
        <f t="shared" si="10"/>
        <v>59.032638888888897</v>
      </c>
      <c r="N161" s="8">
        <f t="shared" si="11"/>
        <v>2.6711023798040161</v>
      </c>
    </row>
    <row r="162" spans="1:14" x14ac:dyDescent="0.45">
      <c r="A162" s="12">
        <v>45352</v>
      </c>
      <c r="B162" s="2" t="s">
        <v>20</v>
      </c>
      <c r="C162" s="2" t="s">
        <v>28</v>
      </c>
      <c r="D162" s="2" t="s">
        <v>41</v>
      </c>
      <c r="E162" s="2" t="s">
        <v>22</v>
      </c>
      <c r="F162" s="2">
        <v>91795</v>
      </c>
      <c r="G162" s="2">
        <v>3800</v>
      </c>
      <c r="H162" s="2">
        <v>4636</v>
      </c>
      <c r="I162" s="2">
        <v>157</v>
      </c>
      <c r="J162" s="2">
        <v>24815.09</v>
      </c>
      <c r="K162" s="4">
        <f t="shared" si="8"/>
        <v>4.1396590228225935E-2</v>
      </c>
      <c r="L162" s="6">
        <f t="shared" si="9"/>
        <v>1.22</v>
      </c>
      <c r="M162" s="6">
        <f t="shared" si="10"/>
        <v>29.528662420382165</v>
      </c>
      <c r="N162" s="8">
        <f t="shared" si="11"/>
        <v>5.3526941328731663</v>
      </c>
    </row>
    <row r="163" spans="1:14" x14ac:dyDescent="0.45">
      <c r="A163" s="12">
        <v>45481</v>
      </c>
      <c r="B163" s="2" t="s">
        <v>35</v>
      </c>
      <c r="C163" s="2" t="s">
        <v>16</v>
      </c>
      <c r="D163" s="2" t="s">
        <v>41</v>
      </c>
      <c r="E163" s="2" t="s">
        <v>51</v>
      </c>
      <c r="F163" s="2">
        <v>22543</v>
      </c>
      <c r="G163" s="2">
        <v>333</v>
      </c>
      <c r="H163" s="2">
        <v>496.17</v>
      </c>
      <c r="I163" s="2">
        <v>12</v>
      </c>
      <c r="J163" s="2">
        <v>642.17999999999995</v>
      </c>
      <c r="K163" s="4">
        <f t="shared" si="8"/>
        <v>1.4771769507164086E-2</v>
      </c>
      <c r="L163" s="6">
        <f t="shared" si="9"/>
        <v>1.49</v>
      </c>
      <c r="M163" s="6">
        <f t="shared" si="10"/>
        <v>41.347500000000004</v>
      </c>
      <c r="N163" s="8">
        <f t="shared" si="11"/>
        <v>1.2942741399117237</v>
      </c>
    </row>
    <row r="164" spans="1:14" x14ac:dyDescent="0.45">
      <c r="A164" s="12">
        <v>45350</v>
      </c>
      <c r="B164" s="2" t="s">
        <v>35</v>
      </c>
      <c r="C164" s="2" t="s">
        <v>28</v>
      </c>
      <c r="D164" s="2" t="s">
        <v>25</v>
      </c>
      <c r="E164" s="2" t="s">
        <v>33</v>
      </c>
      <c r="F164" s="2">
        <v>119598</v>
      </c>
      <c r="G164" s="2">
        <v>1064</v>
      </c>
      <c r="H164" s="2">
        <v>2128</v>
      </c>
      <c r="I164" s="2">
        <v>64</v>
      </c>
      <c r="J164" s="2">
        <v>17165.43</v>
      </c>
      <c r="K164" s="4">
        <f t="shared" si="8"/>
        <v>8.8964698406327862E-3</v>
      </c>
      <c r="L164" s="6">
        <f t="shared" si="9"/>
        <v>2</v>
      </c>
      <c r="M164" s="6">
        <f t="shared" si="10"/>
        <v>33.25</v>
      </c>
      <c r="N164" s="8">
        <f t="shared" si="11"/>
        <v>8.0664614661654142</v>
      </c>
    </row>
    <row r="165" spans="1:14" x14ac:dyDescent="0.45">
      <c r="A165" s="12">
        <v>45531</v>
      </c>
      <c r="B165" s="2" t="s">
        <v>35</v>
      </c>
      <c r="C165" s="2" t="s">
        <v>16</v>
      </c>
      <c r="D165" s="2" t="s">
        <v>21</v>
      </c>
      <c r="E165" s="2" t="s">
        <v>18</v>
      </c>
      <c r="F165" s="2">
        <v>158504</v>
      </c>
      <c r="G165" s="2">
        <v>4897</v>
      </c>
      <c r="H165" s="2">
        <v>2105.71</v>
      </c>
      <c r="I165" s="2">
        <v>255</v>
      </c>
      <c r="J165" s="2">
        <v>54921.72</v>
      </c>
      <c r="K165" s="4">
        <f t="shared" si="8"/>
        <v>3.0895119366072782E-2</v>
      </c>
      <c r="L165" s="6">
        <f t="shared" si="9"/>
        <v>0.43</v>
      </c>
      <c r="M165" s="6">
        <f t="shared" si="10"/>
        <v>8.2576862745098047</v>
      </c>
      <c r="N165" s="8">
        <f t="shared" si="11"/>
        <v>26.082281035850141</v>
      </c>
    </row>
    <row r="166" spans="1:14" x14ac:dyDescent="0.45">
      <c r="A166" s="12">
        <v>45373</v>
      </c>
      <c r="B166" s="2" t="s">
        <v>15</v>
      </c>
      <c r="C166" s="2" t="s">
        <v>38</v>
      </c>
      <c r="D166" s="2" t="s">
        <v>41</v>
      </c>
      <c r="E166" s="2" t="s">
        <v>54</v>
      </c>
      <c r="F166" s="2">
        <v>39542</v>
      </c>
      <c r="G166" s="2">
        <v>1209</v>
      </c>
      <c r="H166" s="2">
        <v>2236.65</v>
      </c>
      <c r="I166" s="2">
        <v>42</v>
      </c>
      <c r="J166" s="2">
        <v>7992.11</v>
      </c>
      <c r="K166" s="4">
        <f t="shared" si="8"/>
        <v>3.0575084720044509E-2</v>
      </c>
      <c r="L166" s="6">
        <f t="shared" si="9"/>
        <v>1.85</v>
      </c>
      <c r="M166" s="6">
        <f t="shared" si="10"/>
        <v>53.253571428571433</v>
      </c>
      <c r="N166" s="8">
        <f t="shared" si="11"/>
        <v>3.5732501732501731</v>
      </c>
    </row>
    <row r="167" spans="1:14" x14ac:dyDescent="0.45">
      <c r="A167" s="12">
        <v>45492</v>
      </c>
      <c r="B167" s="2" t="s">
        <v>15</v>
      </c>
      <c r="C167" s="2" t="s">
        <v>38</v>
      </c>
      <c r="D167" s="2" t="s">
        <v>17</v>
      </c>
      <c r="E167" s="2" t="s">
        <v>51</v>
      </c>
      <c r="F167" s="2">
        <v>110848</v>
      </c>
      <c r="G167" s="2">
        <v>3181</v>
      </c>
      <c r="H167" s="2">
        <v>7793.45</v>
      </c>
      <c r="I167" s="2">
        <v>186</v>
      </c>
      <c r="J167" s="2">
        <v>32321.78</v>
      </c>
      <c r="K167" s="4">
        <f t="shared" si="8"/>
        <v>2.8696954387990761E-2</v>
      </c>
      <c r="L167" s="6">
        <f t="shared" si="9"/>
        <v>2.4499999999999997</v>
      </c>
      <c r="M167" s="6">
        <f t="shared" si="10"/>
        <v>41.900268817204299</v>
      </c>
      <c r="N167" s="8">
        <f t="shared" si="11"/>
        <v>4.1473006178265077</v>
      </c>
    </row>
    <row r="168" spans="1:14" x14ac:dyDescent="0.45">
      <c r="A168" s="12">
        <v>45648</v>
      </c>
      <c r="B168" s="2" t="s">
        <v>35</v>
      </c>
      <c r="C168" s="2" t="s">
        <v>24</v>
      </c>
      <c r="D168" s="2" t="s">
        <v>25</v>
      </c>
      <c r="E168" s="2" t="s">
        <v>54</v>
      </c>
      <c r="F168" s="2">
        <v>79964</v>
      </c>
      <c r="G168" s="2">
        <v>1487</v>
      </c>
      <c r="H168" s="2">
        <v>1591.09</v>
      </c>
      <c r="I168" s="2">
        <v>22</v>
      </c>
      <c r="J168" s="2">
        <v>3882.65</v>
      </c>
      <c r="K168" s="4">
        <f t="shared" si="8"/>
        <v>1.8595868140663298E-2</v>
      </c>
      <c r="L168" s="6">
        <f t="shared" si="9"/>
        <v>1.0699999999999998</v>
      </c>
      <c r="M168" s="6">
        <f t="shared" si="10"/>
        <v>72.322272727272718</v>
      </c>
      <c r="N168" s="8">
        <f t="shared" si="11"/>
        <v>2.4402453663840515</v>
      </c>
    </row>
    <row r="169" spans="1:14" x14ac:dyDescent="0.45">
      <c r="A169" s="12">
        <v>45645</v>
      </c>
      <c r="B169" s="2" t="s">
        <v>20</v>
      </c>
      <c r="C169" s="2" t="s">
        <v>38</v>
      </c>
      <c r="D169" s="2" t="s">
        <v>21</v>
      </c>
      <c r="E169" s="2" t="s">
        <v>30</v>
      </c>
      <c r="F169" s="2">
        <v>105127</v>
      </c>
      <c r="G169" s="2">
        <v>7747</v>
      </c>
      <c r="H169" s="2">
        <v>6817.36</v>
      </c>
      <c r="I169" s="2">
        <v>460</v>
      </c>
      <c r="J169" s="2">
        <v>99299.9</v>
      </c>
      <c r="K169" s="4">
        <f t="shared" si="8"/>
        <v>7.3691820369648137E-2</v>
      </c>
      <c r="L169" s="6">
        <f t="shared" si="9"/>
        <v>0.88</v>
      </c>
      <c r="M169" s="6">
        <f t="shared" si="10"/>
        <v>14.820347826086955</v>
      </c>
      <c r="N169" s="8">
        <f t="shared" si="11"/>
        <v>14.565740990647406</v>
      </c>
    </row>
    <row r="170" spans="1:14" x14ac:dyDescent="0.45">
      <c r="A170" s="12">
        <v>45298</v>
      </c>
      <c r="B170" s="2" t="s">
        <v>15</v>
      </c>
      <c r="C170" s="2" t="s">
        <v>28</v>
      </c>
      <c r="D170" s="2" t="s">
        <v>21</v>
      </c>
      <c r="E170" s="2" t="s">
        <v>18</v>
      </c>
      <c r="F170" s="2">
        <v>73803</v>
      </c>
      <c r="G170" s="2">
        <v>1505</v>
      </c>
      <c r="H170" s="2">
        <v>3190.6</v>
      </c>
      <c r="I170" s="2">
        <v>98</v>
      </c>
      <c r="J170" s="2">
        <v>18709.86</v>
      </c>
      <c r="K170" s="4">
        <f t="shared" si="8"/>
        <v>2.039212498136932E-2</v>
      </c>
      <c r="L170" s="6">
        <f t="shared" si="9"/>
        <v>2.12</v>
      </c>
      <c r="M170" s="6">
        <f t="shared" si="10"/>
        <v>32.557142857142857</v>
      </c>
      <c r="N170" s="8">
        <f t="shared" si="11"/>
        <v>5.8640569171942589</v>
      </c>
    </row>
    <row r="171" spans="1:14" x14ac:dyDescent="0.45">
      <c r="A171" s="12">
        <v>45467</v>
      </c>
      <c r="B171" s="2" t="s">
        <v>15</v>
      </c>
      <c r="C171" s="2" t="s">
        <v>28</v>
      </c>
      <c r="D171" s="2" t="s">
        <v>25</v>
      </c>
      <c r="E171" s="2" t="s">
        <v>22</v>
      </c>
      <c r="F171" s="2">
        <v>96575</v>
      </c>
      <c r="G171" s="2">
        <v>4925</v>
      </c>
      <c r="H171" s="2">
        <v>11820</v>
      </c>
      <c r="I171" s="2">
        <v>181</v>
      </c>
      <c r="J171" s="2">
        <v>7335.74</v>
      </c>
      <c r="K171" s="4">
        <f t="shared" si="8"/>
        <v>5.0996634739839501E-2</v>
      </c>
      <c r="L171" s="6">
        <f t="shared" si="9"/>
        <v>2.4</v>
      </c>
      <c r="M171" s="6">
        <f t="shared" si="10"/>
        <v>65.303867403314911</v>
      </c>
      <c r="N171" s="8">
        <f t="shared" si="11"/>
        <v>0.62062098138747879</v>
      </c>
    </row>
    <row r="172" spans="1:14" x14ac:dyDescent="0.45">
      <c r="A172" s="12">
        <v>45342</v>
      </c>
      <c r="B172" s="2" t="s">
        <v>15</v>
      </c>
      <c r="C172" s="2" t="s">
        <v>28</v>
      </c>
      <c r="D172" s="2" t="s">
        <v>17</v>
      </c>
      <c r="E172" s="2" t="s">
        <v>22</v>
      </c>
      <c r="F172" s="2">
        <v>162489</v>
      </c>
      <c r="G172" s="2">
        <v>4500</v>
      </c>
      <c r="H172" s="2">
        <v>13635</v>
      </c>
      <c r="I172" s="2">
        <v>184</v>
      </c>
      <c r="J172" s="2">
        <v>54944.54</v>
      </c>
      <c r="K172" s="4">
        <f t="shared" si="8"/>
        <v>2.7694182375422337E-2</v>
      </c>
      <c r="L172" s="6">
        <f t="shared" si="9"/>
        <v>3.03</v>
      </c>
      <c r="M172" s="6">
        <f t="shared" si="10"/>
        <v>74.103260869565219</v>
      </c>
      <c r="N172" s="8">
        <f t="shared" si="11"/>
        <v>4.0296692335900257</v>
      </c>
    </row>
    <row r="173" spans="1:14" x14ac:dyDescent="0.45">
      <c r="A173" s="12">
        <v>45417</v>
      </c>
      <c r="B173" s="2" t="s">
        <v>35</v>
      </c>
      <c r="C173" s="2" t="s">
        <v>16</v>
      </c>
      <c r="D173" s="2" t="s">
        <v>25</v>
      </c>
      <c r="E173" s="2" t="s">
        <v>33</v>
      </c>
      <c r="F173" s="2">
        <v>76155</v>
      </c>
      <c r="G173" s="2">
        <v>3548</v>
      </c>
      <c r="H173" s="2">
        <v>4435</v>
      </c>
      <c r="I173" s="2">
        <v>243</v>
      </c>
      <c r="J173" s="2">
        <v>30659.34</v>
      </c>
      <c r="K173" s="4">
        <f t="shared" si="8"/>
        <v>4.6589193093033943E-2</v>
      </c>
      <c r="L173" s="6">
        <f t="shared" si="9"/>
        <v>1.25</v>
      </c>
      <c r="M173" s="6">
        <f t="shared" si="10"/>
        <v>18.251028806584362</v>
      </c>
      <c r="N173" s="8">
        <f t="shared" si="11"/>
        <v>6.9130417136414879</v>
      </c>
    </row>
    <row r="174" spans="1:14" x14ac:dyDescent="0.45">
      <c r="A174" s="12">
        <v>45632</v>
      </c>
      <c r="B174" s="2" t="s">
        <v>20</v>
      </c>
      <c r="C174" s="2" t="s">
        <v>16</v>
      </c>
      <c r="D174" s="2" t="s">
        <v>17</v>
      </c>
      <c r="E174" s="2" t="s">
        <v>22</v>
      </c>
      <c r="F174" s="2">
        <v>180021</v>
      </c>
      <c r="G174" s="2">
        <v>13105</v>
      </c>
      <c r="H174" s="2">
        <v>21099.05</v>
      </c>
      <c r="I174" s="2">
        <v>880</v>
      </c>
      <c r="J174" s="2">
        <v>75656.62</v>
      </c>
      <c r="K174" s="4">
        <f t="shared" si="8"/>
        <v>7.2797062564922979E-2</v>
      </c>
      <c r="L174" s="6">
        <f t="shared" si="9"/>
        <v>1.6099999999999999</v>
      </c>
      <c r="M174" s="6">
        <f t="shared" si="10"/>
        <v>23.976193181818182</v>
      </c>
      <c r="N174" s="8">
        <f t="shared" si="11"/>
        <v>3.5857832461651116</v>
      </c>
    </row>
    <row r="175" spans="1:14" x14ac:dyDescent="0.45">
      <c r="A175" s="12">
        <v>45395</v>
      </c>
      <c r="B175" s="2" t="s">
        <v>20</v>
      </c>
      <c r="C175" s="2" t="s">
        <v>24</v>
      </c>
      <c r="D175" s="2" t="s">
        <v>21</v>
      </c>
      <c r="E175" s="2" t="s">
        <v>22</v>
      </c>
      <c r="F175" s="2">
        <v>79965</v>
      </c>
      <c r="G175" s="2">
        <v>3070</v>
      </c>
      <c r="H175" s="2">
        <v>3131.4</v>
      </c>
      <c r="I175" s="2">
        <v>237</v>
      </c>
      <c r="J175" s="2">
        <v>65306</v>
      </c>
      <c r="K175" s="4">
        <f t="shared" si="8"/>
        <v>3.8391796410929782E-2</v>
      </c>
      <c r="L175" s="6">
        <f t="shared" si="9"/>
        <v>1.02</v>
      </c>
      <c r="M175" s="6">
        <f t="shared" si="10"/>
        <v>13.212658227848102</v>
      </c>
      <c r="N175" s="8">
        <f t="shared" si="11"/>
        <v>20.855208532924571</v>
      </c>
    </row>
    <row r="176" spans="1:14" x14ac:dyDescent="0.45">
      <c r="A176" s="12">
        <v>45440</v>
      </c>
      <c r="B176" s="2" t="s">
        <v>35</v>
      </c>
      <c r="C176" s="2" t="s">
        <v>16</v>
      </c>
      <c r="D176" s="2" t="s">
        <v>21</v>
      </c>
      <c r="E176" s="2" t="s">
        <v>51</v>
      </c>
      <c r="F176" s="2">
        <v>49789</v>
      </c>
      <c r="G176" s="2">
        <v>622</v>
      </c>
      <c r="H176" s="2">
        <v>1293.76</v>
      </c>
      <c r="I176" s="2">
        <v>48</v>
      </c>
      <c r="J176" s="2">
        <v>7704.96</v>
      </c>
      <c r="K176" s="4">
        <f t="shared" si="8"/>
        <v>1.2492719275341943E-2</v>
      </c>
      <c r="L176" s="6">
        <f t="shared" si="9"/>
        <v>2.08</v>
      </c>
      <c r="M176" s="6">
        <f t="shared" si="10"/>
        <v>26.953333333333333</v>
      </c>
      <c r="N176" s="8">
        <f t="shared" si="11"/>
        <v>5.9554786049962898</v>
      </c>
    </row>
    <row r="177" spans="1:14" x14ac:dyDescent="0.45">
      <c r="A177" s="12">
        <v>45393</v>
      </c>
      <c r="B177" s="2" t="s">
        <v>20</v>
      </c>
      <c r="C177" s="2" t="s">
        <v>24</v>
      </c>
      <c r="D177" s="2" t="s">
        <v>29</v>
      </c>
      <c r="E177" s="2" t="s">
        <v>30</v>
      </c>
      <c r="F177" s="2">
        <v>195026</v>
      </c>
      <c r="G177" s="2">
        <v>9653</v>
      </c>
      <c r="H177" s="2">
        <v>17664.990000000002</v>
      </c>
      <c r="I177" s="2">
        <v>371</v>
      </c>
      <c r="J177" s="2">
        <v>94022.57</v>
      </c>
      <c r="K177" s="4">
        <f t="shared" si="8"/>
        <v>4.9495964640612018E-2</v>
      </c>
      <c r="L177" s="6">
        <f t="shared" si="9"/>
        <v>1.83</v>
      </c>
      <c r="M177" s="6">
        <f t="shared" si="10"/>
        <v>47.6145283018868</v>
      </c>
      <c r="N177" s="8">
        <f t="shared" si="11"/>
        <v>5.3225374030780657</v>
      </c>
    </row>
    <row r="178" spans="1:14" x14ac:dyDescent="0.45">
      <c r="A178" s="12">
        <v>45339</v>
      </c>
      <c r="B178" s="2" t="s">
        <v>20</v>
      </c>
      <c r="C178" s="2" t="s">
        <v>28</v>
      </c>
      <c r="D178" s="2" t="s">
        <v>25</v>
      </c>
      <c r="E178" s="2" t="s">
        <v>33</v>
      </c>
      <c r="F178" s="2">
        <v>130438</v>
      </c>
      <c r="G178" s="2">
        <v>7721</v>
      </c>
      <c r="H178" s="2">
        <v>12353.6</v>
      </c>
      <c r="I178" s="2">
        <v>353</v>
      </c>
      <c r="J178" s="2">
        <v>70310.53</v>
      </c>
      <c r="K178" s="4">
        <f t="shared" si="8"/>
        <v>5.9192873242460017E-2</v>
      </c>
      <c r="L178" s="6">
        <f t="shared" si="9"/>
        <v>1.6</v>
      </c>
      <c r="M178" s="6">
        <f t="shared" si="10"/>
        <v>34.996033994334276</v>
      </c>
      <c r="N178" s="8">
        <f t="shared" si="11"/>
        <v>5.6915012627897941</v>
      </c>
    </row>
    <row r="179" spans="1:14" x14ac:dyDescent="0.45">
      <c r="A179" s="12">
        <v>45640</v>
      </c>
      <c r="B179" s="2" t="s">
        <v>20</v>
      </c>
      <c r="C179" s="2" t="s">
        <v>28</v>
      </c>
      <c r="D179" s="2" t="s">
        <v>29</v>
      </c>
      <c r="E179" s="2" t="s">
        <v>51</v>
      </c>
      <c r="F179" s="2">
        <v>141917</v>
      </c>
      <c r="G179" s="2">
        <v>4796</v>
      </c>
      <c r="H179" s="2">
        <v>3165.36</v>
      </c>
      <c r="I179" s="2">
        <v>369</v>
      </c>
      <c r="J179" s="2">
        <v>11953.05</v>
      </c>
      <c r="K179" s="4">
        <f t="shared" si="8"/>
        <v>3.3794400952669515E-2</v>
      </c>
      <c r="L179" s="6">
        <f t="shared" si="9"/>
        <v>0.66</v>
      </c>
      <c r="M179" s="6">
        <f t="shared" si="10"/>
        <v>8.5782113821138211</v>
      </c>
      <c r="N179" s="8">
        <f t="shared" si="11"/>
        <v>3.7762055500796112</v>
      </c>
    </row>
    <row r="180" spans="1:14" x14ac:dyDescent="0.45">
      <c r="A180" s="12">
        <v>45618</v>
      </c>
      <c r="B180" s="2" t="s">
        <v>20</v>
      </c>
      <c r="C180" s="2" t="s">
        <v>28</v>
      </c>
      <c r="D180" s="2" t="s">
        <v>29</v>
      </c>
      <c r="E180" s="2" t="s">
        <v>26</v>
      </c>
      <c r="F180" s="2">
        <v>146958</v>
      </c>
      <c r="G180" s="2">
        <v>7494</v>
      </c>
      <c r="H180" s="2">
        <v>12589.92</v>
      </c>
      <c r="I180" s="2">
        <v>538</v>
      </c>
      <c r="J180" s="2">
        <v>117826.98</v>
      </c>
      <c r="K180" s="4">
        <f t="shared" si="8"/>
        <v>5.0994161597191036E-2</v>
      </c>
      <c r="L180" s="6">
        <f t="shared" si="9"/>
        <v>1.68</v>
      </c>
      <c r="M180" s="6">
        <f t="shared" si="10"/>
        <v>23.401338289962826</v>
      </c>
      <c r="N180" s="8">
        <f t="shared" si="11"/>
        <v>9.3588346867970564</v>
      </c>
    </row>
    <row r="181" spans="1:14" x14ac:dyDescent="0.45">
      <c r="A181" s="12">
        <v>45551</v>
      </c>
      <c r="B181" s="2" t="s">
        <v>15</v>
      </c>
      <c r="C181" s="2" t="s">
        <v>24</v>
      </c>
      <c r="D181" s="2" t="s">
        <v>41</v>
      </c>
      <c r="E181" s="2" t="s">
        <v>22</v>
      </c>
      <c r="F181" s="2">
        <v>13605</v>
      </c>
      <c r="G181" s="2">
        <v>300</v>
      </c>
      <c r="H181" s="2">
        <v>624</v>
      </c>
      <c r="I181" s="2">
        <v>21</v>
      </c>
      <c r="J181" s="2">
        <v>4495.51</v>
      </c>
      <c r="K181" s="4">
        <f t="shared" si="8"/>
        <v>2.2050716648291068E-2</v>
      </c>
      <c r="L181" s="6">
        <f t="shared" si="9"/>
        <v>2.08</v>
      </c>
      <c r="M181" s="6">
        <f t="shared" si="10"/>
        <v>29.714285714285715</v>
      </c>
      <c r="N181" s="8">
        <f t="shared" si="11"/>
        <v>7.2043429487179491</v>
      </c>
    </row>
    <row r="182" spans="1:14" x14ac:dyDescent="0.45">
      <c r="A182" s="12">
        <v>45435</v>
      </c>
      <c r="B182" s="2" t="s">
        <v>15</v>
      </c>
      <c r="C182" s="2" t="s">
        <v>38</v>
      </c>
      <c r="D182" s="2" t="s">
        <v>29</v>
      </c>
      <c r="E182" s="2" t="s">
        <v>30</v>
      </c>
      <c r="F182" s="2">
        <v>116041</v>
      </c>
      <c r="G182" s="2">
        <v>6428</v>
      </c>
      <c r="H182" s="2">
        <v>11249</v>
      </c>
      <c r="I182" s="2">
        <v>74</v>
      </c>
      <c r="J182" s="2">
        <v>13873.48</v>
      </c>
      <c r="K182" s="4">
        <f t="shared" si="8"/>
        <v>5.5394214113976957E-2</v>
      </c>
      <c r="L182" s="6">
        <f t="shared" si="9"/>
        <v>1.75</v>
      </c>
      <c r="M182" s="6">
        <f t="shared" si="10"/>
        <v>152.01351351351352</v>
      </c>
      <c r="N182" s="8">
        <f t="shared" si="11"/>
        <v>1.2333078495866299</v>
      </c>
    </row>
    <row r="183" spans="1:14" x14ac:dyDescent="0.45">
      <c r="A183" s="12">
        <v>45560</v>
      </c>
      <c r="B183" s="2" t="s">
        <v>20</v>
      </c>
      <c r="C183" s="2" t="s">
        <v>16</v>
      </c>
      <c r="D183" s="2" t="s">
        <v>41</v>
      </c>
      <c r="E183" s="2" t="s">
        <v>51</v>
      </c>
      <c r="F183" s="2">
        <v>170396</v>
      </c>
      <c r="G183" s="2">
        <v>10138</v>
      </c>
      <c r="H183" s="2">
        <v>10949.04</v>
      </c>
      <c r="I183" s="2">
        <v>494</v>
      </c>
      <c r="J183" s="2">
        <v>99795.18</v>
      </c>
      <c r="K183" s="4">
        <f t="shared" si="8"/>
        <v>5.9496701800511746E-2</v>
      </c>
      <c r="L183" s="6">
        <f t="shared" si="9"/>
        <v>1.08</v>
      </c>
      <c r="M183" s="6">
        <f t="shared" si="10"/>
        <v>22.164048582995953</v>
      </c>
      <c r="N183" s="8">
        <f t="shared" si="11"/>
        <v>9.1145141491856805</v>
      </c>
    </row>
    <row r="184" spans="1:14" x14ac:dyDescent="0.45">
      <c r="A184" s="12">
        <v>45344</v>
      </c>
      <c r="B184" s="2" t="s">
        <v>35</v>
      </c>
      <c r="C184" s="2" t="s">
        <v>38</v>
      </c>
      <c r="D184" s="2" t="s">
        <v>21</v>
      </c>
      <c r="E184" s="2" t="s">
        <v>51</v>
      </c>
      <c r="F184" s="2">
        <v>19743</v>
      </c>
      <c r="G184" s="2">
        <v>619</v>
      </c>
      <c r="H184" s="2">
        <v>773.75</v>
      </c>
      <c r="I184" s="2">
        <v>41</v>
      </c>
      <c r="J184" s="2">
        <v>9219.4599999999991</v>
      </c>
      <c r="K184" s="4">
        <f t="shared" si="8"/>
        <v>3.1352884566681859E-2</v>
      </c>
      <c r="L184" s="6">
        <f t="shared" si="9"/>
        <v>1.25</v>
      </c>
      <c r="M184" s="6">
        <f t="shared" si="10"/>
        <v>18.871951219512194</v>
      </c>
      <c r="N184" s="8">
        <f t="shared" si="11"/>
        <v>11.915295638126009</v>
      </c>
    </row>
    <row r="185" spans="1:14" x14ac:dyDescent="0.45">
      <c r="A185" s="12">
        <v>45532</v>
      </c>
      <c r="B185" s="2" t="s">
        <v>15</v>
      </c>
      <c r="C185" s="2" t="s">
        <v>16</v>
      </c>
      <c r="D185" s="2" t="s">
        <v>41</v>
      </c>
      <c r="E185" s="2" t="s">
        <v>54</v>
      </c>
      <c r="F185" s="2">
        <v>94081</v>
      </c>
      <c r="G185" s="2">
        <v>5588</v>
      </c>
      <c r="H185" s="2">
        <v>15031.72</v>
      </c>
      <c r="I185" s="2">
        <v>88</v>
      </c>
      <c r="J185" s="2">
        <v>24757.88</v>
      </c>
      <c r="K185" s="4">
        <f t="shared" si="8"/>
        <v>5.9395627172330226E-2</v>
      </c>
      <c r="L185" s="6">
        <f t="shared" si="9"/>
        <v>2.69</v>
      </c>
      <c r="M185" s="6">
        <f t="shared" si="10"/>
        <v>170.815</v>
      </c>
      <c r="N185" s="8">
        <f t="shared" si="11"/>
        <v>1.6470423876974825</v>
      </c>
    </row>
    <row r="186" spans="1:14" x14ac:dyDescent="0.45">
      <c r="A186" s="12">
        <v>45453</v>
      </c>
      <c r="B186" s="2" t="s">
        <v>20</v>
      </c>
      <c r="C186" s="2" t="s">
        <v>24</v>
      </c>
      <c r="D186" s="2" t="s">
        <v>17</v>
      </c>
      <c r="E186" s="2" t="s">
        <v>26</v>
      </c>
      <c r="F186" s="2">
        <v>141643</v>
      </c>
      <c r="G186" s="2">
        <v>8526</v>
      </c>
      <c r="H186" s="2">
        <v>3921.96</v>
      </c>
      <c r="I186" s="2">
        <v>379</v>
      </c>
      <c r="J186" s="2">
        <v>51038.1</v>
      </c>
      <c r="K186" s="4">
        <f t="shared" si="8"/>
        <v>6.019358528130582E-2</v>
      </c>
      <c r="L186" s="6">
        <f t="shared" si="9"/>
        <v>0.46</v>
      </c>
      <c r="M186" s="6">
        <f t="shared" si="10"/>
        <v>10.348179419525065</v>
      </c>
      <c r="N186" s="8">
        <f t="shared" si="11"/>
        <v>13.013416761007251</v>
      </c>
    </row>
    <row r="187" spans="1:14" x14ac:dyDescent="0.45">
      <c r="A187" s="12">
        <v>45314</v>
      </c>
      <c r="B187" s="2" t="s">
        <v>35</v>
      </c>
      <c r="C187" s="2" t="s">
        <v>28</v>
      </c>
      <c r="D187" s="2" t="s">
        <v>29</v>
      </c>
      <c r="E187" s="2" t="s">
        <v>54</v>
      </c>
      <c r="F187" s="2">
        <v>90716</v>
      </c>
      <c r="G187" s="2">
        <v>3002</v>
      </c>
      <c r="H187" s="2">
        <v>4412.9399999999996</v>
      </c>
      <c r="I187" s="2">
        <v>194</v>
      </c>
      <c r="J187" s="2">
        <v>39560.54</v>
      </c>
      <c r="K187" s="4">
        <f t="shared" si="8"/>
        <v>3.309228801975396E-2</v>
      </c>
      <c r="L187" s="6">
        <f t="shared" si="9"/>
        <v>1.47</v>
      </c>
      <c r="M187" s="6">
        <f t="shared" si="10"/>
        <v>22.747113402061853</v>
      </c>
      <c r="N187" s="8">
        <f t="shared" si="11"/>
        <v>8.9646675458991076</v>
      </c>
    </row>
    <row r="188" spans="1:14" x14ac:dyDescent="0.45">
      <c r="A188" s="12">
        <v>45646</v>
      </c>
      <c r="B188" s="2" t="s">
        <v>15</v>
      </c>
      <c r="C188" s="2" t="s">
        <v>16</v>
      </c>
      <c r="D188" s="2" t="s">
        <v>21</v>
      </c>
      <c r="E188" s="2" t="s">
        <v>26</v>
      </c>
      <c r="F188" s="2">
        <v>72055</v>
      </c>
      <c r="G188" s="2">
        <v>1678</v>
      </c>
      <c r="H188" s="2">
        <v>5319.26</v>
      </c>
      <c r="I188" s="2">
        <v>41</v>
      </c>
      <c r="J188" s="2">
        <v>8506.9</v>
      </c>
      <c r="K188" s="4">
        <f t="shared" si="8"/>
        <v>2.3287766289639859E-2</v>
      </c>
      <c r="L188" s="6">
        <f t="shared" si="9"/>
        <v>3.17</v>
      </c>
      <c r="M188" s="6">
        <f t="shared" si="10"/>
        <v>129.73804878048782</v>
      </c>
      <c r="N188" s="8">
        <f t="shared" si="11"/>
        <v>1.599263807371702</v>
      </c>
    </row>
    <row r="189" spans="1:14" x14ac:dyDescent="0.45">
      <c r="A189" s="12">
        <v>45400</v>
      </c>
      <c r="B189" s="2" t="s">
        <v>35</v>
      </c>
      <c r="C189" s="2" t="s">
        <v>28</v>
      </c>
      <c r="D189" s="2" t="s">
        <v>41</v>
      </c>
      <c r="E189" s="2" t="s">
        <v>30</v>
      </c>
      <c r="F189" s="2">
        <v>112692</v>
      </c>
      <c r="G189" s="2">
        <v>2096</v>
      </c>
      <c r="H189" s="2">
        <v>4757.92</v>
      </c>
      <c r="I189" s="2">
        <v>89</v>
      </c>
      <c r="J189" s="2">
        <v>16587.580000000002</v>
      </c>
      <c r="K189" s="4">
        <f t="shared" si="8"/>
        <v>1.8599368189401201E-2</v>
      </c>
      <c r="L189" s="6">
        <f t="shared" si="9"/>
        <v>2.27</v>
      </c>
      <c r="M189" s="6">
        <f t="shared" si="10"/>
        <v>53.459775280898874</v>
      </c>
      <c r="N189" s="8">
        <f t="shared" si="11"/>
        <v>3.4863091434912739</v>
      </c>
    </row>
    <row r="190" spans="1:14" x14ac:dyDescent="0.45">
      <c r="A190" s="12">
        <v>45604</v>
      </c>
      <c r="B190" s="2" t="s">
        <v>15</v>
      </c>
      <c r="C190" s="2" t="s">
        <v>24</v>
      </c>
      <c r="D190" s="2" t="s">
        <v>17</v>
      </c>
      <c r="E190" s="2" t="s">
        <v>18</v>
      </c>
      <c r="F190" s="2">
        <v>31672</v>
      </c>
      <c r="G190" s="2">
        <v>877</v>
      </c>
      <c r="H190" s="2">
        <v>631.44000000000005</v>
      </c>
      <c r="I190" s="2">
        <v>16</v>
      </c>
      <c r="J190" s="2">
        <v>2266.94</v>
      </c>
      <c r="K190" s="4">
        <f t="shared" si="8"/>
        <v>2.7690073250820915E-2</v>
      </c>
      <c r="L190" s="6">
        <f t="shared" si="9"/>
        <v>0.72000000000000008</v>
      </c>
      <c r="M190" s="6">
        <f t="shared" si="10"/>
        <v>39.465000000000003</v>
      </c>
      <c r="N190" s="8">
        <f t="shared" si="11"/>
        <v>3.5901114911947292</v>
      </c>
    </row>
    <row r="191" spans="1:14" x14ac:dyDescent="0.45">
      <c r="A191" s="12">
        <v>45473</v>
      </c>
      <c r="B191" s="2" t="s">
        <v>35</v>
      </c>
      <c r="C191" s="2" t="s">
        <v>24</v>
      </c>
      <c r="D191" s="2" t="s">
        <v>41</v>
      </c>
      <c r="E191" s="2" t="s">
        <v>30</v>
      </c>
      <c r="F191" s="2">
        <v>59131</v>
      </c>
      <c r="G191" s="2">
        <v>1425</v>
      </c>
      <c r="H191" s="2">
        <v>1482</v>
      </c>
      <c r="I191" s="2">
        <v>66</v>
      </c>
      <c r="J191" s="2">
        <v>19372.57</v>
      </c>
      <c r="K191" s="4">
        <f t="shared" si="8"/>
        <v>2.4099034347465798E-2</v>
      </c>
      <c r="L191" s="6">
        <f t="shared" si="9"/>
        <v>1.04</v>
      </c>
      <c r="M191" s="6">
        <f t="shared" si="10"/>
        <v>22.454545454545453</v>
      </c>
      <c r="N191" s="8">
        <f t="shared" si="11"/>
        <v>13.071909581646423</v>
      </c>
    </row>
    <row r="192" spans="1:14" x14ac:dyDescent="0.45">
      <c r="A192" s="12">
        <v>45466</v>
      </c>
      <c r="B192" s="2" t="s">
        <v>15</v>
      </c>
      <c r="C192" s="2" t="s">
        <v>16</v>
      </c>
      <c r="D192" s="2" t="s">
        <v>29</v>
      </c>
      <c r="E192" s="2" t="s">
        <v>33</v>
      </c>
      <c r="F192" s="2">
        <v>119397</v>
      </c>
      <c r="G192" s="2">
        <v>3868</v>
      </c>
      <c r="H192" s="2">
        <v>6962.4</v>
      </c>
      <c r="I192" s="2">
        <v>193</v>
      </c>
      <c r="J192" s="2">
        <v>35393.300000000003</v>
      </c>
      <c r="K192" s="4">
        <f t="shared" si="8"/>
        <v>3.2396123855708267E-2</v>
      </c>
      <c r="L192" s="6">
        <f t="shared" si="9"/>
        <v>1.7999999999999998</v>
      </c>
      <c r="M192" s="6">
        <f t="shared" si="10"/>
        <v>36.074611398963725</v>
      </c>
      <c r="N192" s="8">
        <f t="shared" si="11"/>
        <v>5.0834913248305185</v>
      </c>
    </row>
    <row r="193" spans="1:14" x14ac:dyDescent="0.45">
      <c r="A193" s="12">
        <v>45598</v>
      </c>
      <c r="B193" s="2" t="s">
        <v>35</v>
      </c>
      <c r="C193" s="2" t="s">
        <v>16</v>
      </c>
      <c r="D193" s="2" t="s">
        <v>21</v>
      </c>
      <c r="E193" s="2" t="s">
        <v>54</v>
      </c>
      <c r="F193" s="2">
        <v>157008</v>
      </c>
      <c r="G193" s="2">
        <v>5024</v>
      </c>
      <c r="H193" s="2">
        <v>3617.28</v>
      </c>
      <c r="I193" s="2">
        <v>379</v>
      </c>
      <c r="J193" s="2">
        <v>73104.850000000006</v>
      </c>
      <c r="K193" s="4">
        <f t="shared" si="8"/>
        <v>3.1998369509833896E-2</v>
      </c>
      <c r="L193" s="6">
        <f t="shared" si="9"/>
        <v>0.72000000000000008</v>
      </c>
      <c r="M193" s="6">
        <f t="shared" si="10"/>
        <v>9.5442744063324536</v>
      </c>
      <c r="N193" s="8">
        <f t="shared" si="11"/>
        <v>20.209895280431706</v>
      </c>
    </row>
    <row r="194" spans="1:14" x14ac:dyDescent="0.45">
      <c r="A194" s="12">
        <v>45295</v>
      </c>
      <c r="B194" s="2" t="s">
        <v>35</v>
      </c>
      <c r="C194" s="2" t="s">
        <v>28</v>
      </c>
      <c r="D194" s="2" t="s">
        <v>21</v>
      </c>
      <c r="E194" s="2" t="s">
        <v>22</v>
      </c>
      <c r="F194" s="2">
        <v>117217</v>
      </c>
      <c r="G194" s="2">
        <v>2133</v>
      </c>
      <c r="H194" s="2">
        <v>2751.57</v>
      </c>
      <c r="I194" s="2">
        <v>129</v>
      </c>
      <c r="J194" s="2">
        <v>25455.360000000001</v>
      </c>
      <c r="K194" s="4">
        <f t="shared" si="8"/>
        <v>1.8197019203699122E-2</v>
      </c>
      <c r="L194" s="6">
        <f t="shared" si="9"/>
        <v>1.29</v>
      </c>
      <c r="M194" s="6">
        <f t="shared" si="10"/>
        <v>21.330000000000002</v>
      </c>
      <c r="N194" s="8">
        <f t="shared" si="11"/>
        <v>9.2512129438829458</v>
      </c>
    </row>
    <row r="195" spans="1:14" x14ac:dyDescent="0.45">
      <c r="A195" s="12">
        <v>45592</v>
      </c>
      <c r="B195" s="2" t="s">
        <v>20</v>
      </c>
      <c r="C195" s="2" t="s">
        <v>16</v>
      </c>
      <c r="D195" s="2" t="s">
        <v>29</v>
      </c>
      <c r="E195" s="2" t="s">
        <v>33</v>
      </c>
      <c r="F195" s="2">
        <v>111956</v>
      </c>
      <c r="G195" s="2">
        <v>5911</v>
      </c>
      <c r="H195" s="2">
        <v>9280.27</v>
      </c>
      <c r="I195" s="2">
        <v>253</v>
      </c>
      <c r="J195" s="2">
        <v>68395.539999999994</v>
      </c>
      <c r="K195" s="4">
        <f t="shared" ref="K195:K258" si="12" xml:space="preserve"> G195 / F195</f>
        <v>5.2797527600128624E-2</v>
      </c>
      <c r="L195" s="6">
        <f t="shared" ref="L195:L258" si="13">H195/G195</f>
        <v>1.57</v>
      </c>
      <c r="M195" s="6">
        <f t="shared" ref="M195:M258" si="14">H195/I195</f>
        <v>36.68090909090909</v>
      </c>
      <c r="N195" s="8">
        <f t="shared" ref="N195:N258" si="15">J195/H195</f>
        <v>7.3699946230012694</v>
      </c>
    </row>
    <row r="196" spans="1:14" x14ac:dyDescent="0.45">
      <c r="A196" s="12">
        <v>45296</v>
      </c>
      <c r="B196" s="2" t="s">
        <v>35</v>
      </c>
      <c r="C196" s="2" t="s">
        <v>38</v>
      </c>
      <c r="D196" s="2" t="s">
        <v>29</v>
      </c>
      <c r="E196" s="2" t="s">
        <v>26</v>
      </c>
      <c r="F196" s="2">
        <v>10939</v>
      </c>
      <c r="G196" s="2">
        <v>113</v>
      </c>
      <c r="H196" s="2">
        <v>133.34</v>
      </c>
      <c r="I196" s="2">
        <v>6</v>
      </c>
      <c r="J196" s="2">
        <v>1684.43</v>
      </c>
      <c r="K196" s="4">
        <f t="shared" si="12"/>
        <v>1.0330011884084469E-2</v>
      </c>
      <c r="L196" s="6">
        <f t="shared" si="13"/>
        <v>1.18</v>
      </c>
      <c r="M196" s="6">
        <f t="shared" si="14"/>
        <v>22.223333333333333</v>
      </c>
      <c r="N196" s="8">
        <f t="shared" si="15"/>
        <v>12.632593370331483</v>
      </c>
    </row>
    <row r="197" spans="1:14" x14ac:dyDescent="0.45">
      <c r="A197" s="12">
        <v>45514</v>
      </c>
      <c r="B197" s="2" t="s">
        <v>20</v>
      </c>
      <c r="C197" s="2" t="s">
        <v>38</v>
      </c>
      <c r="D197" s="2" t="s">
        <v>29</v>
      </c>
      <c r="E197" s="2" t="s">
        <v>51</v>
      </c>
      <c r="F197" s="2">
        <v>72293</v>
      </c>
      <c r="G197" s="2">
        <v>4532</v>
      </c>
      <c r="H197" s="2">
        <v>8202.92</v>
      </c>
      <c r="I197" s="2">
        <v>169</v>
      </c>
      <c r="J197" s="2">
        <v>35145.360000000001</v>
      </c>
      <c r="K197" s="4">
        <f t="shared" si="12"/>
        <v>6.2689333683759146E-2</v>
      </c>
      <c r="L197" s="6">
        <f t="shared" si="13"/>
        <v>1.81</v>
      </c>
      <c r="M197" s="6">
        <f t="shared" si="14"/>
        <v>48.537988165680474</v>
      </c>
      <c r="N197" s="8">
        <f t="shared" si="15"/>
        <v>4.2844938143978002</v>
      </c>
    </row>
    <row r="198" spans="1:14" x14ac:dyDescent="0.45">
      <c r="A198" s="12">
        <v>45339</v>
      </c>
      <c r="B198" s="2" t="s">
        <v>15</v>
      </c>
      <c r="C198" s="2" t="s">
        <v>28</v>
      </c>
      <c r="D198" s="2" t="s">
        <v>17</v>
      </c>
      <c r="E198" s="2" t="s">
        <v>30</v>
      </c>
      <c r="F198" s="2">
        <v>78402</v>
      </c>
      <c r="G198" s="2">
        <v>4531</v>
      </c>
      <c r="H198" s="2">
        <v>12460.25</v>
      </c>
      <c r="I198" s="2">
        <v>105</v>
      </c>
      <c r="J198" s="2">
        <v>25620.07</v>
      </c>
      <c r="K198" s="4">
        <f t="shared" si="12"/>
        <v>5.7791893063952451E-2</v>
      </c>
      <c r="L198" s="6">
        <f t="shared" si="13"/>
        <v>2.75</v>
      </c>
      <c r="M198" s="6">
        <f t="shared" si="14"/>
        <v>118.66904761904762</v>
      </c>
      <c r="N198" s="8">
        <f t="shared" si="15"/>
        <v>2.0561441383599846</v>
      </c>
    </row>
    <row r="199" spans="1:14" x14ac:dyDescent="0.45">
      <c r="A199" s="12">
        <v>45590</v>
      </c>
      <c r="B199" s="2" t="s">
        <v>20</v>
      </c>
      <c r="C199" s="2" t="s">
        <v>38</v>
      </c>
      <c r="D199" s="2" t="s">
        <v>41</v>
      </c>
      <c r="E199" s="2" t="s">
        <v>33</v>
      </c>
      <c r="F199" s="2">
        <v>160892</v>
      </c>
      <c r="G199" s="2">
        <v>9122</v>
      </c>
      <c r="H199" s="2">
        <v>5838.08</v>
      </c>
      <c r="I199" s="2">
        <v>590</v>
      </c>
      <c r="J199" s="2">
        <v>170654.73</v>
      </c>
      <c r="K199" s="4">
        <f t="shared" si="12"/>
        <v>5.6696417472590306E-2</v>
      </c>
      <c r="L199" s="6">
        <f t="shared" si="13"/>
        <v>0.64</v>
      </c>
      <c r="M199" s="6">
        <f t="shared" si="14"/>
        <v>9.8950508474576271</v>
      </c>
      <c r="N199" s="8">
        <f t="shared" si="15"/>
        <v>29.231310636373603</v>
      </c>
    </row>
    <row r="200" spans="1:14" x14ac:dyDescent="0.45">
      <c r="A200" s="12">
        <v>45365</v>
      </c>
      <c r="B200" s="2" t="s">
        <v>20</v>
      </c>
      <c r="C200" s="2" t="s">
        <v>16</v>
      </c>
      <c r="D200" s="2" t="s">
        <v>21</v>
      </c>
      <c r="E200" s="2" t="s">
        <v>26</v>
      </c>
      <c r="F200" s="2">
        <v>154092</v>
      </c>
      <c r="G200" s="2">
        <v>8860</v>
      </c>
      <c r="H200" s="2">
        <v>10366.200000000001</v>
      </c>
      <c r="I200" s="2">
        <v>246</v>
      </c>
      <c r="J200" s="2">
        <v>23706.53</v>
      </c>
      <c r="K200" s="4">
        <f t="shared" si="12"/>
        <v>5.7498118007424139E-2</v>
      </c>
      <c r="L200" s="6">
        <f t="shared" si="13"/>
        <v>1.1700000000000002</v>
      </c>
      <c r="M200" s="6">
        <f t="shared" si="14"/>
        <v>42.139024390243904</v>
      </c>
      <c r="N200" s="8">
        <f t="shared" si="15"/>
        <v>2.286906484536281</v>
      </c>
    </row>
    <row r="201" spans="1:14" x14ac:dyDescent="0.45">
      <c r="A201" s="12">
        <v>45301</v>
      </c>
      <c r="B201" s="2" t="s">
        <v>35</v>
      </c>
      <c r="C201" s="2" t="s">
        <v>28</v>
      </c>
      <c r="D201" s="2" t="s">
        <v>25</v>
      </c>
      <c r="E201" s="2" t="s">
        <v>18</v>
      </c>
      <c r="F201" s="2">
        <v>73323</v>
      </c>
      <c r="G201" s="2">
        <v>1928</v>
      </c>
      <c r="H201" s="2">
        <v>3296.88</v>
      </c>
      <c r="I201" s="2">
        <v>121</v>
      </c>
      <c r="J201" s="2">
        <v>33634.99</v>
      </c>
      <c r="K201" s="4">
        <f t="shared" si="12"/>
        <v>2.6294614241097608E-2</v>
      </c>
      <c r="L201" s="6">
        <f t="shared" si="13"/>
        <v>1.71</v>
      </c>
      <c r="M201" s="6">
        <f t="shared" si="14"/>
        <v>27.246942148760333</v>
      </c>
      <c r="N201" s="8">
        <f t="shared" si="15"/>
        <v>10.202066802552716</v>
      </c>
    </row>
    <row r="202" spans="1:14" x14ac:dyDescent="0.45">
      <c r="A202" s="12">
        <v>45308</v>
      </c>
      <c r="B202" s="2" t="s">
        <v>20</v>
      </c>
      <c r="C202" s="2" t="s">
        <v>24</v>
      </c>
      <c r="D202" s="2" t="s">
        <v>29</v>
      </c>
      <c r="E202" s="2" t="s">
        <v>51</v>
      </c>
      <c r="F202" s="2">
        <v>58521</v>
      </c>
      <c r="G202" s="2">
        <v>3318</v>
      </c>
      <c r="H202" s="2">
        <v>6138.3</v>
      </c>
      <c r="I202" s="2">
        <v>39</v>
      </c>
      <c r="J202" s="2">
        <v>10013.26</v>
      </c>
      <c r="K202" s="4">
        <f t="shared" si="12"/>
        <v>5.6697595734864409E-2</v>
      </c>
      <c r="L202" s="6">
        <f t="shared" si="13"/>
        <v>1.85</v>
      </c>
      <c r="M202" s="6">
        <f t="shared" si="14"/>
        <v>157.3923076923077</v>
      </c>
      <c r="N202" s="8">
        <f t="shared" si="15"/>
        <v>1.6312757603896844</v>
      </c>
    </row>
    <row r="203" spans="1:14" x14ac:dyDescent="0.45">
      <c r="A203" s="12">
        <v>45569</v>
      </c>
      <c r="B203" s="2" t="s">
        <v>20</v>
      </c>
      <c r="C203" s="2" t="s">
        <v>16</v>
      </c>
      <c r="D203" s="2" t="s">
        <v>29</v>
      </c>
      <c r="E203" s="2" t="s">
        <v>26</v>
      </c>
      <c r="F203" s="2">
        <v>48361</v>
      </c>
      <c r="G203" s="2">
        <v>2713</v>
      </c>
      <c r="H203" s="2">
        <v>2360.31</v>
      </c>
      <c r="I203" s="2">
        <v>54</v>
      </c>
      <c r="J203" s="2">
        <v>7890.9</v>
      </c>
      <c r="K203" s="4">
        <f t="shared" si="12"/>
        <v>5.6098922685635121E-2</v>
      </c>
      <c r="L203" s="6">
        <f t="shared" si="13"/>
        <v>0.87</v>
      </c>
      <c r="M203" s="6">
        <f t="shared" si="14"/>
        <v>43.709444444444443</v>
      </c>
      <c r="N203" s="8">
        <f t="shared" si="15"/>
        <v>3.3431625506819018</v>
      </c>
    </row>
    <row r="204" spans="1:14" x14ac:dyDescent="0.45">
      <c r="A204" s="12">
        <v>45423</v>
      </c>
      <c r="B204" s="2" t="s">
        <v>20</v>
      </c>
      <c r="C204" s="2" t="s">
        <v>38</v>
      </c>
      <c r="D204" s="2" t="s">
        <v>25</v>
      </c>
      <c r="E204" s="2" t="s">
        <v>18</v>
      </c>
      <c r="F204" s="2">
        <v>179870</v>
      </c>
      <c r="G204" s="2">
        <v>7500</v>
      </c>
      <c r="H204" s="2">
        <v>10800</v>
      </c>
      <c r="I204" s="2">
        <v>112</v>
      </c>
      <c r="J204" s="2">
        <v>5446.79</v>
      </c>
      <c r="K204" s="4">
        <f t="shared" si="12"/>
        <v>4.1696781008506142E-2</v>
      </c>
      <c r="L204" s="6">
        <f t="shared" si="13"/>
        <v>1.44</v>
      </c>
      <c r="M204" s="6">
        <f t="shared" si="14"/>
        <v>96.428571428571431</v>
      </c>
      <c r="N204" s="8">
        <f t="shared" si="15"/>
        <v>0.50433240740740737</v>
      </c>
    </row>
    <row r="205" spans="1:14" x14ac:dyDescent="0.45">
      <c r="A205" s="12">
        <v>45571</v>
      </c>
      <c r="B205" s="2" t="s">
        <v>20</v>
      </c>
      <c r="C205" s="2" t="s">
        <v>16</v>
      </c>
      <c r="D205" s="2" t="s">
        <v>41</v>
      </c>
      <c r="E205" s="2" t="s">
        <v>33</v>
      </c>
      <c r="F205" s="2">
        <v>114850</v>
      </c>
      <c r="G205" s="2">
        <v>8234</v>
      </c>
      <c r="H205" s="2">
        <v>13421.42</v>
      </c>
      <c r="I205" s="2">
        <v>245</v>
      </c>
      <c r="J205" s="2">
        <v>35478.839999999997</v>
      </c>
      <c r="K205" s="4">
        <f t="shared" si="12"/>
        <v>7.1693513278188944E-2</v>
      </c>
      <c r="L205" s="6">
        <f t="shared" si="13"/>
        <v>1.6300000000000001</v>
      </c>
      <c r="M205" s="6">
        <f t="shared" si="14"/>
        <v>54.781306122448981</v>
      </c>
      <c r="N205" s="8">
        <f t="shared" si="15"/>
        <v>2.6434490538258988</v>
      </c>
    </row>
    <row r="206" spans="1:14" x14ac:dyDescent="0.45">
      <c r="A206" s="12">
        <v>45460</v>
      </c>
      <c r="B206" s="2" t="s">
        <v>15</v>
      </c>
      <c r="C206" s="2" t="s">
        <v>38</v>
      </c>
      <c r="D206" s="2" t="s">
        <v>25</v>
      </c>
      <c r="E206" s="2" t="s">
        <v>51</v>
      </c>
      <c r="F206" s="2">
        <v>54976</v>
      </c>
      <c r="G206" s="2">
        <v>2611</v>
      </c>
      <c r="H206" s="2">
        <v>3446.52</v>
      </c>
      <c r="I206" s="2">
        <v>187</v>
      </c>
      <c r="J206" s="2">
        <v>8230.48</v>
      </c>
      <c r="K206" s="4">
        <f t="shared" si="12"/>
        <v>4.7493451688009315E-2</v>
      </c>
      <c r="L206" s="6">
        <f t="shared" si="13"/>
        <v>1.32</v>
      </c>
      <c r="M206" s="6">
        <f t="shared" si="14"/>
        <v>18.430588235294117</v>
      </c>
      <c r="N206" s="8">
        <f t="shared" si="15"/>
        <v>2.388055197706672</v>
      </c>
    </row>
    <row r="207" spans="1:14" x14ac:dyDescent="0.45">
      <c r="A207" s="12">
        <v>45530</v>
      </c>
      <c r="B207" s="2" t="s">
        <v>15</v>
      </c>
      <c r="C207" s="2" t="s">
        <v>28</v>
      </c>
      <c r="D207" s="2" t="s">
        <v>17</v>
      </c>
      <c r="E207" s="2" t="s">
        <v>54</v>
      </c>
      <c r="F207" s="2">
        <v>162636</v>
      </c>
      <c r="G207" s="2">
        <v>9237</v>
      </c>
      <c r="H207" s="2">
        <v>13024.17</v>
      </c>
      <c r="I207" s="2">
        <v>738</v>
      </c>
      <c r="J207" s="2">
        <v>102989.98</v>
      </c>
      <c r="K207" s="4">
        <f t="shared" si="12"/>
        <v>5.6795543422120565E-2</v>
      </c>
      <c r="L207" s="6">
        <f t="shared" si="13"/>
        <v>1.41</v>
      </c>
      <c r="M207" s="6">
        <f t="shared" si="14"/>
        <v>17.647926829268293</v>
      </c>
      <c r="N207" s="8">
        <f t="shared" si="15"/>
        <v>7.907604093005542</v>
      </c>
    </row>
    <row r="208" spans="1:14" x14ac:dyDescent="0.45">
      <c r="A208" s="12">
        <v>45440</v>
      </c>
      <c r="B208" s="2" t="s">
        <v>15</v>
      </c>
      <c r="C208" s="2" t="s">
        <v>38</v>
      </c>
      <c r="D208" s="2" t="s">
        <v>25</v>
      </c>
      <c r="E208" s="2" t="s">
        <v>51</v>
      </c>
      <c r="F208" s="2">
        <v>23375</v>
      </c>
      <c r="G208" s="2">
        <v>1175</v>
      </c>
      <c r="H208" s="2">
        <v>1668.5</v>
      </c>
      <c r="I208" s="2">
        <v>15</v>
      </c>
      <c r="J208" s="2">
        <v>1524.57</v>
      </c>
      <c r="K208" s="4">
        <f t="shared" si="12"/>
        <v>5.0267379679144387E-2</v>
      </c>
      <c r="L208" s="6">
        <f t="shared" si="13"/>
        <v>1.42</v>
      </c>
      <c r="M208" s="6">
        <f t="shared" si="14"/>
        <v>111.23333333333333</v>
      </c>
      <c r="N208" s="8">
        <f t="shared" si="15"/>
        <v>0.91373688942163611</v>
      </c>
    </row>
    <row r="209" spans="1:14" x14ac:dyDescent="0.45">
      <c r="A209" s="12">
        <v>45648</v>
      </c>
      <c r="B209" s="2" t="s">
        <v>35</v>
      </c>
      <c r="C209" s="2" t="s">
        <v>28</v>
      </c>
      <c r="D209" s="2" t="s">
        <v>41</v>
      </c>
      <c r="E209" s="2" t="s">
        <v>33</v>
      </c>
      <c r="F209" s="2">
        <v>167917</v>
      </c>
      <c r="G209" s="2">
        <v>6246</v>
      </c>
      <c r="H209" s="2">
        <v>3747.6</v>
      </c>
      <c r="I209" s="2">
        <v>413</v>
      </c>
      <c r="J209" s="2">
        <v>25997.62</v>
      </c>
      <c r="K209" s="4">
        <f t="shared" si="12"/>
        <v>3.719694849240994E-2</v>
      </c>
      <c r="L209" s="6">
        <f t="shared" si="13"/>
        <v>0.6</v>
      </c>
      <c r="M209" s="6">
        <f t="shared" si="14"/>
        <v>9.0740920096852307</v>
      </c>
      <c r="N209" s="8">
        <f t="shared" si="15"/>
        <v>6.9371384352652363</v>
      </c>
    </row>
    <row r="210" spans="1:14" x14ac:dyDescent="0.45">
      <c r="A210" s="12">
        <v>45542</v>
      </c>
      <c r="B210" s="2" t="s">
        <v>15</v>
      </c>
      <c r="C210" s="2" t="s">
        <v>16</v>
      </c>
      <c r="D210" s="2" t="s">
        <v>41</v>
      </c>
      <c r="E210" s="2" t="s">
        <v>26</v>
      </c>
      <c r="F210" s="2">
        <v>71216</v>
      </c>
      <c r="G210" s="2">
        <v>2357</v>
      </c>
      <c r="H210" s="2">
        <v>7471.69</v>
      </c>
      <c r="I210" s="2">
        <v>179</v>
      </c>
      <c r="J210" s="2">
        <v>29354.19</v>
      </c>
      <c r="K210" s="4">
        <f t="shared" si="12"/>
        <v>3.3096495169624804E-2</v>
      </c>
      <c r="L210" s="6">
        <f t="shared" si="13"/>
        <v>3.17</v>
      </c>
      <c r="M210" s="6">
        <f t="shared" si="14"/>
        <v>41.741284916201117</v>
      </c>
      <c r="N210" s="8">
        <f t="shared" si="15"/>
        <v>3.9287216145209451</v>
      </c>
    </row>
    <row r="211" spans="1:14" x14ac:dyDescent="0.45">
      <c r="A211" s="12">
        <v>45630</v>
      </c>
      <c r="B211" s="2" t="s">
        <v>15</v>
      </c>
      <c r="C211" s="2" t="s">
        <v>24</v>
      </c>
      <c r="D211" s="2" t="s">
        <v>21</v>
      </c>
      <c r="E211" s="2" t="s">
        <v>30</v>
      </c>
      <c r="F211" s="2">
        <v>29618</v>
      </c>
      <c r="G211" s="2">
        <v>1883</v>
      </c>
      <c r="H211" s="2">
        <v>4086.11</v>
      </c>
      <c r="I211" s="2">
        <v>90</v>
      </c>
      <c r="J211" s="2">
        <v>26198.959999999999</v>
      </c>
      <c r="K211" s="4">
        <f t="shared" si="12"/>
        <v>6.357620365993652E-2</v>
      </c>
      <c r="L211" s="6">
        <f t="shared" si="13"/>
        <v>2.17</v>
      </c>
      <c r="M211" s="6">
        <f t="shared" si="14"/>
        <v>45.401222222222223</v>
      </c>
      <c r="N211" s="8">
        <f t="shared" si="15"/>
        <v>6.4117118726612841</v>
      </c>
    </row>
    <row r="212" spans="1:14" x14ac:dyDescent="0.45">
      <c r="A212" s="12">
        <v>45627</v>
      </c>
      <c r="B212" s="2" t="s">
        <v>15</v>
      </c>
      <c r="C212" s="2" t="s">
        <v>16</v>
      </c>
      <c r="D212" s="2" t="s">
        <v>25</v>
      </c>
      <c r="E212" s="2" t="s">
        <v>33</v>
      </c>
      <c r="F212" s="2">
        <v>136461</v>
      </c>
      <c r="G212" s="2">
        <v>3984</v>
      </c>
      <c r="H212" s="2">
        <v>5936.16</v>
      </c>
      <c r="I212" s="2">
        <v>214</v>
      </c>
      <c r="J212" s="2">
        <v>24710.240000000002</v>
      </c>
      <c r="K212" s="4">
        <f t="shared" si="12"/>
        <v>2.9195154659573064E-2</v>
      </c>
      <c r="L212" s="6">
        <f t="shared" si="13"/>
        <v>1.49</v>
      </c>
      <c r="M212" s="6">
        <f t="shared" si="14"/>
        <v>27.739065420560745</v>
      </c>
      <c r="N212" s="8">
        <f t="shared" si="15"/>
        <v>4.1626640791353333</v>
      </c>
    </row>
    <row r="213" spans="1:14" x14ac:dyDescent="0.45">
      <c r="A213" s="12">
        <v>45497</v>
      </c>
      <c r="B213" s="2" t="s">
        <v>20</v>
      </c>
      <c r="C213" s="2" t="s">
        <v>16</v>
      </c>
      <c r="D213" s="2" t="s">
        <v>25</v>
      </c>
      <c r="E213" s="2" t="s">
        <v>54</v>
      </c>
      <c r="F213" s="2">
        <v>132426</v>
      </c>
      <c r="G213" s="2">
        <v>7309</v>
      </c>
      <c r="H213" s="2">
        <v>2338.88</v>
      </c>
      <c r="I213" s="2">
        <v>171</v>
      </c>
      <c r="J213" s="2">
        <v>24136.13</v>
      </c>
      <c r="K213" s="4">
        <f t="shared" si="12"/>
        <v>5.5193088970443872E-2</v>
      </c>
      <c r="L213" s="6">
        <f t="shared" si="13"/>
        <v>0.32</v>
      </c>
      <c r="M213" s="6">
        <f t="shared" si="14"/>
        <v>13.67766081871345</v>
      </c>
      <c r="N213" s="8">
        <f t="shared" si="15"/>
        <v>10.319524729785197</v>
      </c>
    </row>
    <row r="214" spans="1:14" x14ac:dyDescent="0.45">
      <c r="A214" s="12">
        <v>45625</v>
      </c>
      <c r="B214" s="2" t="s">
        <v>20</v>
      </c>
      <c r="C214" s="2" t="s">
        <v>16</v>
      </c>
      <c r="D214" s="2" t="s">
        <v>41</v>
      </c>
      <c r="E214" s="2" t="s">
        <v>30</v>
      </c>
      <c r="F214" s="2">
        <v>159692</v>
      </c>
      <c r="G214" s="2">
        <v>6882</v>
      </c>
      <c r="H214" s="2">
        <v>2546.34</v>
      </c>
      <c r="I214" s="2">
        <v>523</v>
      </c>
      <c r="J214" s="2">
        <v>106309.31</v>
      </c>
      <c r="K214" s="4">
        <f t="shared" si="12"/>
        <v>4.3095458758109363E-2</v>
      </c>
      <c r="L214" s="6">
        <f t="shared" si="13"/>
        <v>0.37</v>
      </c>
      <c r="M214" s="6">
        <f t="shared" si="14"/>
        <v>4.8687189292543023</v>
      </c>
      <c r="N214" s="8">
        <f t="shared" si="15"/>
        <v>41.749848802595096</v>
      </c>
    </row>
    <row r="215" spans="1:14" x14ac:dyDescent="0.45">
      <c r="A215" s="12">
        <v>45539</v>
      </c>
      <c r="B215" s="2" t="s">
        <v>35</v>
      </c>
      <c r="C215" s="2" t="s">
        <v>24</v>
      </c>
      <c r="D215" s="2" t="s">
        <v>17</v>
      </c>
      <c r="E215" s="2" t="s">
        <v>51</v>
      </c>
      <c r="F215" s="2">
        <v>27931</v>
      </c>
      <c r="G215" s="2">
        <v>608</v>
      </c>
      <c r="H215" s="2">
        <v>924.16</v>
      </c>
      <c r="I215" s="2">
        <v>10</v>
      </c>
      <c r="J215" s="2">
        <v>1389.72</v>
      </c>
      <c r="K215" s="4">
        <f t="shared" si="12"/>
        <v>2.1767928108553221E-2</v>
      </c>
      <c r="L215" s="6">
        <f t="shared" si="13"/>
        <v>1.52</v>
      </c>
      <c r="M215" s="6">
        <f t="shared" si="14"/>
        <v>92.415999999999997</v>
      </c>
      <c r="N215" s="8">
        <f t="shared" si="15"/>
        <v>1.5037655817174516</v>
      </c>
    </row>
    <row r="216" spans="1:14" x14ac:dyDescent="0.45">
      <c r="A216" s="12">
        <v>45510</v>
      </c>
      <c r="B216" s="2" t="s">
        <v>35</v>
      </c>
      <c r="C216" s="2" t="s">
        <v>38</v>
      </c>
      <c r="D216" s="2" t="s">
        <v>21</v>
      </c>
      <c r="E216" s="2" t="s">
        <v>26</v>
      </c>
      <c r="F216" s="2">
        <v>131155</v>
      </c>
      <c r="G216" s="2">
        <v>4052</v>
      </c>
      <c r="H216" s="2">
        <v>5024.4799999999996</v>
      </c>
      <c r="I216" s="2">
        <v>209</v>
      </c>
      <c r="J216" s="2">
        <v>15982.2</v>
      </c>
      <c r="K216" s="4">
        <f t="shared" si="12"/>
        <v>3.0894742861499753E-2</v>
      </c>
      <c r="L216" s="6">
        <f t="shared" si="13"/>
        <v>1.24</v>
      </c>
      <c r="M216" s="6">
        <f t="shared" si="14"/>
        <v>24.040574162679423</v>
      </c>
      <c r="N216" s="8">
        <f t="shared" si="15"/>
        <v>3.1808664777250586</v>
      </c>
    </row>
    <row r="217" spans="1:14" x14ac:dyDescent="0.45">
      <c r="A217" s="12">
        <v>45439</v>
      </c>
      <c r="B217" s="2" t="s">
        <v>20</v>
      </c>
      <c r="C217" s="2" t="s">
        <v>28</v>
      </c>
      <c r="D217" s="2" t="s">
        <v>17</v>
      </c>
      <c r="E217" s="2" t="s">
        <v>26</v>
      </c>
      <c r="F217" s="2">
        <v>66842</v>
      </c>
      <c r="G217" s="2">
        <v>2339</v>
      </c>
      <c r="H217" s="2">
        <v>3274.6</v>
      </c>
      <c r="I217" s="2">
        <v>123</v>
      </c>
      <c r="J217" s="2">
        <v>14081.65</v>
      </c>
      <c r="K217" s="4">
        <f t="shared" si="12"/>
        <v>3.499296849286377E-2</v>
      </c>
      <c r="L217" s="6">
        <f t="shared" si="13"/>
        <v>1.4</v>
      </c>
      <c r="M217" s="6">
        <f t="shared" si="14"/>
        <v>26.622764227642275</v>
      </c>
      <c r="N217" s="8">
        <f t="shared" si="15"/>
        <v>4.3002656813045865</v>
      </c>
    </row>
    <row r="218" spans="1:14" x14ac:dyDescent="0.45">
      <c r="A218" s="12">
        <v>45356</v>
      </c>
      <c r="B218" s="2" t="s">
        <v>15</v>
      </c>
      <c r="C218" s="2" t="s">
        <v>28</v>
      </c>
      <c r="D218" s="2" t="s">
        <v>29</v>
      </c>
      <c r="E218" s="2" t="s">
        <v>18</v>
      </c>
      <c r="F218" s="2">
        <v>7642</v>
      </c>
      <c r="G218" s="2">
        <v>202</v>
      </c>
      <c r="H218" s="2">
        <v>682.76</v>
      </c>
      <c r="I218" s="2">
        <v>11</v>
      </c>
      <c r="J218" s="2">
        <v>1542.21</v>
      </c>
      <c r="K218" s="4">
        <f t="shared" si="12"/>
        <v>2.6432870976184245E-2</v>
      </c>
      <c r="L218" s="6">
        <f t="shared" si="13"/>
        <v>3.38</v>
      </c>
      <c r="M218" s="6">
        <f t="shared" si="14"/>
        <v>62.06909090909091</v>
      </c>
      <c r="N218" s="8">
        <f t="shared" si="15"/>
        <v>2.2587878610346244</v>
      </c>
    </row>
    <row r="219" spans="1:14" x14ac:dyDescent="0.45">
      <c r="A219" s="12">
        <v>45455</v>
      </c>
      <c r="B219" s="2" t="s">
        <v>15</v>
      </c>
      <c r="C219" s="2" t="s">
        <v>28</v>
      </c>
      <c r="D219" s="2" t="s">
        <v>41</v>
      </c>
      <c r="E219" s="2" t="s">
        <v>26</v>
      </c>
      <c r="F219" s="2">
        <v>70618</v>
      </c>
      <c r="G219" s="2">
        <v>3601</v>
      </c>
      <c r="H219" s="2">
        <v>8030.23</v>
      </c>
      <c r="I219" s="2">
        <v>145</v>
      </c>
      <c r="J219" s="2">
        <v>7976.29</v>
      </c>
      <c r="K219" s="4">
        <f t="shared" si="12"/>
        <v>5.0992664759692996E-2</v>
      </c>
      <c r="L219" s="6">
        <f t="shared" si="13"/>
        <v>2.23</v>
      </c>
      <c r="M219" s="6">
        <f t="shared" si="14"/>
        <v>55.380896551724135</v>
      </c>
      <c r="N219" s="8">
        <f t="shared" si="15"/>
        <v>0.99328288230847694</v>
      </c>
    </row>
    <row r="220" spans="1:14" x14ac:dyDescent="0.45">
      <c r="A220" s="12">
        <v>45562</v>
      </c>
      <c r="B220" s="2" t="s">
        <v>35</v>
      </c>
      <c r="C220" s="2" t="s">
        <v>24</v>
      </c>
      <c r="D220" s="2" t="s">
        <v>41</v>
      </c>
      <c r="E220" s="2" t="s">
        <v>30</v>
      </c>
      <c r="F220" s="2">
        <v>74212</v>
      </c>
      <c r="G220" s="2">
        <v>1528</v>
      </c>
      <c r="H220" s="2">
        <v>2230.88</v>
      </c>
      <c r="I220" s="2">
        <v>85</v>
      </c>
      <c r="J220" s="2">
        <v>21331.58</v>
      </c>
      <c r="K220" s="4">
        <f t="shared" si="12"/>
        <v>2.0589662049264271E-2</v>
      </c>
      <c r="L220" s="6">
        <f t="shared" si="13"/>
        <v>1.46</v>
      </c>
      <c r="M220" s="6">
        <f t="shared" si="14"/>
        <v>26.245647058823529</v>
      </c>
      <c r="N220" s="8">
        <f t="shared" si="15"/>
        <v>9.5619576131392101</v>
      </c>
    </row>
    <row r="221" spans="1:14" x14ac:dyDescent="0.45">
      <c r="A221" s="12">
        <v>45360</v>
      </c>
      <c r="B221" s="2" t="s">
        <v>15</v>
      </c>
      <c r="C221" s="2" t="s">
        <v>28</v>
      </c>
      <c r="D221" s="2" t="s">
        <v>41</v>
      </c>
      <c r="E221" s="2" t="s">
        <v>26</v>
      </c>
      <c r="F221" s="2">
        <v>10039</v>
      </c>
      <c r="G221" s="2">
        <v>501</v>
      </c>
      <c r="H221" s="2">
        <v>1147.29</v>
      </c>
      <c r="I221" s="2">
        <v>36</v>
      </c>
      <c r="J221" s="2">
        <v>4805.5200000000004</v>
      </c>
      <c r="K221" s="4">
        <f t="shared" si="12"/>
        <v>4.990536906066341E-2</v>
      </c>
      <c r="L221" s="6">
        <f t="shared" si="13"/>
        <v>2.29</v>
      </c>
      <c r="M221" s="6">
        <f t="shared" si="14"/>
        <v>31.869166666666665</v>
      </c>
      <c r="N221" s="8">
        <f t="shared" si="15"/>
        <v>4.188583531626703</v>
      </c>
    </row>
    <row r="222" spans="1:14" x14ac:dyDescent="0.45">
      <c r="A222" s="12">
        <v>45649</v>
      </c>
      <c r="B222" s="2" t="s">
        <v>35</v>
      </c>
      <c r="C222" s="2" t="s">
        <v>24</v>
      </c>
      <c r="D222" s="2" t="s">
        <v>25</v>
      </c>
      <c r="E222" s="2" t="s">
        <v>51</v>
      </c>
      <c r="F222" s="2">
        <v>102088</v>
      </c>
      <c r="G222" s="2">
        <v>4481</v>
      </c>
      <c r="H222" s="2">
        <v>3271.13</v>
      </c>
      <c r="I222" s="2">
        <v>316</v>
      </c>
      <c r="J222" s="2">
        <v>87569.74</v>
      </c>
      <c r="K222" s="4">
        <f t="shared" si="12"/>
        <v>4.3893503643915054E-2</v>
      </c>
      <c r="L222" s="6">
        <f t="shared" si="13"/>
        <v>0.73</v>
      </c>
      <c r="M222" s="6">
        <f t="shared" si="14"/>
        <v>10.351677215189873</v>
      </c>
      <c r="N222" s="8">
        <f t="shared" si="15"/>
        <v>26.770486039992296</v>
      </c>
    </row>
    <row r="223" spans="1:14" x14ac:dyDescent="0.45">
      <c r="A223" s="12">
        <v>45549</v>
      </c>
      <c r="B223" s="2" t="s">
        <v>20</v>
      </c>
      <c r="C223" s="2" t="s">
        <v>38</v>
      </c>
      <c r="D223" s="2" t="s">
        <v>17</v>
      </c>
      <c r="E223" s="2" t="s">
        <v>18</v>
      </c>
      <c r="F223" s="2">
        <v>25025</v>
      </c>
      <c r="G223" s="2">
        <v>1256</v>
      </c>
      <c r="H223" s="2">
        <v>540.08000000000004</v>
      </c>
      <c r="I223" s="2">
        <v>38</v>
      </c>
      <c r="J223" s="2">
        <v>5694.61</v>
      </c>
      <c r="K223" s="4">
        <f t="shared" si="12"/>
        <v>5.018981018981019E-2</v>
      </c>
      <c r="L223" s="6">
        <f t="shared" si="13"/>
        <v>0.43000000000000005</v>
      </c>
      <c r="M223" s="6">
        <f t="shared" si="14"/>
        <v>14.21263157894737</v>
      </c>
      <c r="N223" s="8">
        <f t="shared" si="15"/>
        <v>10.544011998222484</v>
      </c>
    </row>
    <row r="224" spans="1:14" x14ac:dyDescent="0.45">
      <c r="A224" s="12">
        <v>45601</v>
      </c>
      <c r="B224" s="2" t="s">
        <v>15</v>
      </c>
      <c r="C224" s="2" t="s">
        <v>28</v>
      </c>
      <c r="D224" s="2" t="s">
        <v>25</v>
      </c>
      <c r="E224" s="2" t="s">
        <v>33</v>
      </c>
      <c r="F224" s="2">
        <v>36707</v>
      </c>
      <c r="G224" s="2">
        <v>943</v>
      </c>
      <c r="H224" s="2">
        <v>1235.33</v>
      </c>
      <c r="I224" s="2">
        <v>21</v>
      </c>
      <c r="J224" s="2">
        <v>4396.12</v>
      </c>
      <c r="K224" s="4">
        <f t="shared" si="12"/>
        <v>2.5689922902988532E-2</v>
      </c>
      <c r="L224" s="6">
        <f t="shared" si="13"/>
        <v>1.3099999999999998</v>
      </c>
      <c r="M224" s="6">
        <f t="shared" si="14"/>
        <v>58.825238095238092</v>
      </c>
      <c r="N224" s="8">
        <f t="shared" si="15"/>
        <v>3.5586604389110605</v>
      </c>
    </row>
    <row r="225" spans="1:14" x14ac:dyDescent="0.45">
      <c r="A225" s="12">
        <v>45582</v>
      </c>
      <c r="B225" s="2" t="s">
        <v>20</v>
      </c>
      <c r="C225" s="2" t="s">
        <v>16</v>
      </c>
      <c r="D225" s="2" t="s">
        <v>21</v>
      </c>
      <c r="E225" s="2" t="s">
        <v>33</v>
      </c>
      <c r="F225" s="2">
        <v>17356</v>
      </c>
      <c r="G225" s="2">
        <v>925</v>
      </c>
      <c r="H225" s="2">
        <v>425.5</v>
      </c>
      <c r="I225" s="2">
        <v>62</v>
      </c>
      <c r="J225" s="2">
        <v>5476.85</v>
      </c>
      <c r="K225" s="4">
        <f t="shared" si="12"/>
        <v>5.3295690251209955E-2</v>
      </c>
      <c r="L225" s="6">
        <f t="shared" si="13"/>
        <v>0.46</v>
      </c>
      <c r="M225" s="6">
        <f t="shared" si="14"/>
        <v>6.862903225806452</v>
      </c>
      <c r="N225" s="8">
        <f t="shared" si="15"/>
        <v>12.871562867215042</v>
      </c>
    </row>
    <row r="226" spans="1:14" x14ac:dyDescent="0.45">
      <c r="A226" s="12">
        <v>45468</v>
      </c>
      <c r="B226" s="2" t="s">
        <v>20</v>
      </c>
      <c r="C226" s="2" t="s">
        <v>16</v>
      </c>
      <c r="D226" s="2" t="s">
        <v>21</v>
      </c>
      <c r="E226" s="2" t="s">
        <v>51</v>
      </c>
      <c r="F226" s="2">
        <v>86257</v>
      </c>
      <c r="G226" s="2">
        <v>4597</v>
      </c>
      <c r="H226" s="2">
        <v>3815.51</v>
      </c>
      <c r="I226" s="2">
        <v>301</v>
      </c>
      <c r="J226" s="2">
        <v>80903.28</v>
      </c>
      <c r="K226" s="4">
        <f t="shared" si="12"/>
        <v>5.3294225396199726E-2</v>
      </c>
      <c r="L226" s="6">
        <f t="shared" si="13"/>
        <v>0.83000000000000007</v>
      </c>
      <c r="M226" s="6">
        <f t="shared" si="14"/>
        <v>12.676112956810632</v>
      </c>
      <c r="N226" s="8">
        <f t="shared" si="15"/>
        <v>21.203791891516467</v>
      </c>
    </row>
    <row r="227" spans="1:14" x14ac:dyDescent="0.45">
      <c r="A227" s="12">
        <v>45604</v>
      </c>
      <c r="B227" s="2" t="s">
        <v>15</v>
      </c>
      <c r="C227" s="2" t="s">
        <v>28</v>
      </c>
      <c r="D227" s="2" t="s">
        <v>17</v>
      </c>
      <c r="E227" s="2" t="s">
        <v>51</v>
      </c>
      <c r="F227" s="2">
        <v>32518</v>
      </c>
      <c r="G227" s="2">
        <v>1258</v>
      </c>
      <c r="H227" s="2">
        <v>3031.78</v>
      </c>
      <c r="I227" s="2">
        <v>12</v>
      </c>
      <c r="J227" s="2">
        <v>2688.72</v>
      </c>
      <c r="K227" s="4">
        <f t="shared" si="12"/>
        <v>3.8686266068023861E-2</v>
      </c>
      <c r="L227" s="6">
        <f t="shared" si="13"/>
        <v>2.41</v>
      </c>
      <c r="M227" s="6">
        <f t="shared" si="14"/>
        <v>252.64833333333334</v>
      </c>
      <c r="N227" s="8">
        <f t="shared" si="15"/>
        <v>0.88684535157564193</v>
      </c>
    </row>
    <row r="228" spans="1:14" x14ac:dyDescent="0.45">
      <c r="A228" s="12">
        <v>45500</v>
      </c>
      <c r="B228" s="2" t="s">
        <v>35</v>
      </c>
      <c r="C228" s="2" t="s">
        <v>38</v>
      </c>
      <c r="D228" s="2" t="s">
        <v>41</v>
      </c>
      <c r="E228" s="2" t="s">
        <v>51</v>
      </c>
      <c r="F228" s="2">
        <v>75269</v>
      </c>
      <c r="G228" s="2">
        <v>2604</v>
      </c>
      <c r="H228" s="2">
        <v>2161.3200000000002</v>
      </c>
      <c r="I228" s="2">
        <v>70</v>
      </c>
      <c r="J228" s="2">
        <v>3191.14</v>
      </c>
      <c r="K228" s="4">
        <f t="shared" si="12"/>
        <v>3.4595915981346904E-2</v>
      </c>
      <c r="L228" s="6">
        <f t="shared" si="13"/>
        <v>0.83000000000000007</v>
      </c>
      <c r="M228" s="6">
        <f t="shared" si="14"/>
        <v>30.876000000000001</v>
      </c>
      <c r="N228" s="8">
        <f t="shared" si="15"/>
        <v>1.4764773379231209</v>
      </c>
    </row>
    <row r="229" spans="1:14" x14ac:dyDescent="0.45">
      <c r="A229" s="12">
        <v>45428</v>
      </c>
      <c r="B229" s="2" t="s">
        <v>15</v>
      </c>
      <c r="C229" s="2" t="s">
        <v>24</v>
      </c>
      <c r="D229" s="2" t="s">
        <v>21</v>
      </c>
      <c r="E229" s="2" t="s">
        <v>33</v>
      </c>
      <c r="F229" s="2">
        <v>20534</v>
      </c>
      <c r="G229" s="2">
        <v>993</v>
      </c>
      <c r="H229" s="2">
        <v>2849.91</v>
      </c>
      <c r="I229" s="2">
        <v>49</v>
      </c>
      <c r="J229" s="2">
        <v>1762.93</v>
      </c>
      <c r="K229" s="4">
        <f t="shared" si="12"/>
        <v>4.8358819518846789E-2</v>
      </c>
      <c r="L229" s="6">
        <f t="shared" si="13"/>
        <v>2.8699999999999997</v>
      </c>
      <c r="M229" s="6">
        <f t="shared" si="14"/>
        <v>58.161428571428566</v>
      </c>
      <c r="N229" s="8">
        <f t="shared" si="15"/>
        <v>0.61859146429185485</v>
      </c>
    </row>
    <row r="230" spans="1:14" x14ac:dyDescent="0.45">
      <c r="A230" s="12">
        <v>45611</v>
      </c>
      <c r="B230" s="2" t="s">
        <v>20</v>
      </c>
      <c r="C230" s="2" t="s">
        <v>28</v>
      </c>
      <c r="D230" s="2" t="s">
        <v>41</v>
      </c>
      <c r="E230" s="2" t="s">
        <v>18</v>
      </c>
      <c r="F230" s="2">
        <v>98500</v>
      </c>
      <c r="G230" s="2">
        <v>5614</v>
      </c>
      <c r="H230" s="2">
        <v>3424.54</v>
      </c>
      <c r="I230" s="2">
        <v>220</v>
      </c>
      <c r="J230" s="2">
        <v>7676.57</v>
      </c>
      <c r="K230" s="4">
        <f t="shared" si="12"/>
        <v>5.6994923857868023E-2</v>
      </c>
      <c r="L230" s="6">
        <f t="shared" si="13"/>
        <v>0.61</v>
      </c>
      <c r="M230" s="6">
        <f t="shared" si="14"/>
        <v>15.566090909090908</v>
      </c>
      <c r="N230" s="8">
        <f t="shared" si="15"/>
        <v>2.2416353729259986</v>
      </c>
    </row>
    <row r="231" spans="1:14" x14ac:dyDescent="0.45">
      <c r="A231" s="12">
        <v>45498</v>
      </c>
      <c r="B231" s="2" t="s">
        <v>20</v>
      </c>
      <c r="C231" s="2" t="s">
        <v>16</v>
      </c>
      <c r="D231" s="2" t="s">
        <v>17</v>
      </c>
      <c r="E231" s="2" t="s">
        <v>18</v>
      </c>
      <c r="F231" s="2">
        <v>41468</v>
      </c>
      <c r="G231" s="2">
        <v>3354</v>
      </c>
      <c r="H231" s="2">
        <v>3722.94</v>
      </c>
      <c r="I231" s="2">
        <v>81</v>
      </c>
      <c r="J231" s="2">
        <v>5215.9399999999996</v>
      </c>
      <c r="K231" s="4">
        <f t="shared" si="12"/>
        <v>8.0881643677052181E-2</v>
      </c>
      <c r="L231" s="6">
        <f t="shared" si="13"/>
        <v>1.1100000000000001</v>
      </c>
      <c r="M231" s="6">
        <f t="shared" si="14"/>
        <v>45.962222222222223</v>
      </c>
      <c r="N231" s="8">
        <f t="shared" si="15"/>
        <v>1.4010271452131915</v>
      </c>
    </row>
    <row r="232" spans="1:14" x14ac:dyDescent="0.45">
      <c r="A232" s="12">
        <v>45438</v>
      </c>
      <c r="B232" s="2" t="s">
        <v>15</v>
      </c>
      <c r="C232" s="2" t="s">
        <v>24</v>
      </c>
      <c r="D232" s="2" t="s">
        <v>25</v>
      </c>
      <c r="E232" s="2" t="s">
        <v>33</v>
      </c>
      <c r="F232" s="2">
        <v>123696</v>
      </c>
      <c r="G232" s="2">
        <v>6531</v>
      </c>
      <c r="H232" s="2">
        <v>16849.98</v>
      </c>
      <c r="I232" s="2">
        <v>466</v>
      </c>
      <c r="J232" s="2">
        <v>62974.93</v>
      </c>
      <c r="K232" s="4">
        <f t="shared" si="12"/>
        <v>5.2798797050834304E-2</v>
      </c>
      <c r="L232" s="6">
        <f t="shared" si="13"/>
        <v>2.58</v>
      </c>
      <c r="M232" s="6">
        <f t="shared" si="14"/>
        <v>36.158755364806865</v>
      </c>
      <c r="N232" s="8">
        <f t="shared" si="15"/>
        <v>3.7373890058029744</v>
      </c>
    </row>
    <row r="233" spans="1:14" x14ac:dyDescent="0.45">
      <c r="A233" s="12">
        <v>45604</v>
      </c>
      <c r="B233" s="2" t="s">
        <v>35</v>
      </c>
      <c r="C233" s="2" t="s">
        <v>28</v>
      </c>
      <c r="D233" s="2" t="s">
        <v>21</v>
      </c>
      <c r="E233" s="2" t="s">
        <v>30</v>
      </c>
      <c r="F233" s="2">
        <v>81848</v>
      </c>
      <c r="G233" s="2">
        <v>1694</v>
      </c>
      <c r="H233" s="2">
        <v>2185.2600000000002</v>
      </c>
      <c r="I233" s="2">
        <v>58</v>
      </c>
      <c r="J233" s="2">
        <v>7573.87</v>
      </c>
      <c r="K233" s="4">
        <f t="shared" si="12"/>
        <v>2.0696901573648716E-2</v>
      </c>
      <c r="L233" s="6">
        <f t="shared" si="13"/>
        <v>1.29</v>
      </c>
      <c r="M233" s="6">
        <f t="shared" si="14"/>
        <v>37.676896551724141</v>
      </c>
      <c r="N233" s="8">
        <f t="shared" si="15"/>
        <v>3.4658896424224115</v>
      </c>
    </row>
    <row r="234" spans="1:14" x14ac:dyDescent="0.45">
      <c r="A234" s="12">
        <v>45351</v>
      </c>
      <c r="B234" s="2" t="s">
        <v>15</v>
      </c>
      <c r="C234" s="2" t="s">
        <v>38</v>
      </c>
      <c r="D234" s="2" t="s">
        <v>21</v>
      </c>
      <c r="E234" s="2" t="s">
        <v>33</v>
      </c>
      <c r="F234" s="2">
        <v>92923</v>
      </c>
      <c r="G234" s="2">
        <v>1932</v>
      </c>
      <c r="H234" s="2">
        <v>6124.44</v>
      </c>
      <c r="I234" s="2">
        <v>32</v>
      </c>
      <c r="J234" s="2">
        <v>1855.78</v>
      </c>
      <c r="K234" s="4">
        <f t="shared" si="12"/>
        <v>2.0791407939907237E-2</v>
      </c>
      <c r="L234" s="6">
        <f t="shared" si="13"/>
        <v>3.17</v>
      </c>
      <c r="M234" s="6">
        <f t="shared" si="14"/>
        <v>191.38874999999999</v>
      </c>
      <c r="N234" s="8">
        <f t="shared" si="15"/>
        <v>0.30301219376792005</v>
      </c>
    </row>
    <row r="235" spans="1:14" x14ac:dyDescent="0.45">
      <c r="A235" s="12">
        <v>45605</v>
      </c>
      <c r="B235" s="2" t="s">
        <v>15</v>
      </c>
      <c r="C235" s="2" t="s">
        <v>28</v>
      </c>
      <c r="D235" s="2" t="s">
        <v>41</v>
      </c>
      <c r="E235" s="2" t="s">
        <v>22</v>
      </c>
      <c r="F235" s="2">
        <v>170732</v>
      </c>
      <c r="G235" s="2">
        <v>7700</v>
      </c>
      <c r="H235" s="2">
        <v>6237</v>
      </c>
      <c r="I235" s="2">
        <v>434</v>
      </c>
      <c r="J235" s="2">
        <v>53677.08</v>
      </c>
      <c r="K235" s="4">
        <f t="shared" si="12"/>
        <v>4.5099922685846824E-2</v>
      </c>
      <c r="L235" s="6">
        <f t="shared" si="13"/>
        <v>0.81</v>
      </c>
      <c r="M235" s="6">
        <f t="shared" si="14"/>
        <v>14.370967741935484</v>
      </c>
      <c r="N235" s="8">
        <f t="shared" si="15"/>
        <v>8.6062337662337658</v>
      </c>
    </row>
    <row r="236" spans="1:14" x14ac:dyDescent="0.45">
      <c r="A236" s="12">
        <v>45568</v>
      </c>
      <c r="B236" s="2" t="s">
        <v>15</v>
      </c>
      <c r="C236" s="2" t="s">
        <v>38</v>
      </c>
      <c r="D236" s="2" t="s">
        <v>41</v>
      </c>
      <c r="E236" s="2" t="s">
        <v>54</v>
      </c>
      <c r="F236" s="2">
        <v>86471</v>
      </c>
      <c r="G236" s="2">
        <v>4859</v>
      </c>
      <c r="H236" s="2">
        <v>7628.63</v>
      </c>
      <c r="I236" s="2">
        <v>248</v>
      </c>
      <c r="J236" s="2">
        <v>19852.560000000001</v>
      </c>
      <c r="K236" s="4">
        <f t="shared" si="12"/>
        <v>5.6192249424662603E-2</v>
      </c>
      <c r="L236" s="6">
        <f t="shared" si="13"/>
        <v>1.57</v>
      </c>
      <c r="M236" s="6">
        <f t="shared" si="14"/>
        <v>30.760604838709678</v>
      </c>
      <c r="N236" s="8">
        <f t="shared" si="15"/>
        <v>2.6023755248321128</v>
      </c>
    </row>
    <row r="237" spans="1:14" x14ac:dyDescent="0.45">
      <c r="A237" s="12">
        <v>45591</v>
      </c>
      <c r="B237" s="2" t="s">
        <v>35</v>
      </c>
      <c r="C237" s="2" t="s">
        <v>38</v>
      </c>
      <c r="D237" s="2" t="s">
        <v>21</v>
      </c>
      <c r="E237" s="2" t="s">
        <v>22</v>
      </c>
      <c r="F237" s="2">
        <v>115986</v>
      </c>
      <c r="G237" s="2">
        <v>1357</v>
      </c>
      <c r="H237" s="2">
        <v>2008.36</v>
      </c>
      <c r="I237" s="2">
        <v>79</v>
      </c>
      <c r="J237" s="2">
        <v>8002.44</v>
      </c>
      <c r="K237" s="4">
        <f t="shared" si="12"/>
        <v>1.169968789336644E-2</v>
      </c>
      <c r="L237" s="6">
        <f t="shared" si="13"/>
        <v>1.48</v>
      </c>
      <c r="M237" s="6">
        <f t="shared" si="14"/>
        <v>25.422278481012658</v>
      </c>
      <c r="N237" s="8">
        <f t="shared" si="15"/>
        <v>3.9845645203051245</v>
      </c>
    </row>
    <row r="238" spans="1:14" x14ac:dyDescent="0.45">
      <c r="A238" s="12">
        <v>45464</v>
      </c>
      <c r="B238" s="2" t="s">
        <v>20</v>
      </c>
      <c r="C238" s="2" t="s">
        <v>38</v>
      </c>
      <c r="D238" s="2" t="s">
        <v>25</v>
      </c>
      <c r="E238" s="2" t="s">
        <v>26</v>
      </c>
      <c r="F238" s="2">
        <v>42019</v>
      </c>
      <c r="G238" s="2">
        <v>2979</v>
      </c>
      <c r="H238" s="2">
        <v>4498.29</v>
      </c>
      <c r="I238" s="2">
        <v>234</v>
      </c>
      <c r="J238" s="2">
        <v>56724.23</v>
      </c>
      <c r="K238" s="4">
        <f t="shared" si="12"/>
        <v>7.0896499202741617E-2</v>
      </c>
      <c r="L238" s="6">
        <f t="shared" si="13"/>
        <v>1.51</v>
      </c>
      <c r="M238" s="6">
        <f t="shared" si="14"/>
        <v>19.223461538461539</v>
      </c>
      <c r="N238" s="8">
        <f t="shared" si="15"/>
        <v>12.610176311442794</v>
      </c>
    </row>
    <row r="239" spans="1:14" x14ac:dyDescent="0.45">
      <c r="A239" s="12">
        <v>45319</v>
      </c>
      <c r="B239" s="2" t="s">
        <v>20</v>
      </c>
      <c r="C239" s="2" t="s">
        <v>28</v>
      </c>
      <c r="D239" s="2" t="s">
        <v>21</v>
      </c>
      <c r="E239" s="2" t="s">
        <v>26</v>
      </c>
      <c r="F239" s="2">
        <v>34063</v>
      </c>
      <c r="G239" s="2">
        <v>1243</v>
      </c>
      <c r="H239" s="2">
        <v>472.34</v>
      </c>
      <c r="I239" s="2">
        <v>40</v>
      </c>
      <c r="J239" s="2">
        <v>10897.53</v>
      </c>
      <c r="K239" s="4">
        <f t="shared" si="12"/>
        <v>3.6491207468514225E-2</v>
      </c>
      <c r="L239" s="6">
        <f t="shared" si="13"/>
        <v>0.38</v>
      </c>
      <c r="M239" s="6">
        <f t="shared" si="14"/>
        <v>11.808499999999999</v>
      </c>
      <c r="N239" s="8">
        <f t="shared" si="15"/>
        <v>23.07136808231359</v>
      </c>
    </row>
    <row r="240" spans="1:14" x14ac:dyDescent="0.45">
      <c r="A240" s="12">
        <v>45395</v>
      </c>
      <c r="B240" s="2" t="s">
        <v>20</v>
      </c>
      <c r="C240" s="2" t="s">
        <v>28</v>
      </c>
      <c r="D240" s="2" t="s">
        <v>25</v>
      </c>
      <c r="E240" s="2" t="s">
        <v>54</v>
      </c>
      <c r="F240" s="2">
        <v>107476</v>
      </c>
      <c r="G240" s="2">
        <v>4707</v>
      </c>
      <c r="H240" s="2">
        <v>8001.9</v>
      </c>
      <c r="I240" s="2">
        <v>293</v>
      </c>
      <c r="J240" s="2">
        <v>72605.27</v>
      </c>
      <c r="K240" s="4">
        <f t="shared" si="12"/>
        <v>4.3795824184003872E-2</v>
      </c>
      <c r="L240" s="6">
        <f t="shared" si="13"/>
        <v>1.7</v>
      </c>
      <c r="M240" s="6">
        <f t="shared" si="14"/>
        <v>27.310238907849829</v>
      </c>
      <c r="N240" s="8">
        <f t="shared" si="15"/>
        <v>9.0735037928491984</v>
      </c>
    </row>
    <row r="241" spans="1:14" x14ac:dyDescent="0.45">
      <c r="A241" s="12">
        <v>45642</v>
      </c>
      <c r="B241" s="2" t="s">
        <v>20</v>
      </c>
      <c r="C241" s="2" t="s">
        <v>16</v>
      </c>
      <c r="D241" s="2" t="s">
        <v>17</v>
      </c>
      <c r="E241" s="2" t="s">
        <v>33</v>
      </c>
      <c r="F241" s="2">
        <v>33302</v>
      </c>
      <c r="G241" s="2">
        <v>3007</v>
      </c>
      <c r="H241" s="2">
        <v>841.96</v>
      </c>
      <c r="I241" s="2">
        <v>95</v>
      </c>
      <c r="J241" s="2">
        <v>3253.81</v>
      </c>
      <c r="K241" s="4">
        <f t="shared" si="12"/>
        <v>9.0294877184553479E-2</v>
      </c>
      <c r="L241" s="6">
        <f t="shared" si="13"/>
        <v>0.28000000000000003</v>
      </c>
      <c r="M241" s="6">
        <f t="shared" si="14"/>
        <v>8.8627368421052637</v>
      </c>
      <c r="N241" s="8">
        <f t="shared" si="15"/>
        <v>3.8645660126371797</v>
      </c>
    </row>
    <row r="242" spans="1:14" x14ac:dyDescent="0.45">
      <c r="A242" s="12">
        <v>45647</v>
      </c>
      <c r="B242" s="2" t="s">
        <v>15</v>
      </c>
      <c r="C242" s="2" t="s">
        <v>28</v>
      </c>
      <c r="D242" s="2" t="s">
        <v>29</v>
      </c>
      <c r="E242" s="2" t="s">
        <v>26</v>
      </c>
      <c r="F242" s="2">
        <v>70206</v>
      </c>
      <c r="G242" s="2">
        <v>3945</v>
      </c>
      <c r="H242" s="2">
        <v>14202</v>
      </c>
      <c r="I242" s="2">
        <v>248</v>
      </c>
      <c r="J242" s="2">
        <v>37055.99</v>
      </c>
      <c r="K242" s="4">
        <f t="shared" si="12"/>
        <v>5.6191778480471757E-2</v>
      </c>
      <c r="L242" s="6">
        <f t="shared" si="13"/>
        <v>3.6</v>
      </c>
      <c r="M242" s="6">
        <f t="shared" si="14"/>
        <v>57.266129032258064</v>
      </c>
      <c r="N242" s="8">
        <f t="shared" si="15"/>
        <v>2.6092092663005211</v>
      </c>
    </row>
    <row r="243" spans="1:14" x14ac:dyDescent="0.45">
      <c r="A243" s="12">
        <v>45339</v>
      </c>
      <c r="B243" s="2" t="s">
        <v>35</v>
      </c>
      <c r="C243" s="2" t="s">
        <v>24</v>
      </c>
      <c r="D243" s="2" t="s">
        <v>41</v>
      </c>
      <c r="E243" s="2" t="s">
        <v>30</v>
      </c>
      <c r="F243" s="2">
        <v>16094</v>
      </c>
      <c r="G243" s="2">
        <v>616</v>
      </c>
      <c r="H243" s="2">
        <v>1410.64</v>
      </c>
      <c r="I243" s="2">
        <v>40</v>
      </c>
      <c r="J243" s="2">
        <v>8923.08</v>
      </c>
      <c r="K243" s="4">
        <f t="shared" si="12"/>
        <v>3.8275133590157821E-2</v>
      </c>
      <c r="L243" s="6">
        <f t="shared" si="13"/>
        <v>2.29</v>
      </c>
      <c r="M243" s="6">
        <f t="shared" si="14"/>
        <v>35.266000000000005</v>
      </c>
      <c r="N243" s="8">
        <f t="shared" si="15"/>
        <v>6.3255543583054497</v>
      </c>
    </row>
    <row r="244" spans="1:14" x14ac:dyDescent="0.45">
      <c r="A244" s="12">
        <v>45446</v>
      </c>
      <c r="B244" s="2" t="s">
        <v>35</v>
      </c>
      <c r="C244" s="2" t="s">
        <v>24</v>
      </c>
      <c r="D244" s="2" t="s">
        <v>17</v>
      </c>
      <c r="E244" s="2" t="s">
        <v>18</v>
      </c>
      <c r="F244" s="2">
        <v>182718</v>
      </c>
      <c r="G244" s="2">
        <v>2558</v>
      </c>
      <c r="H244" s="2">
        <v>3478.88</v>
      </c>
      <c r="I244" s="2">
        <v>124</v>
      </c>
      <c r="J244" s="2">
        <v>28756.15</v>
      </c>
      <c r="K244" s="4">
        <f t="shared" si="12"/>
        <v>1.3999715408443613E-2</v>
      </c>
      <c r="L244" s="6">
        <f t="shared" si="13"/>
        <v>1.36</v>
      </c>
      <c r="M244" s="6">
        <f t="shared" si="14"/>
        <v>28.055483870967741</v>
      </c>
      <c r="N244" s="8">
        <f t="shared" si="15"/>
        <v>8.265921790921217</v>
      </c>
    </row>
    <row r="245" spans="1:14" x14ac:dyDescent="0.45">
      <c r="A245" s="12">
        <v>45505</v>
      </c>
      <c r="B245" s="2" t="s">
        <v>20</v>
      </c>
      <c r="C245" s="2" t="s">
        <v>16</v>
      </c>
      <c r="D245" s="2" t="s">
        <v>21</v>
      </c>
      <c r="E245" s="2" t="s">
        <v>51</v>
      </c>
      <c r="F245" s="2">
        <v>66169</v>
      </c>
      <c r="G245" s="2">
        <v>2057</v>
      </c>
      <c r="H245" s="2">
        <v>3064.93</v>
      </c>
      <c r="I245" s="2">
        <v>136</v>
      </c>
      <c r="J245" s="2">
        <v>39364.99</v>
      </c>
      <c r="K245" s="4">
        <f t="shared" si="12"/>
        <v>3.1087064939775425E-2</v>
      </c>
      <c r="L245" s="6">
        <f t="shared" si="13"/>
        <v>1.49</v>
      </c>
      <c r="M245" s="6">
        <f t="shared" si="14"/>
        <v>22.536249999999999</v>
      </c>
      <c r="N245" s="8">
        <f t="shared" si="15"/>
        <v>12.843683216256162</v>
      </c>
    </row>
    <row r="246" spans="1:14" x14ac:dyDescent="0.45">
      <c r="A246" s="12">
        <v>45304</v>
      </c>
      <c r="B246" s="2" t="s">
        <v>35</v>
      </c>
      <c r="C246" s="2" t="s">
        <v>28</v>
      </c>
      <c r="D246" s="2" t="s">
        <v>29</v>
      </c>
      <c r="E246" s="2" t="s">
        <v>51</v>
      </c>
      <c r="F246" s="2">
        <v>24404</v>
      </c>
      <c r="G246" s="2">
        <v>710</v>
      </c>
      <c r="H246" s="2">
        <v>433.1</v>
      </c>
      <c r="I246" s="2">
        <v>10</v>
      </c>
      <c r="J246" s="2">
        <v>923.15</v>
      </c>
      <c r="K246" s="4">
        <f t="shared" si="12"/>
        <v>2.909359121455499E-2</v>
      </c>
      <c r="L246" s="6">
        <f t="shared" si="13"/>
        <v>0.61</v>
      </c>
      <c r="M246" s="6">
        <f t="shared" si="14"/>
        <v>43.31</v>
      </c>
      <c r="N246" s="8">
        <f t="shared" si="15"/>
        <v>2.1314938813207109</v>
      </c>
    </row>
    <row r="247" spans="1:14" x14ac:dyDescent="0.45">
      <c r="A247" s="12">
        <v>45435</v>
      </c>
      <c r="B247" s="2" t="s">
        <v>20</v>
      </c>
      <c r="C247" s="2" t="s">
        <v>28</v>
      </c>
      <c r="D247" s="2" t="s">
        <v>21</v>
      </c>
      <c r="E247" s="2" t="s">
        <v>54</v>
      </c>
      <c r="F247" s="2">
        <v>30517</v>
      </c>
      <c r="G247" s="2">
        <v>2575</v>
      </c>
      <c r="H247" s="2">
        <v>2060</v>
      </c>
      <c r="I247" s="2">
        <v>205</v>
      </c>
      <c r="J247" s="2">
        <v>7811.94</v>
      </c>
      <c r="K247" s="4">
        <f t="shared" si="12"/>
        <v>8.4379198479535997E-2</v>
      </c>
      <c r="L247" s="6">
        <f t="shared" si="13"/>
        <v>0.8</v>
      </c>
      <c r="M247" s="6">
        <f t="shared" si="14"/>
        <v>10.048780487804878</v>
      </c>
      <c r="N247" s="8">
        <f t="shared" si="15"/>
        <v>3.7922038834951453</v>
      </c>
    </row>
    <row r="248" spans="1:14" x14ac:dyDescent="0.45">
      <c r="A248" s="12">
        <v>45386</v>
      </c>
      <c r="B248" s="2" t="s">
        <v>20</v>
      </c>
      <c r="C248" s="2" t="s">
        <v>24</v>
      </c>
      <c r="D248" s="2" t="s">
        <v>41</v>
      </c>
      <c r="E248" s="2" t="s">
        <v>54</v>
      </c>
      <c r="F248" s="2">
        <v>145148</v>
      </c>
      <c r="G248" s="2">
        <v>5762</v>
      </c>
      <c r="H248" s="2">
        <v>8585.3799999999992</v>
      </c>
      <c r="I248" s="2">
        <v>213</v>
      </c>
      <c r="J248" s="2">
        <v>10475.219999999999</v>
      </c>
      <c r="K248" s="4">
        <f t="shared" si="12"/>
        <v>3.9697412296414693E-2</v>
      </c>
      <c r="L248" s="6">
        <f t="shared" si="13"/>
        <v>1.4899999999999998</v>
      </c>
      <c r="M248" s="6">
        <f t="shared" si="14"/>
        <v>40.30694835680751</v>
      </c>
      <c r="N248" s="8">
        <f t="shared" si="15"/>
        <v>1.2201230463881623</v>
      </c>
    </row>
    <row r="249" spans="1:14" x14ac:dyDescent="0.45">
      <c r="A249" s="12">
        <v>45341</v>
      </c>
      <c r="B249" s="2" t="s">
        <v>15</v>
      </c>
      <c r="C249" s="2" t="s">
        <v>38</v>
      </c>
      <c r="D249" s="2" t="s">
        <v>17</v>
      </c>
      <c r="E249" s="2" t="s">
        <v>30</v>
      </c>
      <c r="F249" s="2">
        <v>37101</v>
      </c>
      <c r="G249" s="2">
        <v>2166</v>
      </c>
      <c r="H249" s="2">
        <v>6389.7</v>
      </c>
      <c r="I249" s="2">
        <v>45</v>
      </c>
      <c r="J249" s="2">
        <v>3868.37</v>
      </c>
      <c r="K249" s="4">
        <f t="shared" si="12"/>
        <v>5.8381175709549607E-2</v>
      </c>
      <c r="L249" s="6">
        <f t="shared" si="13"/>
        <v>2.9499999999999997</v>
      </c>
      <c r="M249" s="6">
        <f t="shared" si="14"/>
        <v>141.99333333333334</v>
      </c>
      <c r="N249" s="8">
        <f t="shared" si="15"/>
        <v>0.60540713961531845</v>
      </c>
    </row>
    <row r="250" spans="1:14" x14ac:dyDescent="0.45">
      <c r="A250" s="12">
        <v>45330</v>
      </c>
      <c r="B250" s="2" t="s">
        <v>35</v>
      </c>
      <c r="C250" s="2" t="s">
        <v>16</v>
      </c>
      <c r="D250" s="2" t="s">
        <v>21</v>
      </c>
      <c r="E250" s="2" t="s">
        <v>22</v>
      </c>
      <c r="F250" s="2">
        <v>151480</v>
      </c>
      <c r="G250" s="2">
        <v>2514</v>
      </c>
      <c r="H250" s="2">
        <v>5178.84</v>
      </c>
      <c r="I250" s="2">
        <v>72</v>
      </c>
      <c r="J250" s="2">
        <v>4076.45</v>
      </c>
      <c r="K250" s="4">
        <f t="shared" si="12"/>
        <v>1.6596250330076577E-2</v>
      </c>
      <c r="L250" s="6">
        <f t="shared" si="13"/>
        <v>2.06</v>
      </c>
      <c r="M250" s="6">
        <f t="shared" si="14"/>
        <v>71.928333333333342</v>
      </c>
      <c r="N250" s="8">
        <f t="shared" si="15"/>
        <v>0.78713572923666297</v>
      </c>
    </row>
    <row r="251" spans="1:14" x14ac:dyDescent="0.45">
      <c r="A251" s="12">
        <v>45387</v>
      </c>
      <c r="B251" s="2" t="s">
        <v>20</v>
      </c>
      <c r="C251" s="2" t="s">
        <v>24</v>
      </c>
      <c r="D251" s="2" t="s">
        <v>21</v>
      </c>
      <c r="E251" s="2" t="s">
        <v>51</v>
      </c>
      <c r="F251" s="2">
        <v>159813</v>
      </c>
      <c r="G251" s="2">
        <v>7575</v>
      </c>
      <c r="H251" s="2">
        <v>6817.5</v>
      </c>
      <c r="I251" s="2">
        <v>319</v>
      </c>
      <c r="J251" s="2">
        <v>35965.699999999997</v>
      </c>
      <c r="K251" s="4">
        <f t="shared" si="12"/>
        <v>4.7399147753937415E-2</v>
      </c>
      <c r="L251" s="6">
        <f t="shared" si="13"/>
        <v>0.9</v>
      </c>
      <c r="M251" s="6">
        <f t="shared" si="14"/>
        <v>21.371473354231973</v>
      </c>
      <c r="N251" s="8">
        <f t="shared" si="15"/>
        <v>5.2754968830216349</v>
      </c>
    </row>
    <row r="252" spans="1:14" x14ac:dyDescent="0.45">
      <c r="A252" s="12">
        <v>45556</v>
      </c>
      <c r="B252" s="2" t="s">
        <v>20</v>
      </c>
      <c r="C252" s="2" t="s">
        <v>38</v>
      </c>
      <c r="D252" s="2" t="s">
        <v>25</v>
      </c>
      <c r="E252" s="2" t="s">
        <v>22</v>
      </c>
      <c r="F252" s="2">
        <v>135956</v>
      </c>
      <c r="G252" s="2">
        <v>11529</v>
      </c>
      <c r="H252" s="2">
        <v>5764.5</v>
      </c>
      <c r="I252" s="2">
        <v>732</v>
      </c>
      <c r="J252" s="2">
        <v>207824.45</v>
      </c>
      <c r="K252" s="4">
        <f t="shared" si="12"/>
        <v>8.4799493953926275E-2</v>
      </c>
      <c r="L252" s="6">
        <f t="shared" si="13"/>
        <v>0.5</v>
      </c>
      <c r="M252" s="6">
        <f t="shared" si="14"/>
        <v>7.875</v>
      </c>
      <c r="N252" s="8">
        <f t="shared" si="15"/>
        <v>36.052467690172612</v>
      </c>
    </row>
    <row r="253" spans="1:14" x14ac:dyDescent="0.45">
      <c r="A253" s="12">
        <v>45499</v>
      </c>
      <c r="B253" s="2" t="s">
        <v>15</v>
      </c>
      <c r="C253" s="2" t="s">
        <v>16</v>
      </c>
      <c r="D253" s="2" t="s">
        <v>29</v>
      </c>
      <c r="E253" s="2" t="s">
        <v>18</v>
      </c>
      <c r="F253" s="2">
        <v>70982</v>
      </c>
      <c r="G253" s="2">
        <v>2548</v>
      </c>
      <c r="H253" s="2">
        <v>7338.24</v>
      </c>
      <c r="I253" s="2">
        <v>117</v>
      </c>
      <c r="J253" s="2">
        <v>32045.18</v>
      </c>
      <c r="K253" s="4">
        <f t="shared" si="12"/>
        <v>3.5896424445634102E-2</v>
      </c>
      <c r="L253" s="6">
        <f t="shared" si="13"/>
        <v>2.88</v>
      </c>
      <c r="M253" s="6">
        <f t="shared" si="14"/>
        <v>62.72</v>
      </c>
      <c r="N253" s="8">
        <f t="shared" si="15"/>
        <v>4.3668754360718651</v>
      </c>
    </row>
    <row r="254" spans="1:14" x14ac:dyDescent="0.45">
      <c r="A254" s="12">
        <v>45368</v>
      </c>
      <c r="B254" s="2" t="s">
        <v>20</v>
      </c>
      <c r="C254" s="2" t="s">
        <v>16</v>
      </c>
      <c r="D254" s="2" t="s">
        <v>25</v>
      </c>
      <c r="E254" s="2" t="s">
        <v>51</v>
      </c>
      <c r="F254" s="2">
        <v>132992</v>
      </c>
      <c r="G254" s="2">
        <v>7926</v>
      </c>
      <c r="H254" s="2">
        <v>5072.6400000000003</v>
      </c>
      <c r="I254" s="2">
        <v>553</v>
      </c>
      <c r="J254" s="2">
        <v>41271.279999999999</v>
      </c>
      <c r="K254" s="4">
        <f t="shared" si="12"/>
        <v>5.95975697786333E-2</v>
      </c>
      <c r="L254" s="6">
        <f t="shared" si="13"/>
        <v>0.64</v>
      </c>
      <c r="M254" s="6">
        <f t="shared" si="14"/>
        <v>9.1729475587703444</v>
      </c>
      <c r="N254" s="8">
        <f t="shared" si="15"/>
        <v>8.1360553873328278</v>
      </c>
    </row>
    <row r="255" spans="1:14" x14ac:dyDescent="0.45">
      <c r="A255" s="12">
        <v>45517</v>
      </c>
      <c r="B255" s="2" t="s">
        <v>20</v>
      </c>
      <c r="C255" s="2" t="s">
        <v>24</v>
      </c>
      <c r="D255" s="2" t="s">
        <v>25</v>
      </c>
      <c r="E255" s="2" t="s">
        <v>51</v>
      </c>
      <c r="F255" s="2">
        <v>13597</v>
      </c>
      <c r="G255" s="2">
        <v>747</v>
      </c>
      <c r="H255" s="2">
        <v>1426.77</v>
      </c>
      <c r="I255" s="2">
        <v>25</v>
      </c>
      <c r="J255" s="2">
        <v>5673.88</v>
      </c>
      <c r="K255" s="4">
        <f t="shared" si="12"/>
        <v>5.4938589394719427E-2</v>
      </c>
      <c r="L255" s="6">
        <f t="shared" si="13"/>
        <v>1.91</v>
      </c>
      <c r="M255" s="6">
        <f t="shared" si="14"/>
        <v>57.070799999999998</v>
      </c>
      <c r="N255" s="8">
        <f t="shared" si="15"/>
        <v>3.9767306573589298</v>
      </c>
    </row>
    <row r="256" spans="1:14" x14ac:dyDescent="0.45">
      <c r="A256" s="12">
        <v>45418</v>
      </c>
      <c r="B256" s="2" t="s">
        <v>35</v>
      </c>
      <c r="C256" s="2" t="s">
        <v>16</v>
      </c>
      <c r="D256" s="2" t="s">
        <v>21</v>
      </c>
      <c r="E256" s="2" t="s">
        <v>26</v>
      </c>
      <c r="F256" s="2">
        <v>199472</v>
      </c>
      <c r="G256" s="2">
        <v>5286</v>
      </c>
      <c r="H256" s="2">
        <v>6977.52</v>
      </c>
      <c r="I256" s="2">
        <v>192</v>
      </c>
      <c r="J256" s="2">
        <v>17789.77</v>
      </c>
      <c r="K256" s="4">
        <f t="shared" si="12"/>
        <v>2.6499959894120479E-2</v>
      </c>
      <c r="L256" s="6">
        <f t="shared" si="13"/>
        <v>1.32</v>
      </c>
      <c r="M256" s="6">
        <f t="shared" si="14"/>
        <v>36.341250000000002</v>
      </c>
      <c r="N256" s="8">
        <f t="shared" si="15"/>
        <v>2.5495835196459486</v>
      </c>
    </row>
    <row r="257" spans="1:14" x14ac:dyDescent="0.45">
      <c r="A257" s="12">
        <v>45349</v>
      </c>
      <c r="B257" s="2" t="s">
        <v>15</v>
      </c>
      <c r="C257" s="2" t="s">
        <v>16</v>
      </c>
      <c r="D257" s="2" t="s">
        <v>25</v>
      </c>
      <c r="E257" s="2" t="s">
        <v>26</v>
      </c>
      <c r="F257" s="2">
        <v>108751</v>
      </c>
      <c r="G257" s="2">
        <v>5459</v>
      </c>
      <c r="H257" s="2">
        <v>7806.37</v>
      </c>
      <c r="I257" s="2">
        <v>345</v>
      </c>
      <c r="J257" s="2">
        <v>24740.95</v>
      </c>
      <c r="K257" s="4">
        <f t="shared" si="12"/>
        <v>5.0197239565613193E-2</v>
      </c>
      <c r="L257" s="6">
        <f t="shared" si="13"/>
        <v>1.43</v>
      </c>
      <c r="M257" s="6">
        <f t="shared" si="14"/>
        <v>22.627159420289853</v>
      </c>
      <c r="N257" s="8">
        <f t="shared" si="15"/>
        <v>3.1693283818215128</v>
      </c>
    </row>
    <row r="258" spans="1:14" x14ac:dyDescent="0.45">
      <c r="A258" s="12">
        <v>45650</v>
      </c>
      <c r="B258" s="2" t="s">
        <v>35</v>
      </c>
      <c r="C258" s="2" t="s">
        <v>38</v>
      </c>
      <c r="D258" s="2" t="s">
        <v>41</v>
      </c>
      <c r="E258" s="2" t="s">
        <v>51</v>
      </c>
      <c r="F258" s="2">
        <v>175591</v>
      </c>
      <c r="G258" s="2">
        <v>5864</v>
      </c>
      <c r="H258" s="2">
        <v>2580.16</v>
      </c>
      <c r="I258" s="2">
        <v>333</v>
      </c>
      <c r="J258" s="2">
        <v>52097.57</v>
      </c>
      <c r="K258" s="4">
        <f t="shared" si="12"/>
        <v>3.339578907802792E-2</v>
      </c>
      <c r="L258" s="6">
        <f t="shared" si="13"/>
        <v>0.44</v>
      </c>
      <c r="M258" s="6">
        <f t="shared" si="14"/>
        <v>7.7482282282282275</v>
      </c>
      <c r="N258" s="8">
        <f t="shared" si="15"/>
        <v>20.191604396626566</v>
      </c>
    </row>
    <row r="259" spans="1:14" x14ac:dyDescent="0.45">
      <c r="A259" s="12">
        <v>45604</v>
      </c>
      <c r="B259" s="2" t="s">
        <v>20</v>
      </c>
      <c r="C259" s="2" t="s">
        <v>16</v>
      </c>
      <c r="D259" s="2" t="s">
        <v>21</v>
      </c>
      <c r="E259" s="2" t="s">
        <v>51</v>
      </c>
      <c r="F259" s="2">
        <v>36027</v>
      </c>
      <c r="G259" s="2">
        <v>2770</v>
      </c>
      <c r="H259" s="2">
        <v>2991.6</v>
      </c>
      <c r="I259" s="2">
        <v>205</v>
      </c>
      <c r="J259" s="2">
        <v>16618.849999999999</v>
      </c>
      <c r="K259" s="4">
        <f t="shared" ref="K259:K322" si="16" xml:space="preserve"> G259 / F259</f>
        <v>7.6886779359924495E-2</v>
      </c>
      <c r="L259" s="6">
        <f t="shared" ref="L259:L322" si="17">H259/G259</f>
        <v>1.08</v>
      </c>
      <c r="M259" s="6">
        <f t="shared" ref="M259:M322" si="18">H259/I259</f>
        <v>14.593170731707316</v>
      </c>
      <c r="N259" s="8">
        <f t="shared" ref="N259:N322" si="19">J259/H259</f>
        <v>5.555171145875117</v>
      </c>
    </row>
    <row r="260" spans="1:14" x14ac:dyDescent="0.45">
      <c r="A260" s="12">
        <v>45523</v>
      </c>
      <c r="B260" s="2" t="s">
        <v>20</v>
      </c>
      <c r="C260" s="2" t="s">
        <v>28</v>
      </c>
      <c r="D260" s="2" t="s">
        <v>41</v>
      </c>
      <c r="E260" s="2" t="s">
        <v>33</v>
      </c>
      <c r="F260" s="2">
        <v>57265</v>
      </c>
      <c r="G260" s="2">
        <v>2302</v>
      </c>
      <c r="H260" s="2">
        <v>2992.6</v>
      </c>
      <c r="I260" s="2">
        <v>85</v>
      </c>
      <c r="J260" s="2">
        <v>4068.49</v>
      </c>
      <c r="K260" s="4">
        <f t="shared" si="16"/>
        <v>4.0199074478302628E-2</v>
      </c>
      <c r="L260" s="6">
        <f t="shared" si="17"/>
        <v>1.3</v>
      </c>
      <c r="M260" s="6">
        <f t="shared" si="18"/>
        <v>35.207058823529408</v>
      </c>
      <c r="N260" s="8">
        <f t="shared" si="19"/>
        <v>1.3595168081267126</v>
      </c>
    </row>
    <row r="261" spans="1:14" x14ac:dyDescent="0.45">
      <c r="A261" s="12">
        <v>45491</v>
      </c>
      <c r="B261" s="2" t="s">
        <v>15</v>
      </c>
      <c r="C261" s="2" t="s">
        <v>28</v>
      </c>
      <c r="D261" s="2" t="s">
        <v>17</v>
      </c>
      <c r="E261" s="2" t="s">
        <v>51</v>
      </c>
      <c r="F261" s="2">
        <v>161904</v>
      </c>
      <c r="G261" s="2">
        <v>4727</v>
      </c>
      <c r="H261" s="2">
        <v>7752.28</v>
      </c>
      <c r="I261" s="2">
        <v>263</v>
      </c>
      <c r="J261" s="2">
        <v>21545.93</v>
      </c>
      <c r="K261" s="4">
        <f t="shared" si="16"/>
        <v>2.9196313865006422E-2</v>
      </c>
      <c r="L261" s="6">
        <f t="shared" si="17"/>
        <v>1.64</v>
      </c>
      <c r="M261" s="6">
        <f t="shared" si="18"/>
        <v>29.476349809885932</v>
      </c>
      <c r="N261" s="8">
        <f t="shared" si="19"/>
        <v>2.7793023471804426</v>
      </c>
    </row>
    <row r="262" spans="1:14" x14ac:dyDescent="0.45">
      <c r="A262" s="12">
        <v>45535</v>
      </c>
      <c r="B262" s="2" t="s">
        <v>15</v>
      </c>
      <c r="C262" s="2" t="s">
        <v>38</v>
      </c>
      <c r="D262" s="2" t="s">
        <v>25</v>
      </c>
      <c r="E262" s="2" t="s">
        <v>33</v>
      </c>
      <c r="F262" s="2">
        <v>49757</v>
      </c>
      <c r="G262" s="2">
        <v>1243</v>
      </c>
      <c r="H262" s="2">
        <v>3903.02</v>
      </c>
      <c r="I262" s="2">
        <v>39</v>
      </c>
      <c r="J262" s="2">
        <v>4749.8999999999996</v>
      </c>
      <c r="K262" s="4">
        <f t="shared" si="16"/>
        <v>2.498140965090339E-2</v>
      </c>
      <c r="L262" s="6">
        <f t="shared" si="17"/>
        <v>3.14</v>
      </c>
      <c r="M262" s="6">
        <f t="shared" si="18"/>
        <v>100.07743589743589</v>
      </c>
      <c r="N262" s="8">
        <f t="shared" si="19"/>
        <v>1.2169806969987342</v>
      </c>
    </row>
    <row r="263" spans="1:14" x14ac:dyDescent="0.45">
      <c r="A263" s="12">
        <v>45501</v>
      </c>
      <c r="B263" s="2" t="s">
        <v>15</v>
      </c>
      <c r="C263" s="2" t="s">
        <v>24</v>
      </c>
      <c r="D263" s="2" t="s">
        <v>21</v>
      </c>
      <c r="E263" s="2" t="s">
        <v>26</v>
      </c>
      <c r="F263" s="2">
        <v>168623</v>
      </c>
      <c r="G263" s="2">
        <v>6896</v>
      </c>
      <c r="H263" s="2">
        <v>9792.32</v>
      </c>
      <c r="I263" s="2">
        <v>200</v>
      </c>
      <c r="J263" s="2">
        <v>24436.959999999999</v>
      </c>
      <c r="K263" s="4">
        <f t="shared" si="16"/>
        <v>4.0895963184144513E-2</v>
      </c>
      <c r="L263" s="6">
        <f t="shared" si="17"/>
        <v>1.42</v>
      </c>
      <c r="M263" s="6">
        <f t="shared" si="18"/>
        <v>48.961599999999997</v>
      </c>
      <c r="N263" s="8">
        <f t="shared" si="19"/>
        <v>2.4955230221234599</v>
      </c>
    </row>
    <row r="264" spans="1:14" x14ac:dyDescent="0.45">
      <c r="A264" s="12">
        <v>45541</v>
      </c>
      <c r="B264" s="2" t="s">
        <v>35</v>
      </c>
      <c r="C264" s="2" t="s">
        <v>24</v>
      </c>
      <c r="D264" s="2" t="s">
        <v>29</v>
      </c>
      <c r="E264" s="2" t="s">
        <v>33</v>
      </c>
      <c r="F264" s="2">
        <v>98079</v>
      </c>
      <c r="G264" s="2">
        <v>3226</v>
      </c>
      <c r="H264" s="2">
        <v>7032.68</v>
      </c>
      <c r="I264" s="2">
        <v>44</v>
      </c>
      <c r="J264" s="2">
        <v>1401.71</v>
      </c>
      <c r="K264" s="4">
        <f t="shared" si="16"/>
        <v>3.2891852486261072E-2</v>
      </c>
      <c r="L264" s="6">
        <f t="shared" si="17"/>
        <v>2.1800000000000002</v>
      </c>
      <c r="M264" s="6">
        <f t="shared" si="18"/>
        <v>159.83363636363637</v>
      </c>
      <c r="N264" s="8">
        <f t="shared" si="19"/>
        <v>0.19931377511844703</v>
      </c>
    </row>
    <row r="265" spans="1:14" x14ac:dyDescent="0.45">
      <c r="A265" s="12">
        <v>45466</v>
      </c>
      <c r="B265" s="2" t="s">
        <v>15</v>
      </c>
      <c r="C265" s="2" t="s">
        <v>16</v>
      </c>
      <c r="D265" s="2" t="s">
        <v>21</v>
      </c>
      <c r="E265" s="2" t="s">
        <v>22</v>
      </c>
      <c r="F265" s="2">
        <v>11305</v>
      </c>
      <c r="G265" s="2">
        <v>562</v>
      </c>
      <c r="H265" s="2">
        <v>966.64</v>
      </c>
      <c r="I265" s="2">
        <v>42</v>
      </c>
      <c r="J265" s="2">
        <v>8107.06</v>
      </c>
      <c r="K265" s="4">
        <f t="shared" si="16"/>
        <v>4.9712516585581602E-2</v>
      </c>
      <c r="L265" s="6">
        <f t="shared" si="17"/>
        <v>1.72</v>
      </c>
      <c r="M265" s="6">
        <f t="shared" si="18"/>
        <v>23.015238095238097</v>
      </c>
      <c r="N265" s="8">
        <f t="shared" si="19"/>
        <v>8.3868451543490856</v>
      </c>
    </row>
    <row r="266" spans="1:14" x14ac:dyDescent="0.45">
      <c r="A266" s="12">
        <v>45585</v>
      </c>
      <c r="B266" s="2" t="s">
        <v>20</v>
      </c>
      <c r="C266" s="2" t="s">
        <v>28</v>
      </c>
      <c r="D266" s="2" t="s">
        <v>25</v>
      </c>
      <c r="E266" s="2" t="s">
        <v>51</v>
      </c>
      <c r="F266" s="2">
        <v>109188</v>
      </c>
      <c r="G266" s="2">
        <v>6354</v>
      </c>
      <c r="H266" s="2">
        <v>8006.04</v>
      </c>
      <c r="I266" s="2">
        <v>216</v>
      </c>
      <c r="J266" s="2">
        <v>49228.57</v>
      </c>
      <c r="K266" s="4">
        <f t="shared" si="16"/>
        <v>5.8193208044840093E-2</v>
      </c>
      <c r="L266" s="6">
        <f t="shared" si="17"/>
        <v>1.26</v>
      </c>
      <c r="M266" s="6">
        <f t="shared" si="18"/>
        <v>37.064999999999998</v>
      </c>
      <c r="N266" s="8">
        <f t="shared" si="19"/>
        <v>6.1489288087493943</v>
      </c>
    </row>
    <row r="267" spans="1:14" x14ac:dyDescent="0.45">
      <c r="A267" s="12">
        <v>45518</v>
      </c>
      <c r="B267" s="2" t="s">
        <v>35</v>
      </c>
      <c r="C267" s="2" t="s">
        <v>38</v>
      </c>
      <c r="D267" s="2" t="s">
        <v>25</v>
      </c>
      <c r="E267" s="2" t="s">
        <v>30</v>
      </c>
      <c r="F267" s="2">
        <v>73309</v>
      </c>
      <c r="G267" s="2">
        <v>2323</v>
      </c>
      <c r="H267" s="2">
        <v>1393.8</v>
      </c>
      <c r="I267" s="2">
        <v>39</v>
      </c>
      <c r="J267" s="2">
        <v>1966.71</v>
      </c>
      <c r="K267" s="4">
        <f t="shared" si="16"/>
        <v>3.1687787311244185E-2</v>
      </c>
      <c r="L267" s="6">
        <f t="shared" si="17"/>
        <v>0.6</v>
      </c>
      <c r="M267" s="6">
        <f t="shared" si="18"/>
        <v>35.738461538461536</v>
      </c>
      <c r="N267" s="8">
        <f t="shared" si="19"/>
        <v>1.4110417563495481</v>
      </c>
    </row>
    <row r="268" spans="1:14" x14ac:dyDescent="0.45">
      <c r="A268" s="12">
        <v>45640</v>
      </c>
      <c r="B268" s="2" t="s">
        <v>15</v>
      </c>
      <c r="C268" s="2" t="s">
        <v>24</v>
      </c>
      <c r="D268" s="2" t="s">
        <v>25</v>
      </c>
      <c r="E268" s="2" t="s">
        <v>51</v>
      </c>
      <c r="F268" s="2">
        <v>81996</v>
      </c>
      <c r="G268" s="2">
        <v>1508</v>
      </c>
      <c r="H268" s="2">
        <v>3513.64</v>
      </c>
      <c r="I268" s="2">
        <v>75</v>
      </c>
      <c r="J268" s="2">
        <v>8251.24</v>
      </c>
      <c r="K268" s="4">
        <f t="shared" si="16"/>
        <v>1.8391141031269816E-2</v>
      </c>
      <c r="L268" s="6">
        <f t="shared" si="17"/>
        <v>2.33</v>
      </c>
      <c r="M268" s="6">
        <f t="shared" si="18"/>
        <v>46.848533333333329</v>
      </c>
      <c r="N268" s="8">
        <f t="shared" si="19"/>
        <v>2.3483453057228401</v>
      </c>
    </row>
    <row r="269" spans="1:14" x14ac:dyDescent="0.45">
      <c r="A269" s="12">
        <v>45385</v>
      </c>
      <c r="B269" s="2" t="s">
        <v>20</v>
      </c>
      <c r="C269" s="2" t="s">
        <v>38</v>
      </c>
      <c r="D269" s="2" t="s">
        <v>21</v>
      </c>
      <c r="E269" s="2" t="s">
        <v>22</v>
      </c>
      <c r="F269" s="2">
        <v>122192</v>
      </c>
      <c r="G269" s="2">
        <v>4398</v>
      </c>
      <c r="H269" s="2">
        <v>4354.0200000000004</v>
      </c>
      <c r="I269" s="2">
        <v>348</v>
      </c>
      <c r="J269" s="2">
        <v>64414.080000000002</v>
      </c>
      <c r="K269" s="4">
        <f t="shared" si="16"/>
        <v>3.5992536336257694E-2</v>
      </c>
      <c r="L269" s="6">
        <f t="shared" si="17"/>
        <v>0.9900000000000001</v>
      </c>
      <c r="M269" s="6">
        <f t="shared" si="18"/>
        <v>12.511551724137933</v>
      </c>
      <c r="N269" s="8">
        <f t="shared" si="19"/>
        <v>14.794162635908883</v>
      </c>
    </row>
    <row r="270" spans="1:14" x14ac:dyDescent="0.45">
      <c r="A270" s="12">
        <v>45626</v>
      </c>
      <c r="B270" s="2" t="s">
        <v>15</v>
      </c>
      <c r="C270" s="2" t="s">
        <v>38</v>
      </c>
      <c r="D270" s="2" t="s">
        <v>29</v>
      </c>
      <c r="E270" s="2" t="s">
        <v>18</v>
      </c>
      <c r="F270" s="2">
        <v>79960</v>
      </c>
      <c r="G270" s="2">
        <v>1591</v>
      </c>
      <c r="H270" s="2">
        <v>1638.73</v>
      </c>
      <c r="I270" s="2">
        <v>55</v>
      </c>
      <c r="J270" s="2">
        <v>15206.45</v>
      </c>
      <c r="K270" s="4">
        <f t="shared" si="16"/>
        <v>1.9897448724362179E-2</v>
      </c>
      <c r="L270" s="6">
        <f t="shared" si="17"/>
        <v>1.03</v>
      </c>
      <c r="M270" s="6">
        <f t="shared" si="18"/>
        <v>29.795090909090909</v>
      </c>
      <c r="N270" s="8">
        <f t="shared" si="19"/>
        <v>9.2794114954873592</v>
      </c>
    </row>
    <row r="271" spans="1:14" x14ac:dyDescent="0.45">
      <c r="A271" s="12">
        <v>45601</v>
      </c>
      <c r="B271" s="2" t="s">
        <v>35</v>
      </c>
      <c r="C271" s="2" t="s">
        <v>38</v>
      </c>
      <c r="D271" s="2" t="s">
        <v>25</v>
      </c>
      <c r="E271" s="2" t="s">
        <v>54</v>
      </c>
      <c r="F271" s="2">
        <v>188804</v>
      </c>
      <c r="G271" s="2">
        <v>5267</v>
      </c>
      <c r="H271" s="2">
        <v>11060.7</v>
      </c>
      <c r="I271" s="2">
        <v>64</v>
      </c>
      <c r="J271" s="2">
        <v>10138.299999999999</v>
      </c>
      <c r="K271" s="4">
        <f t="shared" si="16"/>
        <v>2.7896654731891273E-2</v>
      </c>
      <c r="L271" s="6">
        <f t="shared" si="17"/>
        <v>2.1</v>
      </c>
      <c r="M271" s="6">
        <f t="shared" si="18"/>
        <v>172.82343750000001</v>
      </c>
      <c r="N271" s="8">
        <f t="shared" si="19"/>
        <v>0.9166056397877167</v>
      </c>
    </row>
    <row r="272" spans="1:14" x14ac:dyDescent="0.45">
      <c r="A272" s="12">
        <v>45437</v>
      </c>
      <c r="B272" s="2" t="s">
        <v>35</v>
      </c>
      <c r="C272" s="2" t="s">
        <v>38</v>
      </c>
      <c r="D272" s="2" t="s">
        <v>17</v>
      </c>
      <c r="E272" s="2" t="s">
        <v>22</v>
      </c>
      <c r="F272" s="2">
        <v>80139</v>
      </c>
      <c r="G272" s="2">
        <v>2436</v>
      </c>
      <c r="H272" s="2">
        <v>3848.88</v>
      </c>
      <c r="I272" s="2">
        <v>37</v>
      </c>
      <c r="J272" s="2">
        <v>4653.12</v>
      </c>
      <c r="K272" s="4">
        <f t="shared" si="16"/>
        <v>3.0397184891251452E-2</v>
      </c>
      <c r="L272" s="6">
        <f t="shared" si="17"/>
        <v>1.58</v>
      </c>
      <c r="M272" s="6">
        <f t="shared" si="18"/>
        <v>104.02378378378378</v>
      </c>
      <c r="N272" s="8">
        <f t="shared" si="19"/>
        <v>1.2089542931969819</v>
      </c>
    </row>
    <row r="273" spans="1:14" x14ac:dyDescent="0.45">
      <c r="A273" s="12">
        <v>45651</v>
      </c>
      <c r="B273" s="2" t="s">
        <v>35</v>
      </c>
      <c r="C273" s="2" t="s">
        <v>28</v>
      </c>
      <c r="D273" s="2" t="s">
        <v>29</v>
      </c>
      <c r="E273" s="2" t="s">
        <v>30</v>
      </c>
      <c r="F273" s="2">
        <v>51999</v>
      </c>
      <c r="G273" s="2">
        <v>930</v>
      </c>
      <c r="H273" s="2">
        <v>1116</v>
      </c>
      <c r="I273" s="2">
        <v>13</v>
      </c>
      <c r="J273" s="2">
        <v>1777.36</v>
      </c>
      <c r="K273" s="4">
        <f t="shared" si="16"/>
        <v>1.7884959326140887E-2</v>
      </c>
      <c r="L273" s="6">
        <f t="shared" si="17"/>
        <v>1.2</v>
      </c>
      <c r="M273" s="6">
        <f t="shared" si="18"/>
        <v>85.84615384615384</v>
      </c>
      <c r="N273" s="8">
        <f t="shared" si="19"/>
        <v>1.5926164874551971</v>
      </c>
    </row>
    <row r="274" spans="1:14" x14ac:dyDescent="0.45">
      <c r="A274" s="12">
        <v>45637</v>
      </c>
      <c r="B274" s="2" t="s">
        <v>15</v>
      </c>
      <c r="C274" s="2" t="s">
        <v>24</v>
      </c>
      <c r="D274" s="2" t="s">
        <v>21</v>
      </c>
      <c r="E274" s="2" t="s">
        <v>51</v>
      </c>
      <c r="F274" s="2">
        <v>119527</v>
      </c>
      <c r="G274" s="2">
        <v>6597</v>
      </c>
      <c r="H274" s="2">
        <v>20450.7</v>
      </c>
      <c r="I274" s="2">
        <v>497</v>
      </c>
      <c r="J274" s="2">
        <v>137884.47</v>
      </c>
      <c r="K274" s="4">
        <f t="shared" si="16"/>
        <v>5.5192550637094551E-2</v>
      </c>
      <c r="L274" s="6">
        <f t="shared" si="17"/>
        <v>3.1</v>
      </c>
      <c r="M274" s="6">
        <f t="shared" si="18"/>
        <v>41.148289738430584</v>
      </c>
      <c r="N274" s="8">
        <f t="shared" si="19"/>
        <v>6.7422860831169595</v>
      </c>
    </row>
    <row r="275" spans="1:14" x14ac:dyDescent="0.45">
      <c r="A275" s="12">
        <v>45521</v>
      </c>
      <c r="B275" s="2" t="s">
        <v>35</v>
      </c>
      <c r="C275" s="2" t="s">
        <v>16</v>
      </c>
      <c r="D275" s="2" t="s">
        <v>17</v>
      </c>
      <c r="E275" s="2" t="s">
        <v>51</v>
      </c>
      <c r="F275" s="2">
        <v>194073</v>
      </c>
      <c r="G275" s="2">
        <v>6346</v>
      </c>
      <c r="H275" s="2">
        <v>11422.8</v>
      </c>
      <c r="I275" s="2">
        <v>168</v>
      </c>
      <c r="J275" s="2">
        <v>9921.3799999999992</v>
      </c>
      <c r="K275" s="4">
        <f t="shared" si="16"/>
        <v>3.2699035929778998E-2</v>
      </c>
      <c r="L275" s="6">
        <f t="shared" si="17"/>
        <v>1.7999999999999998</v>
      </c>
      <c r="M275" s="6">
        <f t="shared" si="18"/>
        <v>67.992857142857133</v>
      </c>
      <c r="N275" s="8">
        <f t="shared" si="19"/>
        <v>0.868559372483104</v>
      </c>
    </row>
    <row r="276" spans="1:14" x14ac:dyDescent="0.45">
      <c r="A276" s="12">
        <v>45562</v>
      </c>
      <c r="B276" s="2" t="s">
        <v>20</v>
      </c>
      <c r="C276" s="2" t="s">
        <v>38</v>
      </c>
      <c r="D276" s="2" t="s">
        <v>29</v>
      </c>
      <c r="E276" s="2" t="s">
        <v>22</v>
      </c>
      <c r="F276" s="2">
        <v>55599</v>
      </c>
      <c r="G276" s="2">
        <v>3697</v>
      </c>
      <c r="H276" s="2">
        <v>6063.08</v>
      </c>
      <c r="I276" s="2">
        <v>217</v>
      </c>
      <c r="J276" s="2">
        <v>25513.42</v>
      </c>
      <c r="K276" s="4">
        <f t="shared" si="16"/>
        <v>6.6494001690677887E-2</v>
      </c>
      <c r="L276" s="6">
        <f t="shared" si="17"/>
        <v>1.64</v>
      </c>
      <c r="M276" s="6">
        <f t="shared" si="18"/>
        <v>27.940460829493087</v>
      </c>
      <c r="N276" s="8">
        <f t="shared" si="19"/>
        <v>4.2079965957895986</v>
      </c>
    </row>
    <row r="277" spans="1:14" x14ac:dyDescent="0.45">
      <c r="A277" s="12">
        <v>45582</v>
      </c>
      <c r="B277" s="2" t="s">
        <v>15</v>
      </c>
      <c r="C277" s="2" t="s">
        <v>24</v>
      </c>
      <c r="D277" s="2" t="s">
        <v>25</v>
      </c>
      <c r="E277" s="2" t="s">
        <v>51</v>
      </c>
      <c r="F277" s="2">
        <v>176541</v>
      </c>
      <c r="G277" s="2">
        <v>4378</v>
      </c>
      <c r="H277" s="2">
        <v>12564.86</v>
      </c>
      <c r="I277" s="2">
        <v>175</v>
      </c>
      <c r="J277" s="2">
        <v>19637.27</v>
      </c>
      <c r="K277" s="4">
        <f t="shared" si="16"/>
        <v>2.479877195665596E-2</v>
      </c>
      <c r="L277" s="6">
        <f t="shared" si="17"/>
        <v>2.87</v>
      </c>
      <c r="M277" s="6">
        <f t="shared" si="18"/>
        <v>71.799199999999999</v>
      </c>
      <c r="N277" s="8">
        <f t="shared" si="19"/>
        <v>1.5628721688900633</v>
      </c>
    </row>
    <row r="278" spans="1:14" x14ac:dyDescent="0.45">
      <c r="A278" s="12">
        <v>45466</v>
      </c>
      <c r="B278" s="2" t="s">
        <v>15</v>
      </c>
      <c r="C278" s="2" t="s">
        <v>38</v>
      </c>
      <c r="D278" s="2" t="s">
        <v>17</v>
      </c>
      <c r="E278" s="2" t="s">
        <v>18</v>
      </c>
      <c r="F278" s="2">
        <v>118710</v>
      </c>
      <c r="G278" s="2">
        <v>4036</v>
      </c>
      <c r="H278" s="2">
        <v>10009.280000000001</v>
      </c>
      <c r="I278" s="2">
        <v>235</v>
      </c>
      <c r="J278" s="2">
        <v>28657.57</v>
      </c>
      <c r="K278" s="4">
        <f t="shared" si="16"/>
        <v>3.3998820655378653E-2</v>
      </c>
      <c r="L278" s="6">
        <f t="shared" si="17"/>
        <v>2.48</v>
      </c>
      <c r="M278" s="6">
        <f t="shared" si="18"/>
        <v>42.592680851063832</v>
      </c>
      <c r="N278" s="8">
        <f t="shared" si="19"/>
        <v>2.8631000431599474</v>
      </c>
    </row>
    <row r="279" spans="1:14" x14ac:dyDescent="0.45">
      <c r="A279" s="12">
        <v>45339</v>
      </c>
      <c r="B279" s="2" t="s">
        <v>20</v>
      </c>
      <c r="C279" s="2" t="s">
        <v>16</v>
      </c>
      <c r="D279" s="2" t="s">
        <v>17</v>
      </c>
      <c r="E279" s="2" t="s">
        <v>30</v>
      </c>
      <c r="F279" s="2">
        <v>113297</v>
      </c>
      <c r="G279" s="2">
        <v>9675</v>
      </c>
      <c r="H279" s="2">
        <v>17511.75</v>
      </c>
      <c r="I279" s="2">
        <v>380</v>
      </c>
      <c r="J279" s="2">
        <v>16593.87</v>
      </c>
      <c r="K279" s="4">
        <f t="shared" si="16"/>
        <v>8.5395023698774025E-2</v>
      </c>
      <c r="L279" s="6">
        <f t="shared" si="17"/>
        <v>1.81</v>
      </c>
      <c r="M279" s="6">
        <f t="shared" si="18"/>
        <v>46.083552631578947</v>
      </c>
      <c r="N279" s="8">
        <f t="shared" si="19"/>
        <v>0.94758490727654288</v>
      </c>
    </row>
    <row r="280" spans="1:14" x14ac:dyDescent="0.45">
      <c r="A280" s="12">
        <v>45478</v>
      </c>
      <c r="B280" s="2" t="s">
        <v>15</v>
      </c>
      <c r="C280" s="2" t="s">
        <v>16</v>
      </c>
      <c r="D280" s="2" t="s">
        <v>17</v>
      </c>
      <c r="E280" s="2" t="s">
        <v>22</v>
      </c>
      <c r="F280" s="2">
        <v>6881</v>
      </c>
      <c r="G280" s="2">
        <v>357</v>
      </c>
      <c r="H280" s="2">
        <v>817.53</v>
      </c>
      <c r="I280" s="2">
        <v>5</v>
      </c>
      <c r="J280" s="2">
        <v>872.75</v>
      </c>
      <c r="K280" s="4">
        <f t="shared" si="16"/>
        <v>5.188199389623601E-2</v>
      </c>
      <c r="L280" s="6">
        <f t="shared" si="17"/>
        <v>2.29</v>
      </c>
      <c r="M280" s="6">
        <f t="shared" si="18"/>
        <v>163.506</v>
      </c>
      <c r="N280" s="8">
        <f t="shared" si="19"/>
        <v>1.0675449218988906</v>
      </c>
    </row>
    <row r="281" spans="1:14" x14ac:dyDescent="0.45">
      <c r="A281" s="12">
        <v>45432</v>
      </c>
      <c r="B281" s="2" t="s">
        <v>35</v>
      </c>
      <c r="C281" s="2" t="s">
        <v>28</v>
      </c>
      <c r="D281" s="2" t="s">
        <v>21</v>
      </c>
      <c r="E281" s="2" t="s">
        <v>30</v>
      </c>
      <c r="F281" s="2">
        <v>121477</v>
      </c>
      <c r="G281" s="2">
        <v>1834</v>
      </c>
      <c r="H281" s="2">
        <v>898.66</v>
      </c>
      <c r="I281" s="2">
        <v>98</v>
      </c>
      <c r="J281" s="2">
        <v>10542.66</v>
      </c>
      <c r="K281" s="4">
        <f t="shared" si="16"/>
        <v>1.5097508170270916E-2</v>
      </c>
      <c r="L281" s="6">
        <f t="shared" si="17"/>
        <v>0.49</v>
      </c>
      <c r="M281" s="6">
        <f t="shared" si="18"/>
        <v>9.17</v>
      </c>
      <c r="N281" s="8">
        <f t="shared" si="19"/>
        <v>11.731533616718226</v>
      </c>
    </row>
    <row r="282" spans="1:14" x14ac:dyDescent="0.45">
      <c r="A282" s="12">
        <v>45471</v>
      </c>
      <c r="B282" s="2" t="s">
        <v>15</v>
      </c>
      <c r="C282" s="2" t="s">
        <v>38</v>
      </c>
      <c r="D282" s="2" t="s">
        <v>29</v>
      </c>
      <c r="E282" s="2" t="s">
        <v>54</v>
      </c>
      <c r="F282" s="2">
        <v>188419</v>
      </c>
      <c r="G282" s="2">
        <v>10231</v>
      </c>
      <c r="H282" s="2">
        <v>21996.65</v>
      </c>
      <c r="I282" s="2">
        <v>754</v>
      </c>
      <c r="J282" s="2">
        <v>134062.71</v>
      </c>
      <c r="K282" s="4">
        <f t="shared" si="16"/>
        <v>5.429919487949729E-2</v>
      </c>
      <c r="L282" s="6">
        <f t="shared" si="17"/>
        <v>2.1500000000000004</v>
      </c>
      <c r="M282" s="6">
        <f t="shared" si="18"/>
        <v>29.173275862068966</v>
      </c>
      <c r="N282" s="8">
        <f t="shared" si="19"/>
        <v>6.0946876001572958</v>
      </c>
    </row>
    <row r="283" spans="1:14" x14ac:dyDescent="0.45">
      <c r="A283" s="12">
        <v>45515</v>
      </c>
      <c r="B283" s="2" t="s">
        <v>35</v>
      </c>
      <c r="C283" s="2" t="s">
        <v>24</v>
      </c>
      <c r="D283" s="2" t="s">
        <v>21</v>
      </c>
      <c r="E283" s="2" t="s">
        <v>22</v>
      </c>
      <c r="F283" s="2">
        <v>46743</v>
      </c>
      <c r="G283" s="2">
        <v>1523</v>
      </c>
      <c r="H283" s="2">
        <v>1218.4000000000001</v>
      </c>
      <c r="I283" s="2">
        <v>51</v>
      </c>
      <c r="J283" s="2">
        <v>5825.03</v>
      </c>
      <c r="K283" s="4">
        <f t="shared" si="16"/>
        <v>3.2582418757888879E-2</v>
      </c>
      <c r="L283" s="6">
        <f t="shared" si="17"/>
        <v>0.8</v>
      </c>
      <c r="M283" s="6">
        <f t="shared" si="18"/>
        <v>23.890196078431373</v>
      </c>
      <c r="N283" s="8">
        <f t="shared" si="19"/>
        <v>4.7808847669074188</v>
      </c>
    </row>
    <row r="284" spans="1:14" x14ac:dyDescent="0.45">
      <c r="A284" s="12">
        <v>45361</v>
      </c>
      <c r="B284" s="2" t="s">
        <v>15</v>
      </c>
      <c r="C284" s="2" t="s">
        <v>24</v>
      </c>
      <c r="D284" s="2" t="s">
        <v>17</v>
      </c>
      <c r="E284" s="2" t="s">
        <v>51</v>
      </c>
      <c r="F284" s="2">
        <v>93302</v>
      </c>
      <c r="G284" s="2">
        <v>4058</v>
      </c>
      <c r="H284" s="2">
        <v>3286.98</v>
      </c>
      <c r="I284" s="2">
        <v>50</v>
      </c>
      <c r="J284" s="2">
        <v>14861.71</v>
      </c>
      <c r="K284" s="4">
        <f t="shared" si="16"/>
        <v>4.3493172707980539E-2</v>
      </c>
      <c r="L284" s="6">
        <f t="shared" si="17"/>
        <v>0.81</v>
      </c>
      <c r="M284" s="6">
        <f t="shared" si="18"/>
        <v>65.739599999999996</v>
      </c>
      <c r="N284" s="8">
        <f t="shared" si="19"/>
        <v>4.5213874133703271</v>
      </c>
    </row>
    <row r="285" spans="1:14" x14ac:dyDescent="0.45">
      <c r="A285" s="12">
        <v>45426</v>
      </c>
      <c r="B285" s="2" t="s">
        <v>15</v>
      </c>
      <c r="C285" s="2" t="s">
        <v>16</v>
      </c>
      <c r="D285" s="2" t="s">
        <v>29</v>
      </c>
      <c r="E285" s="2" t="s">
        <v>54</v>
      </c>
      <c r="F285" s="2">
        <v>140747</v>
      </c>
      <c r="G285" s="2">
        <v>8571</v>
      </c>
      <c r="H285" s="2">
        <v>27855.75</v>
      </c>
      <c r="I285" s="2">
        <v>332</v>
      </c>
      <c r="J285" s="2">
        <v>48279.89</v>
      </c>
      <c r="K285" s="4">
        <f t="shared" si="16"/>
        <v>6.0896502234505885E-2</v>
      </c>
      <c r="L285" s="6">
        <f t="shared" si="17"/>
        <v>3.25</v>
      </c>
      <c r="M285" s="6">
        <f t="shared" si="18"/>
        <v>83.902861445783131</v>
      </c>
      <c r="N285" s="8">
        <f t="shared" si="19"/>
        <v>1.7332109169561043</v>
      </c>
    </row>
    <row r="286" spans="1:14" x14ac:dyDescent="0.45">
      <c r="A286" s="12">
        <v>45398</v>
      </c>
      <c r="B286" s="2" t="s">
        <v>15</v>
      </c>
      <c r="C286" s="2" t="s">
        <v>16</v>
      </c>
      <c r="D286" s="2" t="s">
        <v>25</v>
      </c>
      <c r="E286" s="2" t="s">
        <v>54</v>
      </c>
      <c r="F286" s="2">
        <v>36831</v>
      </c>
      <c r="G286" s="2">
        <v>1572</v>
      </c>
      <c r="H286" s="2">
        <v>5423.4</v>
      </c>
      <c r="I286" s="2">
        <v>48</v>
      </c>
      <c r="J286" s="2">
        <v>4165.7299999999996</v>
      </c>
      <c r="K286" s="4">
        <f t="shared" si="16"/>
        <v>4.2681436833102548E-2</v>
      </c>
      <c r="L286" s="6">
        <f t="shared" si="17"/>
        <v>3.4499999999999997</v>
      </c>
      <c r="M286" s="6">
        <f t="shared" si="18"/>
        <v>112.9875</v>
      </c>
      <c r="N286" s="8">
        <f t="shared" si="19"/>
        <v>0.76810303499649668</v>
      </c>
    </row>
    <row r="287" spans="1:14" x14ac:dyDescent="0.45">
      <c r="A287" s="12">
        <v>45399</v>
      </c>
      <c r="B287" s="2" t="s">
        <v>20</v>
      </c>
      <c r="C287" s="2" t="s">
        <v>38</v>
      </c>
      <c r="D287" s="2" t="s">
        <v>29</v>
      </c>
      <c r="E287" s="2" t="s">
        <v>30</v>
      </c>
      <c r="F287" s="2">
        <v>146842</v>
      </c>
      <c r="G287" s="2">
        <v>10646</v>
      </c>
      <c r="H287" s="2">
        <v>13094.58</v>
      </c>
      <c r="I287" s="2">
        <v>615</v>
      </c>
      <c r="J287" s="2">
        <v>113988.39</v>
      </c>
      <c r="K287" s="4">
        <f t="shared" si="16"/>
        <v>7.2499693548167418E-2</v>
      </c>
      <c r="L287" s="6">
        <f t="shared" si="17"/>
        <v>1.23</v>
      </c>
      <c r="M287" s="6">
        <f t="shared" si="18"/>
        <v>21.292000000000002</v>
      </c>
      <c r="N287" s="8">
        <f t="shared" si="19"/>
        <v>8.7050054297274144</v>
      </c>
    </row>
    <row r="288" spans="1:14" x14ac:dyDescent="0.45">
      <c r="A288" s="12">
        <v>45387</v>
      </c>
      <c r="B288" s="2" t="s">
        <v>35</v>
      </c>
      <c r="C288" s="2" t="s">
        <v>38</v>
      </c>
      <c r="D288" s="2" t="s">
        <v>21</v>
      </c>
      <c r="E288" s="2" t="s">
        <v>26</v>
      </c>
      <c r="F288" s="2">
        <v>69892</v>
      </c>
      <c r="G288" s="2">
        <v>2851</v>
      </c>
      <c r="H288" s="2">
        <v>2223.7800000000002</v>
      </c>
      <c r="I288" s="2">
        <v>52</v>
      </c>
      <c r="J288" s="2">
        <v>11407.42</v>
      </c>
      <c r="K288" s="4">
        <f t="shared" si="16"/>
        <v>4.0791506896354378E-2</v>
      </c>
      <c r="L288" s="6">
        <f t="shared" si="17"/>
        <v>0.78</v>
      </c>
      <c r="M288" s="6">
        <f t="shared" si="18"/>
        <v>42.765000000000001</v>
      </c>
      <c r="N288" s="8">
        <f t="shared" si="19"/>
        <v>5.1297430501218644</v>
      </c>
    </row>
    <row r="289" spans="1:14" x14ac:dyDescent="0.45">
      <c r="A289" s="12">
        <v>45380</v>
      </c>
      <c r="B289" s="2" t="s">
        <v>15</v>
      </c>
      <c r="C289" s="2" t="s">
        <v>28</v>
      </c>
      <c r="D289" s="2" t="s">
        <v>29</v>
      </c>
      <c r="E289" s="2" t="s">
        <v>22</v>
      </c>
      <c r="F289" s="2">
        <v>118985</v>
      </c>
      <c r="G289" s="2">
        <v>4545</v>
      </c>
      <c r="H289" s="2">
        <v>14680.35</v>
      </c>
      <c r="I289" s="2">
        <v>259</v>
      </c>
      <c r="J289" s="2">
        <v>58417.120000000003</v>
      </c>
      <c r="K289" s="4">
        <f t="shared" si="16"/>
        <v>3.8198092196495358E-2</v>
      </c>
      <c r="L289" s="6">
        <f t="shared" si="17"/>
        <v>3.23</v>
      </c>
      <c r="M289" s="6">
        <f t="shared" si="18"/>
        <v>56.680888030888035</v>
      </c>
      <c r="N289" s="8">
        <f t="shared" si="19"/>
        <v>3.9792729737370021</v>
      </c>
    </row>
    <row r="290" spans="1:14" x14ac:dyDescent="0.45">
      <c r="A290" s="12">
        <v>45485</v>
      </c>
      <c r="B290" s="2" t="s">
        <v>35</v>
      </c>
      <c r="C290" s="2" t="s">
        <v>38</v>
      </c>
      <c r="D290" s="2" t="s">
        <v>41</v>
      </c>
      <c r="E290" s="2" t="s">
        <v>51</v>
      </c>
      <c r="F290" s="2">
        <v>12452</v>
      </c>
      <c r="G290" s="2">
        <v>280</v>
      </c>
      <c r="H290" s="2">
        <v>344.4</v>
      </c>
      <c r="I290" s="2">
        <v>18</v>
      </c>
      <c r="J290" s="2">
        <v>4734.22</v>
      </c>
      <c r="K290" s="4">
        <f t="shared" si="16"/>
        <v>2.2486347574686798E-2</v>
      </c>
      <c r="L290" s="6">
        <f t="shared" si="17"/>
        <v>1.23</v>
      </c>
      <c r="M290" s="6">
        <f t="shared" si="18"/>
        <v>19.133333333333333</v>
      </c>
      <c r="N290" s="8">
        <f t="shared" si="19"/>
        <v>13.746283391405344</v>
      </c>
    </row>
    <row r="291" spans="1:14" x14ac:dyDescent="0.45">
      <c r="A291" s="12">
        <v>45313</v>
      </c>
      <c r="B291" s="2" t="s">
        <v>15</v>
      </c>
      <c r="C291" s="2" t="s">
        <v>38</v>
      </c>
      <c r="D291" s="2" t="s">
        <v>21</v>
      </c>
      <c r="E291" s="2" t="s">
        <v>18</v>
      </c>
      <c r="F291" s="2">
        <v>85077</v>
      </c>
      <c r="G291" s="2">
        <v>4032</v>
      </c>
      <c r="H291" s="2">
        <v>11450.88</v>
      </c>
      <c r="I291" s="2">
        <v>253</v>
      </c>
      <c r="J291" s="2">
        <v>13168.69</v>
      </c>
      <c r="K291" s="4">
        <f t="shared" si="16"/>
        <v>4.7392362213054054E-2</v>
      </c>
      <c r="L291" s="6">
        <f t="shared" si="17"/>
        <v>2.84</v>
      </c>
      <c r="M291" s="6">
        <f t="shared" si="18"/>
        <v>45.260395256916993</v>
      </c>
      <c r="N291" s="8">
        <f t="shared" si="19"/>
        <v>1.1500155446568301</v>
      </c>
    </row>
    <row r="292" spans="1:14" x14ac:dyDescent="0.45">
      <c r="A292" s="12">
        <v>45522</v>
      </c>
      <c r="B292" s="2" t="s">
        <v>20</v>
      </c>
      <c r="C292" s="2" t="s">
        <v>16</v>
      </c>
      <c r="D292" s="2" t="s">
        <v>17</v>
      </c>
      <c r="E292" s="2" t="s">
        <v>51</v>
      </c>
      <c r="F292" s="2">
        <v>39782</v>
      </c>
      <c r="G292" s="2">
        <v>3393</v>
      </c>
      <c r="H292" s="2">
        <v>5802.03</v>
      </c>
      <c r="I292" s="2">
        <v>143</v>
      </c>
      <c r="J292" s="2">
        <v>23555.27</v>
      </c>
      <c r="K292" s="4">
        <f t="shared" si="16"/>
        <v>8.5289829571162837E-2</v>
      </c>
      <c r="L292" s="6">
        <f t="shared" si="17"/>
        <v>1.71</v>
      </c>
      <c r="M292" s="6">
        <f t="shared" si="18"/>
        <v>40.573636363636361</v>
      </c>
      <c r="N292" s="8">
        <f t="shared" si="19"/>
        <v>4.0598325068984478</v>
      </c>
    </row>
    <row r="293" spans="1:14" x14ac:dyDescent="0.45">
      <c r="A293" s="12">
        <v>45395</v>
      </c>
      <c r="B293" s="2" t="s">
        <v>15</v>
      </c>
      <c r="C293" s="2" t="s">
        <v>24</v>
      </c>
      <c r="D293" s="2" t="s">
        <v>21</v>
      </c>
      <c r="E293" s="2" t="s">
        <v>54</v>
      </c>
      <c r="F293" s="2">
        <v>192135</v>
      </c>
      <c r="G293" s="2">
        <v>10663</v>
      </c>
      <c r="H293" s="2">
        <v>18980.14</v>
      </c>
      <c r="I293" s="2">
        <v>741</v>
      </c>
      <c r="J293" s="2">
        <v>213823.35999999999</v>
      </c>
      <c r="K293" s="4">
        <f t="shared" si="16"/>
        <v>5.5497436698154941E-2</v>
      </c>
      <c r="L293" s="6">
        <f t="shared" si="17"/>
        <v>1.78</v>
      </c>
      <c r="M293" s="6">
        <f t="shared" si="18"/>
        <v>25.614224021592442</v>
      </c>
      <c r="N293" s="8">
        <f t="shared" si="19"/>
        <v>11.265636607527657</v>
      </c>
    </row>
    <row r="294" spans="1:14" x14ac:dyDescent="0.45">
      <c r="A294" s="12">
        <v>45386</v>
      </c>
      <c r="B294" s="2" t="s">
        <v>35</v>
      </c>
      <c r="C294" s="2" t="s">
        <v>16</v>
      </c>
      <c r="D294" s="2" t="s">
        <v>25</v>
      </c>
      <c r="E294" s="2" t="s">
        <v>51</v>
      </c>
      <c r="F294" s="2">
        <v>156317</v>
      </c>
      <c r="G294" s="2">
        <v>5924</v>
      </c>
      <c r="H294" s="2">
        <v>4206.04</v>
      </c>
      <c r="I294" s="2">
        <v>464</v>
      </c>
      <c r="J294" s="2">
        <v>64623.96</v>
      </c>
      <c r="K294" s="4">
        <f t="shared" si="16"/>
        <v>3.7897349616484451E-2</v>
      </c>
      <c r="L294" s="6">
        <f t="shared" si="17"/>
        <v>0.71</v>
      </c>
      <c r="M294" s="6">
        <f t="shared" si="18"/>
        <v>9.0647413793103446</v>
      </c>
      <c r="N294" s="8">
        <f t="shared" si="19"/>
        <v>15.364561440214549</v>
      </c>
    </row>
    <row r="295" spans="1:14" x14ac:dyDescent="0.45">
      <c r="A295" s="12">
        <v>45337</v>
      </c>
      <c r="B295" s="2" t="s">
        <v>15</v>
      </c>
      <c r="C295" s="2" t="s">
        <v>28</v>
      </c>
      <c r="D295" s="2" t="s">
        <v>17</v>
      </c>
      <c r="E295" s="2" t="s">
        <v>30</v>
      </c>
      <c r="F295" s="2">
        <v>39754</v>
      </c>
      <c r="G295" s="2">
        <v>2007</v>
      </c>
      <c r="H295" s="2">
        <v>4676.3100000000004</v>
      </c>
      <c r="I295" s="2">
        <v>108</v>
      </c>
      <c r="J295" s="2">
        <v>6981.98</v>
      </c>
      <c r="K295" s="4">
        <f t="shared" si="16"/>
        <v>5.04854857372843E-2</v>
      </c>
      <c r="L295" s="6">
        <f t="shared" si="17"/>
        <v>2.33</v>
      </c>
      <c r="M295" s="6">
        <f t="shared" si="18"/>
        <v>43.299166666666672</v>
      </c>
      <c r="N295" s="8">
        <f t="shared" si="19"/>
        <v>1.4930532834649539</v>
      </c>
    </row>
    <row r="296" spans="1:14" x14ac:dyDescent="0.45">
      <c r="A296" s="12">
        <v>45567</v>
      </c>
      <c r="B296" s="2" t="s">
        <v>35</v>
      </c>
      <c r="C296" s="2" t="s">
        <v>28</v>
      </c>
      <c r="D296" s="2" t="s">
        <v>21</v>
      </c>
      <c r="E296" s="2" t="s">
        <v>18</v>
      </c>
      <c r="F296" s="2">
        <v>84526</v>
      </c>
      <c r="G296" s="2">
        <v>2214</v>
      </c>
      <c r="H296" s="2">
        <v>974.16</v>
      </c>
      <c r="I296" s="2">
        <v>117</v>
      </c>
      <c r="J296" s="2">
        <v>30360.22</v>
      </c>
      <c r="K296" s="4">
        <f t="shared" si="16"/>
        <v>2.6193124009180606E-2</v>
      </c>
      <c r="L296" s="6">
        <f t="shared" si="17"/>
        <v>0.44</v>
      </c>
      <c r="M296" s="6">
        <f t="shared" si="18"/>
        <v>8.3261538461538454</v>
      </c>
      <c r="N296" s="8">
        <f t="shared" si="19"/>
        <v>31.165537488708221</v>
      </c>
    </row>
    <row r="297" spans="1:14" x14ac:dyDescent="0.45">
      <c r="A297" s="12">
        <v>45531</v>
      </c>
      <c r="B297" s="2" t="s">
        <v>15</v>
      </c>
      <c r="C297" s="2" t="s">
        <v>28</v>
      </c>
      <c r="D297" s="2" t="s">
        <v>29</v>
      </c>
      <c r="E297" s="2" t="s">
        <v>22</v>
      </c>
      <c r="F297" s="2">
        <v>159226</v>
      </c>
      <c r="G297" s="2">
        <v>5206</v>
      </c>
      <c r="H297" s="2">
        <v>5049.82</v>
      </c>
      <c r="I297" s="2">
        <v>137</v>
      </c>
      <c r="J297" s="2">
        <v>27701.27</v>
      </c>
      <c r="K297" s="4">
        <f t="shared" si="16"/>
        <v>3.2695665280795851E-2</v>
      </c>
      <c r="L297" s="6">
        <f t="shared" si="17"/>
        <v>0.97</v>
      </c>
      <c r="M297" s="6">
        <f t="shared" si="18"/>
        <v>36.86</v>
      </c>
      <c r="N297" s="8">
        <f t="shared" si="19"/>
        <v>5.4855955261771712</v>
      </c>
    </row>
    <row r="298" spans="1:14" x14ac:dyDescent="0.45">
      <c r="A298" s="12">
        <v>45566</v>
      </c>
      <c r="B298" s="2" t="s">
        <v>20</v>
      </c>
      <c r="C298" s="2" t="s">
        <v>38</v>
      </c>
      <c r="D298" s="2" t="s">
        <v>29</v>
      </c>
      <c r="E298" s="2" t="s">
        <v>33</v>
      </c>
      <c r="F298" s="2">
        <v>178503</v>
      </c>
      <c r="G298" s="2">
        <v>9639</v>
      </c>
      <c r="H298" s="2">
        <v>5397.84</v>
      </c>
      <c r="I298" s="2">
        <v>146</v>
      </c>
      <c r="J298" s="2">
        <v>40162.93</v>
      </c>
      <c r="K298" s="4">
        <f t="shared" si="16"/>
        <v>5.3999092452227691E-2</v>
      </c>
      <c r="L298" s="6">
        <f t="shared" si="17"/>
        <v>0.56000000000000005</v>
      </c>
      <c r="M298" s="6">
        <f t="shared" si="18"/>
        <v>36.97150684931507</v>
      </c>
      <c r="N298" s="8">
        <f t="shared" si="19"/>
        <v>7.4405558519704176</v>
      </c>
    </row>
    <row r="299" spans="1:14" x14ac:dyDescent="0.45">
      <c r="A299" s="12">
        <v>45431</v>
      </c>
      <c r="B299" s="2" t="s">
        <v>20</v>
      </c>
      <c r="C299" s="2" t="s">
        <v>28</v>
      </c>
      <c r="D299" s="2" t="s">
        <v>29</v>
      </c>
      <c r="E299" s="2" t="s">
        <v>51</v>
      </c>
      <c r="F299" s="2">
        <v>176946</v>
      </c>
      <c r="G299" s="2">
        <v>13784</v>
      </c>
      <c r="H299" s="2">
        <v>11854.24</v>
      </c>
      <c r="I299" s="2">
        <v>743</v>
      </c>
      <c r="J299" s="2">
        <v>208986.19</v>
      </c>
      <c r="K299" s="4">
        <f t="shared" si="16"/>
        <v>7.789947215534683E-2</v>
      </c>
      <c r="L299" s="6">
        <f t="shared" si="17"/>
        <v>0.86</v>
      </c>
      <c r="M299" s="6">
        <f t="shared" si="18"/>
        <v>15.954562584118438</v>
      </c>
      <c r="N299" s="8">
        <f t="shared" si="19"/>
        <v>17.629657405282835</v>
      </c>
    </row>
    <row r="300" spans="1:14" x14ac:dyDescent="0.45">
      <c r="A300" s="12">
        <v>45506</v>
      </c>
      <c r="B300" s="2" t="s">
        <v>35</v>
      </c>
      <c r="C300" s="2" t="s">
        <v>38</v>
      </c>
      <c r="D300" s="2" t="s">
        <v>17</v>
      </c>
      <c r="E300" s="2" t="s">
        <v>30</v>
      </c>
      <c r="F300" s="2">
        <v>163124</v>
      </c>
      <c r="G300" s="2">
        <v>4273</v>
      </c>
      <c r="H300" s="2">
        <v>3888.43</v>
      </c>
      <c r="I300" s="2">
        <v>239</v>
      </c>
      <c r="J300" s="2">
        <v>71554.77</v>
      </c>
      <c r="K300" s="4">
        <f t="shared" si="16"/>
        <v>2.6194796596454233E-2</v>
      </c>
      <c r="L300" s="6">
        <f t="shared" si="17"/>
        <v>0.90999999999999992</v>
      </c>
      <c r="M300" s="6">
        <f t="shared" si="18"/>
        <v>16.269581589958158</v>
      </c>
      <c r="N300" s="8">
        <f t="shared" si="19"/>
        <v>18.401969432393024</v>
      </c>
    </row>
    <row r="301" spans="1:14" x14ac:dyDescent="0.45">
      <c r="A301" s="12">
        <v>45464</v>
      </c>
      <c r="B301" s="2" t="s">
        <v>35</v>
      </c>
      <c r="C301" s="2" t="s">
        <v>38</v>
      </c>
      <c r="D301" s="2" t="s">
        <v>21</v>
      </c>
      <c r="E301" s="2" t="s">
        <v>18</v>
      </c>
      <c r="F301" s="2">
        <v>150486</v>
      </c>
      <c r="G301" s="2">
        <v>6230</v>
      </c>
      <c r="H301" s="2">
        <v>7538.3</v>
      </c>
      <c r="I301" s="2">
        <v>243</v>
      </c>
      <c r="J301" s="2">
        <v>55217.61</v>
      </c>
      <c r="K301" s="4">
        <f t="shared" si="16"/>
        <v>4.1399199925574469E-2</v>
      </c>
      <c r="L301" s="6">
        <f t="shared" si="17"/>
        <v>1.21</v>
      </c>
      <c r="M301" s="6">
        <f t="shared" si="18"/>
        <v>31.021810699588478</v>
      </c>
      <c r="N301" s="8">
        <f t="shared" si="19"/>
        <v>7.3249419630420647</v>
      </c>
    </row>
    <row r="302" spans="1:14" x14ac:dyDescent="0.45">
      <c r="A302" s="12">
        <v>45429</v>
      </c>
      <c r="B302" s="2" t="s">
        <v>15</v>
      </c>
      <c r="C302" s="2" t="s">
        <v>16</v>
      </c>
      <c r="D302" s="2" t="s">
        <v>41</v>
      </c>
      <c r="E302" s="2" t="s">
        <v>22</v>
      </c>
      <c r="F302" s="2">
        <v>88384</v>
      </c>
      <c r="G302" s="2">
        <v>3641</v>
      </c>
      <c r="H302" s="2">
        <v>4442.0200000000004</v>
      </c>
      <c r="I302" s="2">
        <v>89</v>
      </c>
      <c r="J302" s="2">
        <v>4077.32</v>
      </c>
      <c r="K302" s="4">
        <f t="shared" si="16"/>
        <v>4.1195238957277336E-2</v>
      </c>
      <c r="L302" s="6">
        <f t="shared" si="17"/>
        <v>1.2200000000000002</v>
      </c>
      <c r="M302" s="6">
        <f t="shared" si="18"/>
        <v>49.910337078651693</v>
      </c>
      <c r="N302" s="8">
        <f t="shared" si="19"/>
        <v>0.91789771320255198</v>
      </c>
    </row>
    <row r="303" spans="1:14" x14ac:dyDescent="0.45">
      <c r="A303" s="12">
        <v>45480</v>
      </c>
      <c r="B303" s="2" t="s">
        <v>35</v>
      </c>
      <c r="C303" s="2" t="s">
        <v>38</v>
      </c>
      <c r="D303" s="2" t="s">
        <v>29</v>
      </c>
      <c r="E303" s="2" t="s">
        <v>26</v>
      </c>
      <c r="F303" s="2">
        <v>74922</v>
      </c>
      <c r="G303" s="2">
        <v>1333</v>
      </c>
      <c r="H303" s="2">
        <v>1759.56</v>
      </c>
      <c r="I303" s="2">
        <v>95</v>
      </c>
      <c r="J303" s="2">
        <v>17171.740000000002</v>
      </c>
      <c r="K303" s="4">
        <f t="shared" si="16"/>
        <v>1.7791836843650731E-2</v>
      </c>
      <c r="L303" s="6">
        <f t="shared" si="17"/>
        <v>1.32</v>
      </c>
      <c r="M303" s="6">
        <f t="shared" si="18"/>
        <v>18.521684210526317</v>
      </c>
      <c r="N303" s="8">
        <f t="shared" si="19"/>
        <v>9.7591102321034811</v>
      </c>
    </row>
    <row r="304" spans="1:14" x14ac:dyDescent="0.45">
      <c r="A304" s="12">
        <v>45308</v>
      </c>
      <c r="B304" s="2" t="s">
        <v>20</v>
      </c>
      <c r="C304" s="2" t="s">
        <v>24</v>
      </c>
      <c r="D304" s="2" t="s">
        <v>21</v>
      </c>
      <c r="E304" s="2" t="s">
        <v>18</v>
      </c>
      <c r="F304" s="2">
        <v>188846</v>
      </c>
      <c r="G304" s="2">
        <v>12671</v>
      </c>
      <c r="H304" s="2">
        <v>17359.27</v>
      </c>
      <c r="I304" s="2">
        <v>821</v>
      </c>
      <c r="J304" s="2">
        <v>86047.94</v>
      </c>
      <c r="K304" s="4">
        <f t="shared" si="16"/>
        <v>6.7096999671690166E-2</v>
      </c>
      <c r="L304" s="6">
        <f t="shared" si="17"/>
        <v>1.37</v>
      </c>
      <c r="M304" s="6">
        <f t="shared" si="18"/>
        <v>21.144056029232644</v>
      </c>
      <c r="N304" s="8">
        <f t="shared" si="19"/>
        <v>4.9568870119538433</v>
      </c>
    </row>
    <row r="305" spans="1:14" x14ac:dyDescent="0.45">
      <c r="A305" s="12">
        <v>45378</v>
      </c>
      <c r="B305" s="2" t="s">
        <v>20</v>
      </c>
      <c r="C305" s="2" t="s">
        <v>16</v>
      </c>
      <c r="D305" s="2" t="s">
        <v>29</v>
      </c>
      <c r="E305" s="2" t="s">
        <v>22</v>
      </c>
      <c r="F305" s="2">
        <v>10209</v>
      </c>
      <c r="G305" s="2">
        <v>314</v>
      </c>
      <c r="H305" s="2">
        <v>562.05999999999995</v>
      </c>
      <c r="I305" s="2">
        <v>13</v>
      </c>
      <c r="J305" s="2">
        <v>3231.96</v>
      </c>
      <c r="K305" s="4">
        <f t="shared" si="16"/>
        <v>3.0757175041629933E-2</v>
      </c>
      <c r="L305" s="6">
        <f t="shared" si="17"/>
        <v>1.7899999999999998</v>
      </c>
      <c r="M305" s="6">
        <f t="shared" si="18"/>
        <v>43.235384615384611</v>
      </c>
      <c r="N305" s="8">
        <f t="shared" si="19"/>
        <v>5.7502046044906248</v>
      </c>
    </row>
    <row r="306" spans="1:14" x14ac:dyDescent="0.45">
      <c r="A306" s="12">
        <v>45623</v>
      </c>
      <c r="B306" s="2" t="s">
        <v>20</v>
      </c>
      <c r="C306" s="2" t="s">
        <v>24</v>
      </c>
      <c r="D306" s="2" t="s">
        <v>41</v>
      </c>
      <c r="E306" s="2" t="s">
        <v>51</v>
      </c>
      <c r="F306" s="2">
        <v>31140</v>
      </c>
      <c r="G306" s="2">
        <v>1712</v>
      </c>
      <c r="H306" s="2">
        <v>2294.08</v>
      </c>
      <c r="I306" s="2">
        <v>63</v>
      </c>
      <c r="J306" s="2">
        <v>5569.82</v>
      </c>
      <c r="K306" s="4">
        <f t="shared" si="16"/>
        <v>5.4977520873474628E-2</v>
      </c>
      <c r="L306" s="6">
        <f t="shared" si="17"/>
        <v>1.3399999999999999</v>
      </c>
      <c r="M306" s="6">
        <f t="shared" si="18"/>
        <v>36.41396825396825</v>
      </c>
      <c r="N306" s="8">
        <f t="shared" si="19"/>
        <v>2.4279100990375224</v>
      </c>
    </row>
    <row r="307" spans="1:14" x14ac:dyDescent="0.45">
      <c r="A307" s="12">
        <v>45359</v>
      </c>
      <c r="B307" s="2" t="s">
        <v>35</v>
      </c>
      <c r="C307" s="2" t="s">
        <v>24</v>
      </c>
      <c r="D307" s="2" t="s">
        <v>29</v>
      </c>
      <c r="E307" s="2" t="s">
        <v>33</v>
      </c>
      <c r="F307" s="2">
        <v>46850</v>
      </c>
      <c r="G307" s="2">
        <v>983</v>
      </c>
      <c r="H307" s="2">
        <v>1553.14</v>
      </c>
      <c r="I307" s="2">
        <v>38</v>
      </c>
      <c r="J307" s="2">
        <v>10968.52</v>
      </c>
      <c r="K307" s="4">
        <f t="shared" si="16"/>
        <v>2.0981856990394877E-2</v>
      </c>
      <c r="L307" s="6">
        <f t="shared" si="17"/>
        <v>1.58</v>
      </c>
      <c r="M307" s="6">
        <f t="shared" si="18"/>
        <v>40.872105263157898</v>
      </c>
      <c r="N307" s="8">
        <f t="shared" si="19"/>
        <v>7.062157950989608</v>
      </c>
    </row>
    <row r="308" spans="1:14" x14ac:dyDescent="0.45">
      <c r="A308" s="12">
        <v>45410</v>
      </c>
      <c r="B308" s="2" t="s">
        <v>35</v>
      </c>
      <c r="C308" s="2" t="s">
        <v>28</v>
      </c>
      <c r="D308" s="2" t="s">
        <v>21</v>
      </c>
      <c r="E308" s="2" t="s">
        <v>33</v>
      </c>
      <c r="F308" s="2">
        <v>17720</v>
      </c>
      <c r="G308" s="2">
        <v>287</v>
      </c>
      <c r="H308" s="2">
        <v>404.67</v>
      </c>
      <c r="I308" s="2">
        <v>4</v>
      </c>
      <c r="J308" s="2">
        <v>597.17999999999995</v>
      </c>
      <c r="K308" s="4">
        <f t="shared" si="16"/>
        <v>1.6196388261851016E-2</v>
      </c>
      <c r="L308" s="6">
        <f t="shared" si="17"/>
        <v>1.4100000000000001</v>
      </c>
      <c r="M308" s="6">
        <f t="shared" si="18"/>
        <v>101.1675</v>
      </c>
      <c r="N308" s="8">
        <f t="shared" si="19"/>
        <v>1.4757209578174808</v>
      </c>
    </row>
    <row r="309" spans="1:14" x14ac:dyDescent="0.45">
      <c r="A309" s="12">
        <v>45320</v>
      </c>
      <c r="B309" s="2" t="s">
        <v>15</v>
      </c>
      <c r="C309" s="2" t="s">
        <v>24</v>
      </c>
      <c r="D309" s="2" t="s">
        <v>29</v>
      </c>
      <c r="E309" s="2" t="s">
        <v>30</v>
      </c>
      <c r="F309" s="2">
        <v>16781</v>
      </c>
      <c r="G309" s="2">
        <v>684</v>
      </c>
      <c r="H309" s="2">
        <v>889.2</v>
      </c>
      <c r="I309" s="2">
        <v>8</v>
      </c>
      <c r="J309" s="2">
        <v>1435.11</v>
      </c>
      <c r="K309" s="4">
        <f t="shared" si="16"/>
        <v>4.076038376735594E-2</v>
      </c>
      <c r="L309" s="6">
        <f t="shared" si="17"/>
        <v>1.3</v>
      </c>
      <c r="M309" s="6">
        <f t="shared" si="18"/>
        <v>111.15</v>
      </c>
      <c r="N309" s="8">
        <f t="shared" si="19"/>
        <v>1.6139338731443993</v>
      </c>
    </row>
    <row r="310" spans="1:14" x14ac:dyDescent="0.45">
      <c r="A310" s="12">
        <v>45625</v>
      </c>
      <c r="B310" s="2" t="s">
        <v>35</v>
      </c>
      <c r="C310" s="2" t="s">
        <v>24</v>
      </c>
      <c r="D310" s="2" t="s">
        <v>41</v>
      </c>
      <c r="E310" s="2" t="s">
        <v>30</v>
      </c>
      <c r="F310" s="2">
        <v>61652</v>
      </c>
      <c r="G310" s="2">
        <v>2614</v>
      </c>
      <c r="H310" s="2">
        <v>3345.92</v>
      </c>
      <c r="I310" s="2">
        <v>133</v>
      </c>
      <c r="J310" s="2">
        <v>20303.14</v>
      </c>
      <c r="K310" s="4">
        <f t="shared" si="16"/>
        <v>4.2399273340686432E-2</v>
      </c>
      <c r="L310" s="6">
        <f t="shared" si="17"/>
        <v>1.28</v>
      </c>
      <c r="M310" s="6">
        <f t="shared" si="18"/>
        <v>25.157293233082708</v>
      </c>
      <c r="N310" s="8">
        <f t="shared" si="19"/>
        <v>6.0680291220351945</v>
      </c>
    </row>
    <row r="311" spans="1:14" x14ac:dyDescent="0.45">
      <c r="A311" s="12">
        <v>45479</v>
      </c>
      <c r="B311" s="2" t="s">
        <v>35</v>
      </c>
      <c r="C311" s="2" t="s">
        <v>38</v>
      </c>
      <c r="D311" s="2" t="s">
        <v>21</v>
      </c>
      <c r="E311" s="2" t="s">
        <v>26</v>
      </c>
      <c r="F311" s="2">
        <v>194933</v>
      </c>
      <c r="G311" s="2">
        <v>4054</v>
      </c>
      <c r="H311" s="2">
        <v>8229.6200000000008</v>
      </c>
      <c r="I311" s="2">
        <v>197</v>
      </c>
      <c r="J311" s="2">
        <v>9992.76</v>
      </c>
      <c r="K311" s="4">
        <f t="shared" si="16"/>
        <v>2.0796889187567009E-2</v>
      </c>
      <c r="L311" s="6">
        <f t="shared" si="17"/>
        <v>2.0300000000000002</v>
      </c>
      <c r="M311" s="6">
        <f t="shared" si="18"/>
        <v>41.774720812182743</v>
      </c>
      <c r="N311" s="8">
        <f t="shared" si="19"/>
        <v>1.2142431849830246</v>
      </c>
    </row>
    <row r="312" spans="1:14" x14ac:dyDescent="0.45">
      <c r="A312" s="12">
        <v>45347</v>
      </c>
      <c r="B312" s="2" t="s">
        <v>15</v>
      </c>
      <c r="C312" s="2" t="s">
        <v>16</v>
      </c>
      <c r="D312" s="2" t="s">
        <v>21</v>
      </c>
      <c r="E312" s="2" t="s">
        <v>33</v>
      </c>
      <c r="F312" s="2">
        <v>100386</v>
      </c>
      <c r="G312" s="2">
        <v>5250</v>
      </c>
      <c r="H312" s="2">
        <v>5145</v>
      </c>
      <c r="I312" s="2">
        <v>254</v>
      </c>
      <c r="J312" s="2">
        <v>73673.45</v>
      </c>
      <c r="K312" s="4">
        <f t="shared" si="16"/>
        <v>5.2298129221206142E-2</v>
      </c>
      <c r="L312" s="6">
        <f t="shared" si="17"/>
        <v>0.98</v>
      </c>
      <c r="M312" s="6">
        <f t="shared" si="18"/>
        <v>20.255905511811022</v>
      </c>
      <c r="N312" s="8">
        <f t="shared" si="19"/>
        <v>14.319426627793975</v>
      </c>
    </row>
    <row r="313" spans="1:14" x14ac:dyDescent="0.45">
      <c r="A313" s="12">
        <v>45316</v>
      </c>
      <c r="B313" s="2" t="s">
        <v>15</v>
      </c>
      <c r="C313" s="2" t="s">
        <v>16</v>
      </c>
      <c r="D313" s="2" t="s">
        <v>25</v>
      </c>
      <c r="E313" s="2" t="s">
        <v>18</v>
      </c>
      <c r="F313" s="2">
        <v>50203</v>
      </c>
      <c r="G313" s="2">
        <v>1390</v>
      </c>
      <c r="H313" s="2">
        <v>2710.5</v>
      </c>
      <c r="I313" s="2">
        <v>47</v>
      </c>
      <c r="J313" s="2">
        <v>11338.98</v>
      </c>
      <c r="K313" s="4">
        <f t="shared" si="16"/>
        <v>2.7687588391132004E-2</v>
      </c>
      <c r="L313" s="6">
        <f t="shared" si="17"/>
        <v>1.95</v>
      </c>
      <c r="M313" s="6">
        <f t="shared" si="18"/>
        <v>57.670212765957444</v>
      </c>
      <c r="N313" s="8">
        <f t="shared" si="19"/>
        <v>4.1833536247924732</v>
      </c>
    </row>
    <row r="314" spans="1:14" x14ac:dyDescent="0.45">
      <c r="A314" s="12">
        <v>45305</v>
      </c>
      <c r="B314" s="2" t="s">
        <v>20</v>
      </c>
      <c r="C314" s="2" t="s">
        <v>16</v>
      </c>
      <c r="D314" s="2" t="s">
        <v>29</v>
      </c>
      <c r="E314" s="2" t="s">
        <v>51</v>
      </c>
      <c r="F314" s="2">
        <v>85428</v>
      </c>
      <c r="G314" s="2">
        <v>5134</v>
      </c>
      <c r="H314" s="2">
        <v>4415.24</v>
      </c>
      <c r="I314" s="2">
        <v>202</v>
      </c>
      <c r="J314" s="2">
        <v>37603.74</v>
      </c>
      <c r="K314" s="4">
        <f t="shared" si="16"/>
        <v>6.0097391955799037E-2</v>
      </c>
      <c r="L314" s="6">
        <f t="shared" si="17"/>
        <v>0.86</v>
      </c>
      <c r="M314" s="6">
        <f t="shared" si="18"/>
        <v>21.857623762376235</v>
      </c>
      <c r="N314" s="8">
        <f t="shared" si="19"/>
        <v>8.5168054284704802</v>
      </c>
    </row>
    <row r="315" spans="1:14" x14ac:dyDescent="0.45">
      <c r="A315" s="12">
        <v>45417</v>
      </c>
      <c r="B315" s="2" t="s">
        <v>20</v>
      </c>
      <c r="C315" s="2" t="s">
        <v>24</v>
      </c>
      <c r="D315" s="2" t="s">
        <v>21</v>
      </c>
      <c r="E315" s="2" t="s">
        <v>18</v>
      </c>
      <c r="F315" s="2">
        <v>192428</v>
      </c>
      <c r="G315" s="2">
        <v>9967</v>
      </c>
      <c r="H315" s="2">
        <v>15947.2</v>
      </c>
      <c r="I315" s="2">
        <v>570</v>
      </c>
      <c r="J315" s="2">
        <v>78044.55</v>
      </c>
      <c r="K315" s="4">
        <f t="shared" si="16"/>
        <v>5.1795996424636746E-2</v>
      </c>
      <c r="L315" s="6">
        <f t="shared" si="17"/>
        <v>1.6</v>
      </c>
      <c r="M315" s="6">
        <f t="shared" si="18"/>
        <v>27.977543859649124</v>
      </c>
      <c r="N315" s="8">
        <f t="shared" si="19"/>
        <v>4.8939343583826629</v>
      </c>
    </row>
    <row r="316" spans="1:14" x14ac:dyDescent="0.45">
      <c r="A316" s="12">
        <v>45523</v>
      </c>
      <c r="B316" s="2" t="s">
        <v>15</v>
      </c>
      <c r="C316" s="2" t="s">
        <v>28</v>
      </c>
      <c r="D316" s="2" t="s">
        <v>25</v>
      </c>
      <c r="E316" s="2" t="s">
        <v>22</v>
      </c>
      <c r="F316" s="2">
        <v>33756</v>
      </c>
      <c r="G316" s="2">
        <v>2150</v>
      </c>
      <c r="H316" s="2">
        <v>4665.5</v>
      </c>
      <c r="I316" s="2">
        <v>108</v>
      </c>
      <c r="J316" s="2">
        <v>7948.11</v>
      </c>
      <c r="K316" s="4">
        <f t="shared" si="16"/>
        <v>6.369238061381681E-2</v>
      </c>
      <c r="L316" s="6">
        <f t="shared" si="17"/>
        <v>2.17</v>
      </c>
      <c r="M316" s="6">
        <f t="shared" si="18"/>
        <v>43.199074074074076</v>
      </c>
      <c r="N316" s="8">
        <f t="shared" si="19"/>
        <v>1.7035923266530917</v>
      </c>
    </row>
    <row r="317" spans="1:14" x14ac:dyDescent="0.45">
      <c r="A317" s="12">
        <v>45379</v>
      </c>
      <c r="B317" s="2" t="s">
        <v>35</v>
      </c>
      <c r="C317" s="2" t="s">
        <v>24</v>
      </c>
      <c r="D317" s="2" t="s">
        <v>17</v>
      </c>
      <c r="E317" s="2" t="s">
        <v>18</v>
      </c>
      <c r="F317" s="2">
        <v>103162</v>
      </c>
      <c r="G317" s="2">
        <v>1485</v>
      </c>
      <c r="H317" s="2">
        <v>1440.45</v>
      </c>
      <c r="I317" s="2">
        <v>35</v>
      </c>
      <c r="J317" s="2">
        <v>5899.5</v>
      </c>
      <c r="K317" s="4">
        <f t="shared" si="16"/>
        <v>1.4394835307574495E-2</v>
      </c>
      <c r="L317" s="6">
        <f t="shared" si="17"/>
        <v>0.97000000000000008</v>
      </c>
      <c r="M317" s="6">
        <f t="shared" si="18"/>
        <v>41.155714285714289</v>
      </c>
      <c r="N317" s="8">
        <f t="shared" si="19"/>
        <v>4.0955951265229613</v>
      </c>
    </row>
    <row r="318" spans="1:14" x14ac:dyDescent="0.45">
      <c r="A318" s="12">
        <v>45537</v>
      </c>
      <c r="B318" s="2" t="s">
        <v>15</v>
      </c>
      <c r="C318" s="2" t="s">
        <v>16</v>
      </c>
      <c r="D318" s="2" t="s">
        <v>21</v>
      </c>
      <c r="E318" s="2" t="s">
        <v>18</v>
      </c>
      <c r="F318" s="2">
        <v>142844</v>
      </c>
      <c r="G318" s="2">
        <v>2971</v>
      </c>
      <c r="H318" s="2">
        <v>5020.99</v>
      </c>
      <c r="I318" s="2">
        <v>95</v>
      </c>
      <c r="J318" s="2">
        <v>5534.94</v>
      </c>
      <c r="K318" s="4">
        <f t="shared" si="16"/>
        <v>2.0798913500042003E-2</v>
      </c>
      <c r="L318" s="6">
        <f t="shared" si="17"/>
        <v>1.69</v>
      </c>
      <c r="M318" s="6">
        <f t="shared" si="18"/>
        <v>52.852526315789468</v>
      </c>
      <c r="N318" s="8">
        <f t="shared" si="19"/>
        <v>1.1023602914962984</v>
      </c>
    </row>
    <row r="319" spans="1:14" x14ac:dyDescent="0.45">
      <c r="A319" s="12">
        <v>45443</v>
      </c>
      <c r="B319" s="2" t="s">
        <v>15</v>
      </c>
      <c r="C319" s="2" t="s">
        <v>16</v>
      </c>
      <c r="D319" s="2" t="s">
        <v>17</v>
      </c>
      <c r="E319" s="2" t="s">
        <v>26</v>
      </c>
      <c r="F319" s="2">
        <v>50201</v>
      </c>
      <c r="G319" s="2">
        <v>2198</v>
      </c>
      <c r="H319" s="2">
        <v>4945.5</v>
      </c>
      <c r="I319" s="2">
        <v>112</v>
      </c>
      <c r="J319" s="2">
        <v>12918.19</v>
      </c>
      <c r="K319" s="4">
        <f t="shared" si="16"/>
        <v>4.37839883667656E-2</v>
      </c>
      <c r="L319" s="6">
        <f t="shared" si="17"/>
        <v>2.25</v>
      </c>
      <c r="M319" s="6">
        <f t="shared" si="18"/>
        <v>44.15625</v>
      </c>
      <c r="N319" s="8">
        <f t="shared" si="19"/>
        <v>2.6121099989889798</v>
      </c>
    </row>
    <row r="320" spans="1:14" x14ac:dyDescent="0.45">
      <c r="A320" s="12">
        <v>45307</v>
      </c>
      <c r="B320" s="2" t="s">
        <v>35</v>
      </c>
      <c r="C320" s="2" t="s">
        <v>24</v>
      </c>
      <c r="D320" s="2" t="s">
        <v>17</v>
      </c>
      <c r="E320" s="2" t="s">
        <v>26</v>
      </c>
      <c r="F320" s="2">
        <v>143421</v>
      </c>
      <c r="G320" s="2">
        <v>3542</v>
      </c>
      <c r="H320" s="2">
        <v>3046.12</v>
      </c>
      <c r="I320" s="2">
        <v>181</v>
      </c>
      <c r="J320" s="2">
        <v>26273.040000000001</v>
      </c>
      <c r="K320" s="4">
        <f t="shared" si="16"/>
        <v>2.4696522824412044E-2</v>
      </c>
      <c r="L320" s="6">
        <f t="shared" si="17"/>
        <v>0.86</v>
      </c>
      <c r="M320" s="6">
        <f t="shared" si="18"/>
        <v>16.82939226519337</v>
      </c>
      <c r="N320" s="8">
        <f t="shared" si="19"/>
        <v>8.6250837130513585</v>
      </c>
    </row>
    <row r="321" spans="1:14" x14ac:dyDescent="0.45">
      <c r="A321" s="12">
        <v>45578</v>
      </c>
      <c r="B321" s="2" t="s">
        <v>35</v>
      </c>
      <c r="C321" s="2" t="s">
        <v>28</v>
      </c>
      <c r="D321" s="2" t="s">
        <v>17</v>
      </c>
      <c r="E321" s="2" t="s">
        <v>54</v>
      </c>
      <c r="F321" s="2">
        <v>71537</v>
      </c>
      <c r="G321" s="2">
        <v>1809</v>
      </c>
      <c r="H321" s="2">
        <v>2984.85</v>
      </c>
      <c r="I321" s="2">
        <v>57</v>
      </c>
      <c r="J321" s="2">
        <v>6227.5</v>
      </c>
      <c r="K321" s="4">
        <f t="shared" si="16"/>
        <v>2.5287613402854466E-2</v>
      </c>
      <c r="L321" s="6">
        <f t="shared" si="17"/>
        <v>1.65</v>
      </c>
      <c r="M321" s="6">
        <f t="shared" si="18"/>
        <v>52.36578947368421</v>
      </c>
      <c r="N321" s="8">
        <f t="shared" si="19"/>
        <v>2.0863694993048227</v>
      </c>
    </row>
    <row r="322" spans="1:14" x14ac:dyDescent="0.45">
      <c r="A322" s="12">
        <v>45599</v>
      </c>
      <c r="B322" s="2" t="s">
        <v>15</v>
      </c>
      <c r="C322" s="2" t="s">
        <v>24</v>
      </c>
      <c r="D322" s="2" t="s">
        <v>17</v>
      </c>
      <c r="E322" s="2" t="s">
        <v>26</v>
      </c>
      <c r="F322" s="2">
        <v>198604</v>
      </c>
      <c r="G322" s="2">
        <v>8162</v>
      </c>
      <c r="H322" s="2">
        <v>25302.2</v>
      </c>
      <c r="I322" s="2">
        <v>584</v>
      </c>
      <c r="J322" s="2">
        <v>25281.15</v>
      </c>
      <c r="K322" s="4">
        <f t="shared" si="16"/>
        <v>4.1096856055265758E-2</v>
      </c>
      <c r="L322" s="6">
        <f t="shared" si="17"/>
        <v>3.1</v>
      </c>
      <c r="M322" s="6">
        <f t="shared" si="18"/>
        <v>43.325684931506849</v>
      </c>
      <c r="N322" s="8">
        <f t="shared" si="19"/>
        <v>0.99916805653263352</v>
      </c>
    </row>
    <row r="323" spans="1:14" x14ac:dyDescent="0.45">
      <c r="A323" s="12">
        <v>45390</v>
      </c>
      <c r="B323" s="2" t="s">
        <v>15</v>
      </c>
      <c r="C323" s="2" t="s">
        <v>16</v>
      </c>
      <c r="D323" s="2" t="s">
        <v>25</v>
      </c>
      <c r="E323" s="2" t="s">
        <v>33</v>
      </c>
      <c r="F323" s="2">
        <v>114028</v>
      </c>
      <c r="G323" s="2">
        <v>3112</v>
      </c>
      <c r="H323" s="2">
        <v>4232.32</v>
      </c>
      <c r="I323" s="2">
        <v>120</v>
      </c>
      <c r="J323" s="2">
        <v>10393.959999999999</v>
      </c>
      <c r="K323" s="4">
        <f t="shared" ref="K323:K386" si="20" xml:space="preserve"> G323 / F323</f>
        <v>2.7291542428175535E-2</v>
      </c>
      <c r="L323" s="6">
        <f t="shared" ref="L323:L386" si="21">H323/G323</f>
        <v>1.3599999999999999</v>
      </c>
      <c r="M323" s="6">
        <f t="shared" ref="M323:M386" si="22">H323/I323</f>
        <v>35.269333333333329</v>
      </c>
      <c r="N323" s="8">
        <f t="shared" ref="N323:N386" si="23">J323/H323</f>
        <v>2.4558539996975655</v>
      </c>
    </row>
    <row r="324" spans="1:14" x14ac:dyDescent="0.45">
      <c r="A324" s="12">
        <v>45448</v>
      </c>
      <c r="B324" s="2" t="s">
        <v>20</v>
      </c>
      <c r="C324" s="2" t="s">
        <v>24</v>
      </c>
      <c r="D324" s="2" t="s">
        <v>25</v>
      </c>
      <c r="E324" s="2" t="s">
        <v>54</v>
      </c>
      <c r="F324" s="2">
        <v>180309</v>
      </c>
      <c r="G324" s="2">
        <v>5823</v>
      </c>
      <c r="H324" s="2">
        <v>3784.95</v>
      </c>
      <c r="I324" s="2">
        <v>232</v>
      </c>
      <c r="J324" s="2">
        <v>46549.68</v>
      </c>
      <c r="K324" s="4">
        <f t="shared" si="20"/>
        <v>3.2294561003610465E-2</v>
      </c>
      <c r="L324" s="6">
        <f t="shared" si="21"/>
        <v>0.65</v>
      </c>
      <c r="M324" s="6">
        <f t="shared" si="22"/>
        <v>16.314439655172414</v>
      </c>
      <c r="N324" s="8">
        <f t="shared" si="23"/>
        <v>12.29862481670828</v>
      </c>
    </row>
    <row r="325" spans="1:14" x14ac:dyDescent="0.45">
      <c r="A325" s="12">
        <v>45373</v>
      </c>
      <c r="B325" s="2" t="s">
        <v>35</v>
      </c>
      <c r="C325" s="2" t="s">
        <v>24</v>
      </c>
      <c r="D325" s="2" t="s">
        <v>29</v>
      </c>
      <c r="E325" s="2" t="s">
        <v>33</v>
      </c>
      <c r="F325" s="2">
        <v>168402</v>
      </c>
      <c r="G325" s="2">
        <v>5237</v>
      </c>
      <c r="H325" s="2">
        <v>4451.45</v>
      </c>
      <c r="I325" s="2">
        <v>188</v>
      </c>
      <c r="J325" s="2">
        <v>43774.92</v>
      </c>
      <c r="K325" s="4">
        <f t="shared" si="20"/>
        <v>3.1098205484495434E-2</v>
      </c>
      <c r="L325" s="6">
        <f t="shared" si="21"/>
        <v>0.85</v>
      </c>
      <c r="M325" s="6">
        <f t="shared" si="22"/>
        <v>23.677925531914891</v>
      </c>
      <c r="N325" s="8">
        <f t="shared" si="23"/>
        <v>9.8338563838749167</v>
      </c>
    </row>
    <row r="326" spans="1:14" x14ac:dyDescent="0.45">
      <c r="A326" s="12">
        <v>45649</v>
      </c>
      <c r="B326" s="2" t="s">
        <v>20</v>
      </c>
      <c r="C326" s="2" t="s">
        <v>24</v>
      </c>
      <c r="D326" s="2" t="s">
        <v>41</v>
      </c>
      <c r="E326" s="2" t="s">
        <v>33</v>
      </c>
      <c r="F326" s="2">
        <v>125419</v>
      </c>
      <c r="G326" s="2">
        <v>4126</v>
      </c>
      <c r="H326" s="2">
        <v>3507.1</v>
      </c>
      <c r="I326" s="2">
        <v>294</v>
      </c>
      <c r="J326" s="2">
        <v>32829.78</v>
      </c>
      <c r="K326" s="4">
        <f t="shared" si="20"/>
        <v>3.2897726819700365E-2</v>
      </c>
      <c r="L326" s="6">
        <f t="shared" si="21"/>
        <v>0.85</v>
      </c>
      <c r="M326" s="6">
        <f t="shared" si="22"/>
        <v>11.928911564625849</v>
      </c>
      <c r="N326" s="8">
        <f t="shared" si="23"/>
        <v>9.3609477916227082</v>
      </c>
    </row>
    <row r="327" spans="1:14" x14ac:dyDescent="0.45">
      <c r="A327" s="12">
        <v>45327</v>
      </c>
      <c r="B327" s="2" t="s">
        <v>20</v>
      </c>
      <c r="C327" s="2" t="s">
        <v>24</v>
      </c>
      <c r="D327" s="2" t="s">
        <v>29</v>
      </c>
      <c r="E327" s="2" t="s">
        <v>22</v>
      </c>
      <c r="F327" s="2">
        <v>123680</v>
      </c>
      <c r="G327" s="2">
        <v>8373</v>
      </c>
      <c r="H327" s="2">
        <v>5023.8</v>
      </c>
      <c r="I327" s="2">
        <v>263</v>
      </c>
      <c r="J327" s="2">
        <v>12412.26</v>
      </c>
      <c r="K327" s="4">
        <f t="shared" si="20"/>
        <v>6.7698900388098324E-2</v>
      </c>
      <c r="L327" s="6">
        <f t="shared" si="21"/>
        <v>0.6</v>
      </c>
      <c r="M327" s="6">
        <f t="shared" si="22"/>
        <v>19.101901140684411</v>
      </c>
      <c r="N327" s="8">
        <f t="shared" si="23"/>
        <v>2.4706915084199212</v>
      </c>
    </row>
    <row r="328" spans="1:14" x14ac:dyDescent="0.45">
      <c r="A328" s="12">
        <v>45467</v>
      </c>
      <c r="B328" s="2" t="s">
        <v>15</v>
      </c>
      <c r="C328" s="2" t="s">
        <v>16</v>
      </c>
      <c r="D328" s="2" t="s">
        <v>17</v>
      </c>
      <c r="E328" s="2" t="s">
        <v>22</v>
      </c>
      <c r="F328" s="2">
        <v>117660</v>
      </c>
      <c r="G328" s="2">
        <v>6388</v>
      </c>
      <c r="H328" s="2">
        <v>11562.28</v>
      </c>
      <c r="I328" s="2">
        <v>331</v>
      </c>
      <c r="J328" s="2">
        <v>17255.28</v>
      </c>
      <c r="K328" s="4">
        <f t="shared" si="20"/>
        <v>5.4292027876933539E-2</v>
      </c>
      <c r="L328" s="6">
        <f t="shared" si="21"/>
        <v>1.81</v>
      </c>
      <c r="M328" s="6">
        <f t="shared" si="22"/>
        <v>34.931359516616318</v>
      </c>
      <c r="N328" s="8">
        <f t="shared" si="23"/>
        <v>1.4923769360368369</v>
      </c>
    </row>
    <row r="329" spans="1:14" x14ac:dyDescent="0.45">
      <c r="A329" s="12">
        <v>45537</v>
      </c>
      <c r="B329" s="2" t="s">
        <v>35</v>
      </c>
      <c r="C329" s="2" t="s">
        <v>24</v>
      </c>
      <c r="D329" s="2" t="s">
        <v>17</v>
      </c>
      <c r="E329" s="2" t="s">
        <v>33</v>
      </c>
      <c r="F329" s="2">
        <v>76916</v>
      </c>
      <c r="G329" s="2">
        <v>2761</v>
      </c>
      <c r="H329" s="2">
        <v>1960.31</v>
      </c>
      <c r="I329" s="2">
        <v>64</v>
      </c>
      <c r="J329" s="2">
        <v>14368.24</v>
      </c>
      <c r="K329" s="4">
        <f t="shared" si="20"/>
        <v>3.5896302459826307E-2</v>
      </c>
      <c r="L329" s="6">
        <f t="shared" si="21"/>
        <v>0.71</v>
      </c>
      <c r="M329" s="6">
        <f t="shared" si="22"/>
        <v>30.629843749999999</v>
      </c>
      <c r="N329" s="8">
        <f t="shared" si="23"/>
        <v>7.329575424295137</v>
      </c>
    </row>
    <row r="330" spans="1:14" x14ac:dyDescent="0.45">
      <c r="A330" s="12">
        <v>45339</v>
      </c>
      <c r="B330" s="2" t="s">
        <v>35</v>
      </c>
      <c r="C330" s="2" t="s">
        <v>24</v>
      </c>
      <c r="D330" s="2" t="s">
        <v>41</v>
      </c>
      <c r="E330" s="2" t="s">
        <v>33</v>
      </c>
      <c r="F330" s="2">
        <v>150631</v>
      </c>
      <c r="G330" s="2">
        <v>5648</v>
      </c>
      <c r="H330" s="2">
        <v>10957.12</v>
      </c>
      <c r="I330" s="2">
        <v>111</v>
      </c>
      <c r="J330" s="2">
        <v>21671.9</v>
      </c>
      <c r="K330" s="4">
        <f t="shared" si="20"/>
        <v>3.7495601834947656E-2</v>
      </c>
      <c r="L330" s="6">
        <f t="shared" si="21"/>
        <v>1.9400000000000002</v>
      </c>
      <c r="M330" s="6">
        <f t="shared" si="22"/>
        <v>98.712792792792797</v>
      </c>
      <c r="N330" s="8">
        <f t="shared" si="23"/>
        <v>1.9778828743319412</v>
      </c>
    </row>
    <row r="331" spans="1:14" x14ac:dyDescent="0.45">
      <c r="A331" s="12">
        <v>45341</v>
      </c>
      <c r="B331" s="2" t="s">
        <v>15</v>
      </c>
      <c r="C331" s="2" t="s">
        <v>38</v>
      </c>
      <c r="D331" s="2" t="s">
        <v>17</v>
      </c>
      <c r="E331" s="2" t="s">
        <v>54</v>
      </c>
      <c r="F331" s="2">
        <v>126635</v>
      </c>
      <c r="G331" s="2">
        <v>4254</v>
      </c>
      <c r="H331" s="2">
        <v>5657.82</v>
      </c>
      <c r="I331" s="2">
        <v>313</v>
      </c>
      <c r="J331" s="2">
        <v>28110.42</v>
      </c>
      <c r="K331" s="4">
        <f t="shared" si="20"/>
        <v>3.359260867848541E-2</v>
      </c>
      <c r="L331" s="6">
        <f t="shared" si="21"/>
        <v>1.3299999999999998</v>
      </c>
      <c r="M331" s="6">
        <f t="shared" si="22"/>
        <v>18.076102236421725</v>
      </c>
      <c r="N331" s="8">
        <f t="shared" si="23"/>
        <v>4.9684189316733303</v>
      </c>
    </row>
    <row r="332" spans="1:14" x14ac:dyDescent="0.45">
      <c r="A332" s="12">
        <v>45640</v>
      </c>
      <c r="B332" s="2" t="s">
        <v>15</v>
      </c>
      <c r="C332" s="2" t="s">
        <v>24</v>
      </c>
      <c r="D332" s="2" t="s">
        <v>21</v>
      </c>
      <c r="E332" s="2" t="s">
        <v>51</v>
      </c>
      <c r="F332" s="2">
        <v>159721</v>
      </c>
      <c r="G332" s="2">
        <v>3625</v>
      </c>
      <c r="H332" s="2">
        <v>6923.75</v>
      </c>
      <c r="I332" s="2">
        <v>150</v>
      </c>
      <c r="J332" s="2">
        <v>39701.58</v>
      </c>
      <c r="K332" s="4">
        <f t="shared" si="20"/>
        <v>2.2695825846319521E-2</v>
      </c>
      <c r="L332" s="6">
        <f t="shared" si="21"/>
        <v>1.91</v>
      </c>
      <c r="M332" s="6">
        <f t="shared" si="22"/>
        <v>46.158333333333331</v>
      </c>
      <c r="N332" s="8">
        <f t="shared" si="23"/>
        <v>5.7341151832460735</v>
      </c>
    </row>
    <row r="333" spans="1:14" x14ac:dyDescent="0.45">
      <c r="A333" s="12">
        <v>45536</v>
      </c>
      <c r="B333" s="2" t="s">
        <v>35</v>
      </c>
      <c r="C333" s="2" t="s">
        <v>28</v>
      </c>
      <c r="D333" s="2" t="s">
        <v>25</v>
      </c>
      <c r="E333" s="2" t="s">
        <v>18</v>
      </c>
      <c r="F333" s="2">
        <v>150698</v>
      </c>
      <c r="G333" s="2">
        <v>4581</v>
      </c>
      <c r="H333" s="2">
        <v>2336.31</v>
      </c>
      <c r="I333" s="2">
        <v>285</v>
      </c>
      <c r="J333" s="2">
        <v>32525.45</v>
      </c>
      <c r="K333" s="4">
        <f t="shared" si="20"/>
        <v>3.0398545435241342E-2</v>
      </c>
      <c r="L333" s="6">
        <f t="shared" si="21"/>
        <v>0.51</v>
      </c>
      <c r="M333" s="6">
        <f t="shared" si="22"/>
        <v>8.1975789473684202</v>
      </c>
      <c r="N333" s="8">
        <f t="shared" si="23"/>
        <v>13.921718436337644</v>
      </c>
    </row>
    <row r="334" spans="1:14" x14ac:dyDescent="0.45">
      <c r="A334" s="12">
        <v>45396</v>
      </c>
      <c r="B334" s="2" t="s">
        <v>20</v>
      </c>
      <c r="C334" s="2" t="s">
        <v>16</v>
      </c>
      <c r="D334" s="2" t="s">
        <v>21</v>
      </c>
      <c r="E334" s="2" t="s">
        <v>33</v>
      </c>
      <c r="F334" s="2">
        <v>98348</v>
      </c>
      <c r="G334" s="2">
        <v>3225</v>
      </c>
      <c r="H334" s="2">
        <v>4095.75</v>
      </c>
      <c r="I334" s="2">
        <v>59</v>
      </c>
      <c r="J334" s="2">
        <v>2846.94</v>
      </c>
      <c r="K334" s="4">
        <f t="shared" si="20"/>
        <v>3.2791719201203891E-2</v>
      </c>
      <c r="L334" s="6">
        <f t="shared" si="21"/>
        <v>1.27</v>
      </c>
      <c r="M334" s="6">
        <f t="shared" si="22"/>
        <v>69.419491525423723</v>
      </c>
      <c r="N334" s="8">
        <f t="shared" si="23"/>
        <v>0.69509613623878408</v>
      </c>
    </row>
    <row r="335" spans="1:14" x14ac:dyDescent="0.45">
      <c r="A335" s="12">
        <v>45507</v>
      </c>
      <c r="B335" s="2" t="s">
        <v>35</v>
      </c>
      <c r="C335" s="2" t="s">
        <v>16</v>
      </c>
      <c r="D335" s="2" t="s">
        <v>41</v>
      </c>
      <c r="E335" s="2" t="s">
        <v>26</v>
      </c>
      <c r="F335" s="2">
        <v>110603</v>
      </c>
      <c r="G335" s="2">
        <v>2377</v>
      </c>
      <c r="H335" s="2">
        <v>1640.13</v>
      </c>
      <c r="I335" s="2">
        <v>62</v>
      </c>
      <c r="J335" s="2">
        <v>2761.12</v>
      </c>
      <c r="K335" s="4">
        <f t="shared" si="20"/>
        <v>2.1491279621710081E-2</v>
      </c>
      <c r="L335" s="6">
        <f t="shared" si="21"/>
        <v>0.69000000000000006</v>
      </c>
      <c r="M335" s="6">
        <f t="shared" si="22"/>
        <v>26.453709677419358</v>
      </c>
      <c r="N335" s="8">
        <f t="shared" si="23"/>
        <v>1.6834763098047105</v>
      </c>
    </row>
    <row r="336" spans="1:14" x14ac:dyDescent="0.45">
      <c r="A336" s="12">
        <v>45309</v>
      </c>
      <c r="B336" s="2" t="s">
        <v>15</v>
      </c>
      <c r="C336" s="2" t="s">
        <v>28</v>
      </c>
      <c r="D336" s="2" t="s">
        <v>41</v>
      </c>
      <c r="E336" s="2" t="s">
        <v>18</v>
      </c>
      <c r="F336" s="2">
        <v>76792</v>
      </c>
      <c r="G336" s="2">
        <v>3317</v>
      </c>
      <c r="H336" s="2">
        <v>10282.700000000001</v>
      </c>
      <c r="I336" s="2">
        <v>262</v>
      </c>
      <c r="J336" s="2">
        <v>42043.839999999997</v>
      </c>
      <c r="K336" s="4">
        <f t="shared" si="20"/>
        <v>4.3194603604542137E-2</v>
      </c>
      <c r="L336" s="6">
        <f t="shared" si="21"/>
        <v>3.1</v>
      </c>
      <c r="M336" s="6">
        <f t="shared" si="22"/>
        <v>39.246946564885498</v>
      </c>
      <c r="N336" s="8">
        <f t="shared" si="23"/>
        <v>4.0887937992939589</v>
      </c>
    </row>
    <row r="337" spans="1:14" x14ac:dyDescent="0.45">
      <c r="A337" s="12">
        <v>45359</v>
      </c>
      <c r="B337" s="2" t="s">
        <v>20</v>
      </c>
      <c r="C337" s="2" t="s">
        <v>28</v>
      </c>
      <c r="D337" s="2" t="s">
        <v>29</v>
      </c>
      <c r="E337" s="2" t="s">
        <v>26</v>
      </c>
      <c r="F337" s="2">
        <v>44405</v>
      </c>
      <c r="G337" s="2">
        <v>1953</v>
      </c>
      <c r="H337" s="2">
        <v>2988.09</v>
      </c>
      <c r="I337" s="2">
        <v>22</v>
      </c>
      <c r="J337" s="2">
        <v>6030.56</v>
      </c>
      <c r="K337" s="4">
        <f t="shared" si="20"/>
        <v>4.3981533611079836E-2</v>
      </c>
      <c r="L337" s="6">
        <f t="shared" si="21"/>
        <v>1.53</v>
      </c>
      <c r="M337" s="6">
        <f t="shared" si="22"/>
        <v>135.82227272727275</v>
      </c>
      <c r="N337" s="8">
        <f t="shared" si="23"/>
        <v>2.0181989163646343</v>
      </c>
    </row>
    <row r="338" spans="1:14" x14ac:dyDescent="0.45">
      <c r="A338" s="12">
        <v>45532</v>
      </c>
      <c r="B338" s="2" t="s">
        <v>15</v>
      </c>
      <c r="C338" s="2" t="s">
        <v>28</v>
      </c>
      <c r="D338" s="2" t="s">
        <v>41</v>
      </c>
      <c r="E338" s="2" t="s">
        <v>51</v>
      </c>
      <c r="F338" s="2">
        <v>49462</v>
      </c>
      <c r="G338" s="2">
        <v>1206</v>
      </c>
      <c r="H338" s="2">
        <v>2351.6999999999998</v>
      </c>
      <c r="I338" s="2">
        <v>74</v>
      </c>
      <c r="J338" s="2">
        <v>12950.09</v>
      </c>
      <c r="K338" s="4">
        <f t="shared" si="20"/>
        <v>2.4382354130443575E-2</v>
      </c>
      <c r="L338" s="6">
        <f t="shared" si="21"/>
        <v>1.95</v>
      </c>
      <c r="M338" s="6">
        <f t="shared" si="22"/>
        <v>31.779729729729727</v>
      </c>
      <c r="N338" s="8">
        <f t="shared" si="23"/>
        <v>5.5066930305736284</v>
      </c>
    </row>
    <row r="339" spans="1:14" x14ac:dyDescent="0.45">
      <c r="A339" s="12">
        <v>45413</v>
      </c>
      <c r="B339" s="2" t="s">
        <v>20</v>
      </c>
      <c r="C339" s="2" t="s">
        <v>38</v>
      </c>
      <c r="D339" s="2" t="s">
        <v>29</v>
      </c>
      <c r="E339" s="2" t="s">
        <v>54</v>
      </c>
      <c r="F339" s="2">
        <v>140440</v>
      </c>
      <c r="G339" s="2">
        <v>11825</v>
      </c>
      <c r="H339" s="2">
        <v>8041</v>
      </c>
      <c r="I339" s="2">
        <v>748</v>
      </c>
      <c r="J339" s="2">
        <v>31071.69</v>
      </c>
      <c r="K339" s="4">
        <f t="shared" si="20"/>
        <v>8.4199658217032181E-2</v>
      </c>
      <c r="L339" s="6">
        <f t="shared" si="21"/>
        <v>0.68</v>
      </c>
      <c r="M339" s="6">
        <f t="shared" si="22"/>
        <v>10.75</v>
      </c>
      <c r="N339" s="8">
        <f t="shared" si="23"/>
        <v>3.8641574431040913</v>
      </c>
    </row>
    <row r="340" spans="1:14" x14ac:dyDescent="0.45">
      <c r="A340" s="12">
        <v>45470</v>
      </c>
      <c r="B340" s="2" t="s">
        <v>20</v>
      </c>
      <c r="C340" s="2" t="s">
        <v>38</v>
      </c>
      <c r="D340" s="2" t="s">
        <v>25</v>
      </c>
      <c r="E340" s="2" t="s">
        <v>26</v>
      </c>
      <c r="F340" s="2">
        <v>112392</v>
      </c>
      <c r="G340" s="2">
        <v>4934</v>
      </c>
      <c r="H340" s="2">
        <v>8091.76</v>
      </c>
      <c r="I340" s="2">
        <v>363</v>
      </c>
      <c r="J340" s="2">
        <v>91221.43</v>
      </c>
      <c r="K340" s="4">
        <f t="shared" si="20"/>
        <v>4.3899921702612282E-2</v>
      </c>
      <c r="L340" s="6">
        <f t="shared" si="21"/>
        <v>1.6400000000000001</v>
      </c>
      <c r="M340" s="6">
        <f t="shared" si="22"/>
        <v>22.291349862258954</v>
      </c>
      <c r="N340" s="8">
        <f t="shared" si="23"/>
        <v>11.273373159856446</v>
      </c>
    </row>
    <row r="341" spans="1:14" x14ac:dyDescent="0.45">
      <c r="A341" s="12">
        <v>45399</v>
      </c>
      <c r="B341" s="2" t="s">
        <v>20</v>
      </c>
      <c r="C341" s="2" t="s">
        <v>28</v>
      </c>
      <c r="D341" s="2" t="s">
        <v>25</v>
      </c>
      <c r="E341" s="2" t="s">
        <v>54</v>
      </c>
      <c r="F341" s="2">
        <v>125654</v>
      </c>
      <c r="G341" s="2">
        <v>8318</v>
      </c>
      <c r="H341" s="2">
        <v>4824.4399999999996</v>
      </c>
      <c r="I341" s="2">
        <v>566</v>
      </c>
      <c r="J341" s="2">
        <v>117035.13</v>
      </c>
      <c r="K341" s="4">
        <f t="shared" si="20"/>
        <v>6.619765387492639E-2</v>
      </c>
      <c r="L341" s="6">
        <f t="shared" si="21"/>
        <v>0.57999999999999996</v>
      </c>
      <c r="M341" s="6">
        <f t="shared" si="22"/>
        <v>8.5237455830388686</v>
      </c>
      <c r="N341" s="8">
        <f t="shared" si="23"/>
        <v>24.258801021465707</v>
      </c>
    </row>
    <row r="342" spans="1:14" x14ac:dyDescent="0.45">
      <c r="A342" s="12">
        <v>45489</v>
      </c>
      <c r="B342" s="2" t="s">
        <v>35</v>
      </c>
      <c r="C342" s="2" t="s">
        <v>16</v>
      </c>
      <c r="D342" s="2" t="s">
        <v>25</v>
      </c>
      <c r="E342" s="2" t="s">
        <v>22</v>
      </c>
      <c r="F342" s="2">
        <v>167002</v>
      </c>
      <c r="G342" s="2">
        <v>3406</v>
      </c>
      <c r="H342" s="2">
        <v>6232.98</v>
      </c>
      <c r="I342" s="2">
        <v>76</v>
      </c>
      <c r="J342" s="2">
        <v>10328.31</v>
      </c>
      <c r="K342" s="4">
        <f t="shared" si="20"/>
        <v>2.0394965329756529E-2</v>
      </c>
      <c r="L342" s="6">
        <f t="shared" si="21"/>
        <v>1.8299999999999998</v>
      </c>
      <c r="M342" s="6">
        <f t="shared" si="22"/>
        <v>82.0128947368421</v>
      </c>
      <c r="N342" s="8">
        <f t="shared" si="23"/>
        <v>1.6570420569294302</v>
      </c>
    </row>
    <row r="343" spans="1:14" x14ac:dyDescent="0.45">
      <c r="A343" s="12">
        <v>45388</v>
      </c>
      <c r="B343" s="2" t="s">
        <v>20</v>
      </c>
      <c r="C343" s="2" t="s">
        <v>16</v>
      </c>
      <c r="D343" s="2" t="s">
        <v>29</v>
      </c>
      <c r="E343" s="2" t="s">
        <v>54</v>
      </c>
      <c r="F343" s="2">
        <v>108247</v>
      </c>
      <c r="G343" s="2">
        <v>6971</v>
      </c>
      <c r="H343" s="2">
        <v>4112.8900000000003</v>
      </c>
      <c r="I343" s="2">
        <v>517</v>
      </c>
      <c r="J343" s="2">
        <v>139391.79</v>
      </c>
      <c r="K343" s="4">
        <f t="shared" si="20"/>
        <v>6.4399013367576002E-2</v>
      </c>
      <c r="L343" s="6">
        <f t="shared" si="21"/>
        <v>0.59000000000000008</v>
      </c>
      <c r="M343" s="6">
        <f t="shared" si="22"/>
        <v>7.9552998065764031</v>
      </c>
      <c r="N343" s="8">
        <f t="shared" si="23"/>
        <v>33.891446160728833</v>
      </c>
    </row>
    <row r="344" spans="1:14" x14ac:dyDescent="0.45">
      <c r="A344" s="12">
        <v>45396</v>
      </c>
      <c r="B344" s="2" t="s">
        <v>35</v>
      </c>
      <c r="C344" s="2" t="s">
        <v>38</v>
      </c>
      <c r="D344" s="2" t="s">
        <v>17</v>
      </c>
      <c r="E344" s="2" t="s">
        <v>54</v>
      </c>
      <c r="F344" s="2">
        <v>53128</v>
      </c>
      <c r="G344" s="2">
        <v>1678</v>
      </c>
      <c r="H344" s="2">
        <v>2533.7800000000002</v>
      </c>
      <c r="I344" s="2">
        <v>66</v>
      </c>
      <c r="J344" s="2">
        <v>19225.18</v>
      </c>
      <c r="K344" s="4">
        <f t="shared" si="20"/>
        <v>3.1584098780304173E-2</v>
      </c>
      <c r="L344" s="6">
        <f t="shared" si="21"/>
        <v>1.51</v>
      </c>
      <c r="M344" s="6">
        <f t="shared" si="22"/>
        <v>38.390606060606061</v>
      </c>
      <c r="N344" s="8">
        <f t="shared" si="23"/>
        <v>7.5875490374065624</v>
      </c>
    </row>
    <row r="345" spans="1:14" x14ac:dyDescent="0.45">
      <c r="A345" s="12">
        <v>45323</v>
      </c>
      <c r="B345" s="2" t="s">
        <v>35</v>
      </c>
      <c r="C345" s="2" t="s">
        <v>24</v>
      </c>
      <c r="D345" s="2" t="s">
        <v>21</v>
      </c>
      <c r="E345" s="2" t="s">
        <v>26</v>
      </c>
      <c r="F345" s="2">
        <v>65942</v>
      </c>
      <c r="G345" s="2">
        <v>2044</v>
      </c>
      <c r="H345" s="2">
        <v>2146.1999999999998</v>
      </c>
      <c r="I345" s="2">
        <v>48</v>
      </c>
      <c r="J345" s="2">
        <v>6784.27</v>
      </c>
      <c r="K345" s="4">
        <f t="shared" si="20"/>
        <v>3.0996936701950199E-2</v>
      </c>
      <c r="L345" s="6">
        <f t="shared" si="21"/>
        <v>1.0499999999999998</v>
      </c>
      <c r="M345" s="6">
        <f t="shared" si="22"/>
        <v>44.712499999999999</v>
      </c>
      <c r="N345" s="8">
        <f t="shared" si="23"/>
        <v>3.1610614108657167</v>
      </c>
    </row>
    <row r="346" spans="1:14" x14ac:dyDescent="0.45">
      <c r="A346" s="12">
        <v>45365</v>
      </c>
      <c r="B346" s="2" t="s">
        <v>15</v>
      </c>
      <c r="C346" s="2" t="s">
        <v>38</v>
      </c>
      <c r="D346" s="2" t="s">
        <v>41</v>
      </c>
      <c r="E346" s="2" t="s">
        <v>33</v>
      </c>
      <c r="F346" s="2">
        <v>32160</v>
      </c>
      <c r="G346" s="2">
        <v>1186</v>
      </c>
      <c r="H346" s="2">
        <v>1589.24</v>
      </c>
      <c r="I346" s="2">
        <v>12</v>
      </c>
      <c r="J346" s="2">
        <v>1927.71</v>
      </c>
      <c r="K346" s="4">
        <f t="shared" si="20"/>
        <v>3.687810945273632E-2</v>
      </c>
      <c r="L346" s="6">
        <f t="shared" si="21"/>
        <v>1.34</v>
      </c>
      <c r="M346" s="6">
        <f t="shared" si="22"/>
        <v>132.43666666666667</v>
      </c>
      <c r="N346" s="8">
        <f t="shared" si="23"/>
        <v>1.2129760136920793</v>
      </c>
    </row>
    <row r="347" spans="1:14" x14ac:dyDescent="0.45">
      <c r="A347" s="12">
        <v>45564</v>
      </c>
      <c r="B347" s="2" t="s">
        <v>15</v>
      </c>
      <c r="C347" s="2" t="s">
        <v>16</v>
      </c>
      <c r="D347" s="2" t="s">
        <v>21</v>
      </c>
      <c r="E347" s="2" t="s">
        <v>26</v>
      </c>
      <c r="F347" s="2">
        <v>58364</v>
      </c>
      <c r="G347" s="2">
        <v>2241</v>
      </c>
      <c r="H347" s="2">
        <v>4975.0200000000004</v>
      </c>
      <c r="I347" s="2">
        <v>136</v>
      </c>
      <c r="J347" s="2">
        <v>15149.72</v>
      </c>
      <c r="K347" s="4">
        <f t="shared" si="20"/>
        <v>3.8396957028305118E-2</v>
      </c>
      <c r="L347" s="6">
        <f t="shared" si="21"/>
        <v>2.2200000000000002</v>
      </c>
      <c r="M347" s="6">
        <f t="shared" si="22"/>
        <v>36.58102941176471</v>
      </c>
      <c r="N347" s="8">
        <f t="shared" si="23"/>
        <v>3.0451576074066029</v>
      </c>
    </row>
    <row r="348" spans="1:14" x14ac:dyDescent="0.45">
      <c r="A348" s="12">
        <v>45448</v>
      </c>
      <c r="B348" s="2" t="s">
        <v>35</v>
      </c>
      <c r="C348" s="2" t="s">
        <v>16</v>
      </c>
      <c r="D348" s="2" t="s">
        <v>41</v>
      </c>
      <c r="E348" s="2" t="s">
        <v>51</v>
      </c>
      <c r="F348" s="2">
        <v>79462</v>
      </c>
      <c r="G348" s="2">
        <v>2058</v>
      </c>
      <c r="H348" s="2">
        <v>1811.04</v>
      </c>
      <c r="I348" s="2">
        <v>146</v>
      </c>
      <c r="J348" s="2">
        <v>7813.85</v>
      </c>
      <c r="K348" s="4">
        <f t="shared" si="20"/>
        <v>2.5899171931237572E-2</v>
      </c>
      <c r="L348" s="6">
        <f t="shared" si="21"/>
        <v>0.88</v>
      </c>
      <c r="M348" s="6">
        <f t="shared" si="22"/>
        <v>12.404383561643835</v>
      </c>
      <c r="N348" s="8">
        <f t="shared" si="23"/>
        <v>4.3145651117589896</v>
      </c>
    </row>
    <row r="349" spans="1:14" x14ac:dyDescent="0.45">
      <c r="A349" s="12">
        <v>45383</v>
      </c>
      <c r="B349" s="2" t="s">
        <v>35</v>
      </c>
      <c r="C349" s="2" t="s">
        <v>38</v>
      </c>
      <c r="D349" s="2" t="s">
        <v>29</v>
      </c>
      <c r="E349" s="2" t="s">
        <v>51</v>
      </c>
      <c r="F349" s="2">
        <v>151864</v>
      </c>
      <c r="G349" s="2">
        <v>4358</v>
      </c>
      <c r="H349" s="2">
        <v>7365.02</v>
      </c>
      <c r="I349" s="2">
        <v>175</v>
      </c>
      <c r="J349" s="2">
        <v>45340.29</v>
      </c>
      <c r="K349" s="4">
        <f t="shared" si="20"/>
        <v>2.8696728651951747E-2</v>
      </c>
      <c r="L349" s="6">
        <f t="shared" si="21"/>
        <v>1.6900000000000002</v>
      </c>
      <c r="M349" s="6">
        <f t="shared" si="22"/>
        <v>42.085828571428571</v>
      </c>
      <c r="N349" s="8">
        <f t="shared" si="23"/>
        <v>6.1561665820323634</v>
      </c>
    </row>
    <row r="350" spans="1:14" x14ac:dyDescent="0.45">
      <c r="A350" s="12">
        <v>45409</v>
      </c>
      <c r="B350" s="2" t="s">
        <v>15</v>
      </c>
      <c r="C350" s="2" t="s">
        <v>28</v>
      </c>
      <c r="D350" s="2" t="s">
        <v>21</v>
      </c>
      <c r="E350" s="2" t="s">
        <v>18</v>
      </c>
      <c r="F350" s="2">
        <v>182926</v>
      </c>
      <c r="G350" s="2">
        <v>6749</v>
      </c>
      <c r="H350" s="2">
        <v>13093.06</v>
      </c>
      <c r="I350" s="2">
        <v>343</v>
      </c>
      <c r="J350" s="2">
        <v>53279.93</v>
      </c>
      <c r="K350" s="4">
        <f t="shared" si="20"/>
        <v>3.689470058930934E-2</v>
      </c>
      <c r="L350" s="6">
        <f t="shared" si="21"/>
        <v>1.94</v>
      </c>
      <c r="M350" s="6">
        <f t="shared" si="22"/>
        <v>38.172186588921278</v>
      </c>
      <c r="N350" s="8">
        <f t="shared" si="23"/>
        <v>4.0693260399020552</v>
      </c>
    </row>
    <row r="351" spans="1:14" x14ac:dyDescent="0.45">
      <c r="A351" s="12">
        <v>45590</v>
      </c>
      <c r="B351" s="2" t="s">
        <v>35</v>
      </c>
      <c r="C351" s="2" t="s">
        <v>28</v>
      </c>
      <c r="D351" s="2" t="s">
        <v>41</v>
      </c>
      <c r="E351" s="2" t="s">
        <v>51</v>
      </c>
      <c r="F351" s="2">
        <v>107489</v>
      </c>
      <c r="G351" s="2">
        <v>2515</v>
      </c>
      <c r="H351" s="2">
        <v>3521</v>
      </c>
      <c r="I351" s="2">
        <v>166</v>
      </c>
      <c r="J351" s="2">
        <v>18411.150000000001</v>
      </c>
      <c r="K351" s="4">
        <f t="shared" si="20"/>
        <v>2.3397743024867662E-2</v>
      </c>
      <c r="L351" s="6">
        <f t="shared" si="21"/>
        <v>1.4</v>
      </c>
      <c r="M351" s="6">
        <f t="shared" si="22"/>
        <v>21.210843373493976</v>
      </c>
      <c r="N351" s="8">
        <f t="shared" si="23"/>
        <v>5.2289548423743257</v>
      </c>
    </row>
    <row r="352" spans="1:14" x14ac:dyDescent="0.45">
      <c r="A352" s="12">
        <v>45507</v>
      </c>
      <c r="B352" s="2" t="s">
        <v>20</v>
      </c>
      <c r="C352" s="2" t="s">
        <v>16</v>
      </c>
      <c r="D352" s="2" t="s">
        <v>25</v>
      </c>
      <c r="E352" s="2" t="s">
        <v>51</v>
      </c>
      <c r="F352" s="2">
        <v>40709</v>
      </c>
      <c r="G352" s="2">
        <v>1314</v>
      </c>
      <c r="H352" s="2">
        <v>919.8</v>
      </c>
      <c r="I352" s="2">
        <v>90</v>
      </c>
      <c r="J352" s="2">
        <v>16081.05</v>
      </c>
      <c r="K352" s="4">
        <f t="shared" si="20"/>
        <v>3.2277874671448575E-2</v>
      </c>
      <c r="L352" s="6">
        <f t="shared" si="21"/>
        <v>0.7</v>
      </c>
      <c r="M352" s="6">
        <f t="shared" si="22"/>
        <v>10.219999999999999</v>
      </c>
      <c r="N352" s="8">
        <f t="shared" si="23"/>
        <v>17.483202870189171</v>
      </c>
    </row>
    <row r="353" spans="1:14" x14ac:dyDescent="0.45">
      <c r="A353" s="12">
        <v>45559</v>
      </c>
      <c r="B353" s="2" t="s">
        <v>15</v>
      </c>
      <c r="C353" s="2" t="s">
        <v>24</v>
      </c>
      <c r="D353" s="2" t="s">
        <v>17</v>
      </c>
      <c r="E353" s="2" t="s">
        <v>54</v>
      </c>
      <c r="F353" s="2">
        <v>143561</v>
      </c>
      <c r="G353" s="2">
        <v>9144</v>
      </c>
      <c r="H353" s="2">
        <v>17647.919999999998</v>
      </c>
      <c r="I353" s="2">
        <v>630</v>
      </c>
      <c r="J353" s="2">
        <v>123364.05</v>
      </c>
      <c r="K353" s="4">
        <f t="shared" si="20"/>
        <v>6.3694178781145291E-2</v>
      </c>
      <c r="L353" s="6">
        <f t="shared" si="21"/>
        <v>1.9299999999999997</v>
      </c>
      <c r="M353" s="6">
        <f t="shared" si="22"/>
        <v>28.012571428571427</v>
      </c>
      <c r="N353" s="8">
        <f t="shared" si="23"/>
        <v>6.9902883739273536</v>
      </c>
    </row>
    <row r="354" spans="1:14" x14ac:dyDescent="0.45">
      <c r="A354" s="12">
        <v>45375</v>
      </c>
      <c r="B354" s="2" t="s">
        <v>15</v>
      </c>
      <c r="C354" s="2" t="s">
        <v>28</v>
      </c>
      <c r="D354" s="2" t="s">
        <v>17</v>
      </c>
      <c r="E354" s="2" t="s">
        <v>51</v>
      </c>
      <c r="F354" s="2">
        <v>94242</v>
      </c>
      <c r="G354" s="2">
        <v>5466</v>
      </c>
      <c r="H354" s="2">
        <v>9128.2199999999993</v>
      </c>
      <c r="I354" s="2">
        <v>100</v>
      </c>
      <c r="J354" s="2">
        <v>6794.77</v>
      </c>
      <c r="K354" s="4">
        <f t="shared" si="20"/>
        <v>5.7999618004711276E-2</v>
      </c>
      <c r="L354" s="6">
        <f t="shared" si="21"/>
        <v>1.67</v>
      </c>
      <c r="M354" s="6">
        <f t="shared" si="22"/>
        <v>91.282199999999989</v>
      </c>
      <c r="N354" s="8">
        <f t="shared" si="23"/>
        <v>0.74436965804943367</v>
      </c>
    </row>
    <row r="355" spans="1:14" x14ac:dyDescent="0.45">
      <c r="A355" s="12">
        <v>45558</v>
      </c>
      <c r="B355" s="2" t="s">
        <v>15</v>
      </c>
      <c r="C355" s="2" t="s">
        <v>38</v>
      </c>
      <c r="D355" s="2" t="s">
        <v>25</v>
      </c>
      <c r="E355" s="2" t="s">
        <v>18</v>
      </c>
      <c r="F355" s="2">
        <v>111311</v>
      </c>
      <c r="G355" s="2">
        <v>5765</v>
      </c>
      <c r="H355" s="2">
        <v>15623.15</v>
      </c>
      <c r="I355" s="2">
        <v>389</v>
      </c>
      <c r="J355" s="2">
        <v>22317.919999999998</v>
      </c>
      <c r="K355" s="4">
        <f t="shared" si="20"/>
        <v>5.1791826504119093E-2</v>
      </c>
      <c r="L355" s="6">
        <f t="shared" si="21"/>
        <v>2.71</v>
      </c>
      <c r="M355" s="6">
        <f t="shared" si="22"/>
        <v>40.162339331619535</v>
      </c>
      <c r="N355" s="8">
        <f t="shared" si="23"/>
        <v>1.4285160162963295</v>
      </c>
    </row>
    <row r="356" spans="1:14" x14ac:dyDescent="0.45">
      <c r="A356" s="12">
        <v>45559</v>
      </c>
      <c r="B356" s="2" t="s">
        <v>20</v>
      </c>
      <c r="C356" s="2" t="s">
        <v>24</v>
      </c>
      <c r="D356" s="2" t="s">
        <v>17</v>
      </c>
      <c r="E356" s="2" t="s">
        <v>26</v>
      </c>
      <c r="F356" s="2">
        <v>130865</v>
      </c>
      <c r="G356" s="2">
        <v>9461</v>
      </c>
      <c r="H356" s="2">
        <v>14002.28</v>
      </c>
      <c r="I356" s="2">
        <v>221</v>
      </c>
      <c r="J356" s="2">
        <v>46411.13</v>
      </c>
      <c r="K356" s="4">
        <f t="shared" si="20"/>
        <v>7.2295877430940278E-2</v>
      </c>
      <c r="L356" s="6">
        <f t="shared" si="21"/>
        <v>1.48</v>
      </c>
      <c r="M356" s="6">
        <f t="shared" si="22"/>
        <v>63.358733031674213</v>
      </c>
      <c r="N356" s="8">
        <f t="shared" si="23"/>
        <v>3.3145409176219869</v>
      </c>
    </row>
    <row r="357" spans="1:14" x14ac:dyDescent="0.45">
      <c r="A357" s="12">
        <v>45293</v>
      </c>
      <c r="B357" s="2" t="s">
        <v>35</v>
      </c>
      <c r="C357" s="2" t="s">
        <v>24</v>
      </c>
      <c r="D357" s="2" t="s">
        <v>21</v>
      </c>
      <c r="E357" s="2" t="s">
        <v>26</v>
      </c>
      <c r="F357" s="2">
        <v>138639</v>
      </c>
      <c r="G357" s="2">
        <v>2204</v>
      </c>
      <c r="H357" s="2">
        <v>3967.2</v>
      </c>
      <c r="I357" s="2">
        <v>154</v>
      </c>
      <c r="J357" s="2">
        <v>35803.07</v>
      </c>
      <c r="K357" s="4">
        <f t="shared" si="20"/>
        <v>1.5897402606770101E-2</v>
      </c>
      <c r="L357" s="6">
        <f t="shared" si="21"/>
        <v>1.7999999999999998</v>
      </c>
      <c r="M357" s="6">
        <f t="shared" si="22"/>
        <v>25.76103896103896</v>
      </c>
      <c r="N357" s="8">
        <f t="shared" si="23"/>
        <v>9.0247706190764276</v>
      </c>
    </row>
    <row r="358" spans="1:14" x14ac:dyDescent="0.45">
      <c r="A358" s="12">
        <v>45458</v>
      </c>
      <c r="B358" s="2" t="s">
        <v>20</v>
      </c>
      <c r="C358" s="2" t="s">
        <v>28</v>
      </c>
      <c r="D358" s="2" t="s">
        <v>29</v>
      </c>
      <c r="E358" s="2" t="s">
        <v>51</v>
      </c>
      <c r="F358" s="2">
        <v>147355</v>
      </c>
      <c r="G358" s="2">
        <v>7485</v>
      </c>
      <c r="H358" s="2">
        <v>6811.35</v>
      </c>
      <c r="I358" s="2">
        <v>81</v>
      </c>
      <c r="J358" s="2">
        <v>14520.06</v>
      </c>
      <c r="K358" s="4">
        <f t="shared" si="20"/>
        <v>5.0795697465304879E-2</v>
      </c>
      <c r="L358" s="6">
        <f t="shared" si="21"/>
        <v>0.91</v>
      </c>
      <c r="M358" s="6">
        <f t="shared" si="22"/>
        <v>84.090740740740742</v>
      </c>
      <c r="N358" s="8">
        <f t="shared" si="23"/>
        <v>2.1317448082979142</v>
      </c>
    </row>
    <row r="359" spans="1:14" x14ac:dyDescent="0.45">
      <c r="A359" s="12">
        <v>45411</v>
      </c>
      <c r="B359" s="2" t="s">
        <v>35</v>
      </c>
      <c r="C359" s="2" t="s">
        <v>28</v>
      </c>
      <c r="D359" s="2" t="s">
        <v>17</v>
      </c>
      <c r="E359" s="2" t="s">
        <v>22</v>
      </c>
      <c r="F359" s="2">
        <v>26751</v>
      </c>
      <c r="G359" s="2">
        <v>489</v>
      </c>
      <c r="H359" s="2">
        <v>943.77</v>
      </c>
      <c r="I359" s="2">
        <v>8</v>
      </c>
      <c r="J359" s="2">
        <v>791.56</v>
      </c>
      <c r="K359" s="4">
        <f t="shared" si="20"/>
        <v>1.8279690478860602E-2</v>
      </c>
      <c r="L359" s="6">
        <f t="shared" si="21"/>
        <v>1.93</v>
      </c>
      <c r="M359" s="6">
        <f t="shared" si="22"/>
        <v>117.97125</v>
      </c>
      <c r="N359" s="8">
        <f t="shared" si="23"/>
        <v>0.83872129862148614</v>
      </c>
    </row>
    <row r="360" spans="1:14" x14ac:dyDescent="0.45">
      <c r="A360" s="12">
        <v>45316</v>
      </c>
      <c r="B360" s="2" t="s">
        <v>20</v>
      </c>
      <c r="C360" s="2" t="s">
        <v>38</v>
      </c>
      <c r="D360" s="2" t="s">
        <v>29</v>
      </c>
      <c r="E360" s="2" t="s">
        <v>22</v>
      </c>
      <c r="F360" s="2">
        <v>42706</v>
      </c>
      <c r="G360" s="2">
        <v>2084</v>
      </c>
      <c r="H360" s="2">
        <v>3313.56</v>
      </c>
      <c r="I360" s="2">
        <v>35</v>
      </c>
      <c r="J360" s="2">
        <v>4766.32</v>
      </c>
      <c r="K360" s="4">
        <f t="shared" si="20"/>
        <v>4.8798763639769586E-2</v>
      </c>
      <c r="L360" s="6">
        <f t="shared" si="21"/>
        <v>1.59</v>
      </c>
      <c r="M360" s="6">
        <f t="shared" si="22"/>
        <v>94.673142857142849</v>
      </c>
      <c r="N360" s="8">
        <f t="shared" si="23"/>
        <v>1.4384287594007652</v>
      </c>
    </row>
    <row r="361" spans="1:14" x14ac:dyDescent="0.45">
      <c r="A361" s="12">
        <v>45537</v>
      </c>
      <c r="B361" s="2" t="s">
        <v>35</v>
      </c>
      <c r="C361" s="2" t="s">
        <v>24</v>
      </c>
      <c r="D361" s="2" t="s">
        <v>29</v>
      </c>
      <c r="E361" s="2" t="s">
        <v>18</v>
      </c>
      <c r="F361" s="2">
        <v>173337</v>
      </c>
      <c r="G361" s="2">
        <v>3189</v>
      </c>
      <c r="H361" s="2">
        <v>6473.67</v>
      </c>
      <c r="I361" s="2">
        <v>224</v>
      </c>
      <c r="J361" s="2">
        <v>43055.91</v>
      </c>
      <c r="K361" s="4">
        <f t="shared" si="20"/>
        <v>1.8397687741220858E-2</v>
      </c>
      <c r="L361" s="6">
        <f t="shared" si="21"/>
        <v>2.0299999999999998</v>
      </c>
      <c r="M361" s="6">
        <f t="shared" si="22"/>
        <v>28.900312500000002</v>
      </c>
      <c r="N361" s="8">
        <f t="shared" si="23"/>
        <v>6.6509275264262779</v>
      </c>
    </row>
    <row r="362" spans="1:14" x14ac:dyDescent="0.45">
      <c r="A362" s="12">
        <v>45501</v>
      </c>
      <c r="B362" s="2" t="s">
        <v>35</v>
      </c>
      <c r="C362" s="2" t="s">
        <v>28</v>
      </c>
      <c r="D362" s="2" t="s">
        <v>29</v>
      </c>
      <c r="E362" s="2" t="s">
        <v>33</v>
      </c>
      <c r="F362" s="2">
        <v>99948</v>
      </c>
      <c r="G362" s="2">
        <v>1389</v>
      </c>
      <c r="H362" s="2">
        <v>1444.56</v>
      </c>
      <c r="I362" s="2">
        <v>67</v>
      </c>
      <c r="J362" s="2">
        <v>4987.6000000000004</v>
      </c>
      <c r="K362" s="4">
        <f t="shared" si="20"/>
        <v>1.3897226557810061E-2</v>
      </c>
      <c r="L362" s="6">
        <f t="shared" si="21"/>
        <v>1.04</v>
      </c>
      <c r="M362" s="6">
        <f t="shared" si="22"/>
        <v>21.560597014925371</v>
      </c>
      <c r="N362" s="8">
        <f t="shared" si="23"/>
        <v>3.452677631943291</v>
      </c>
    </row>
    <row r="363" spans="1:14" x14ac:dyDescent="0.45">
      <c r="A363" s="12">
        <v>45381</v>
      </c>
      <c r="B363" s="2" t="s">
        <v>15</v>
      </c>
      <c r="C363" s="2" t="s">
        <v>24</v>
      </c>
      <c r="D363" s="2" t="s">
        <v>25</v>
      </c>
      <c r="E363" s="2" t="s">
        <v>33</v>
      </c>
      <c r="F363" s="2">
        <v>65282</v>
      </c>
      <c r="G363" s="2">
        <v>1723</v>
      </c>
      <c r="H363" s="2">
        <v>3290.93</v>
      </c>
      <c r="I363" s="2">
        <v>64</v>
      </c>
      <c r="J363" s="2">
        <v>16624.45</v>
      </c>
      <c r="K363" s="4">
        <f t="shared" si="20"/>
        <v>2.6393186483257253E-2</v>
      </c>
      <c r="L363" s="6">
        <f t="shared" si="21"/>
        <v>1.91</v>
      </c>
      <c r="M363" s="6">
        <f t="shared" si="22"/>
        <v>51.420781249999997</v>
      </c>
      <c r="N363" s="8">
        <f t="shared" si="23"/>
        <v>5.0515963572607143</v>
      </c>
    </row>
    <row r="364" spans="1:14" x14ac:dyDescent="0.45">
      <c r="A364" s="12">
        <v>45323</v>
      </c>
      <c r="B364" s="2" t="s">
        <v>15</v>
      </c>
      <c r="C364" s="2" t="s">
        <v>24</v>
      </c>
      <c r="D364" s="2" t="s">
        <v>21</v>
      </c>
      <c r="E364" s="2" t="s">
        <v>26</v>
      </c>
      <c r="F364" s="2">
        <v>48790</v>
      </c>
      <c r="G364" s="2">
        <v>2824</v>
      </c>
      <c r="H364" s="2">
        <v>3671.2</v>
      </c>
      <c r="I364" s="2">
        <v>178</v>
      </c>
      <c r="J364" s="2">
        <v>37847.71</v>
      </c>
      <c r="K364" s="4">
        <f t="shared" si="20"/>
        <v>5.7880713260914124E-2</v>
      </c>
      <c r="L364" s="6">
        <f t="shared" si="21"/>
        <v>1.3</v>
      </c>
      <c r="M364" s="6">
        <f t="shared" si="22"/>
        <v>20.624719101123596</v>
      </c>
      <c r="N364" s="8">
        <f t="shared" si="23"/>
        <v>10.309356613641317</v>
      </c>
    </row>
    <row r="365" spans="1:14" x14ac:dyDescent="0.45">
      <c r="A365" s="12">
        <v>45489</v>
      </c>
      <c r="B365" s="2" t="s">
        <v>15</v>
      </c>
      <c r="C365" s="2" t="s">
        <v>28</v>
      </c>
      <c r="D365" s="2" t="s">
        <v>21</v>
      </c>
      <c r="E365" s="2" t="s">
        <v>18</v>
      </c>
      <c r="F365" s="2">
        <v>163272</v>
      </c>
      <c r="G365" s="2">
        <v>5551</v>
      </c>
      <c r="H365" s="2">
        <v>12378.73</v>
      </c>
      <c r="I365" s="2">
        <v>135</v>
      </c>
      <c r="J365" s="2">
        <v>38753.89</v>
      </c>
      <c r="K365" s="4">
        <f t="shared" si="20"/>
        <v>3.3998481062276445E-2</v>
      </c>
      <c r="L365" s="6">
        <f t="shared" si="21"/>
        <v>2.23</v>
      </c>
      <c r="M365" s="6">
        <f t="shared" si="22"/>
        <v>91.694296296296287</v>
      </c>
      <c r="N365" s="8">
        <f t="shared" si="23"/>
        <v>3.1306838423650891</v>
      </c>
    </row>
    <row r="366" spans="1:14" x14ac:dyDescent="0.45">
      <c r="A366" s="12">
        <v>45600</v>
      </c>
      <c r="B366" s="2" t="s">
        <v>15</v>
      </c>
      <c r="C366" s="2" t="s">
        <v>24</v>
      </c>
      <c r="D366" s="2" t="s">
        <v>21</v>
      </c>
      <c r="E366" s="2" t="s">
        <v>54</v>
      </c>
      <c r="F366" s="2">
        <v>149233</v>
      </c>
      <c r="G366" s="2">
        <v>3686</v>
      </c>
      <c r="H366" s="2">
        <v>3686</v>
      </c>
      <c r="I366" s="2">
        <v>250</v>
      </c>
      <c r="J366" s="2">
        <v>16524.46</v>
      </c>
      <c r="K366" s="4">
        <f t="shared" si="20"/>
        <v>2.4699630778715162E-2</v>
      </c>
      <c r="L366" s="6">
        <f t="shared" si="21"/>
        <v>1</v>
      </c>
      <c r="M366" s="6">
        <f t="shared" si="22"/>
        <v>14.744</v>
      </c>
      <c r="N366" s="8">
        <f t="shared" si="23"/>
        <v>4.4830330982094413</v>
      </c>
    </row>
    <row r="367" spans="1:14" x14ac:dyDescent="0.45">
      <c r="A367" s="12">
        <v>45349</v>
      </c>
      <c r="B367" s="2" t="s">
        <v>20</v>
      </c>
      <c r="C367" s="2" t="s">
        <v>16</v>
      </c>
      <c r="D367" s="2" t="s">
        <v>29</v>
      </c>
      <c r="E367" s="2" t="s">
        <v>18</v>
      </c>
      <c r="F367" s="2">
        <v>7637</v>
      </c>
      <c r="G367" s="2">
        <v>415</v>
      </c>
      <c r="H367" s="2">
        <v>639.1</v>
      </c>
      <c r="I367" s="2">
        <v>10</v>
      </c>
      <c r="J367" s="2">
        <v>1137.83</v>
      </c>
      <c r="K367" s="4">
        <f t="shared" si="20"/>
        <v>5.4340709702762863E-2</v>
      </c>
      <c r="L367" s="6">
        <f t="shared" si="21"/>
        <v>1.54</v>
      </c>
      <c r="M367" s="6">
        <f t="shared" si="22"/>
        <v>63.910000000000004</v>
      </c>
      <c r="N367" s="8">
        <f t="shared" si="23"/>
        <v>1.7803630104834922</v>
      </c>
    </row>
    <row r="368" spans="1:14" x14ac:dyDescent="0.45">
      <c r="A368" s="12">
        <v>45295</v>
      </c>
      <c r="B368" s="2" t="s">
        <v>15</v>
      </c>
      <c r="C368" s="2" t="s">
        <v>38</v>
      </c>
      <c r="D368" s="2" t="s">
        <v>17</v>
      </c>
      <c r="E368" s="2" t="s">
        <v>22</v>
      </c>
      <c r="F368" s="2">
        <v>20198</v>
      </c>
      <c r="G368" s="2">
        <v>878</v>
      </c>
      <c r="H368" s="2">
        <v>2353.04</v>
      </c>
      <c r="I368" s="2">
        <v>67</v>
      </c>
      <c r="J368" s="2">
        <v>5967.58</v>
      </c>
      <c r="K368" s="4">
        <f t="shared" si="20"/>
        <v>4.3469650460441628E-2</v>
      </c>
      <c r="L368" s="6">
        <f t="shared" si="21"/>
        <v>2.68</v>
      </c>
      <c r="M368" s="6">
        <f t="shared" si="22"/>
        <v>35.119999999999997</v>
      </c>
      <c r="N368" s="8">
        <f t="shared" si="23"/>
        <v>2.536114983170707</v>
      </c>
    </row>
    <row r="369" spans="1:14" x14ac:dyDescent="0.45">
      <c r="A369" s="12">
        <v>45546</v>
      </c>
      <c r="B369" s="2" t="s">
        <v>15</v>
      </c>
      <c r="C369" s="2" t="s">
        <v>16</v>
      </c>
      <c r="D369" s="2" t="s">
        <v>21</v>
      </c>
      <c r="E369" s="2" t="s">
        <v>18</v>
      </c>
      <c r="F369" s="2">
        <v>32675</v>
      </c>
      <c r="G369" s="2">
        <v>941</v>
      </c>
      <c r="H369" s="2">
        <v>1025.69</v>
      </c>
      <c r="I369" s="2">
        <v>47</v>
      </c>
      <c r="J369" s="2">
        <v>12632.32</v>
      </c>
      <c r="K369" s="4">
        <f t="shared" si="20"/>
        <v>2.8798775822494262E-2</v>
      </c>
      <c r="L369" s="6">
        <f t="shared" si="21"/>
        <v>1.0900000000000001</v>
      </c>
      <c r="M369" s="6">
        <f t="shared" si="22"/>
        <v>21.823191489361704</v>
      </c>
      <c r="N369" s="8">
        <f t="shared" si="23"/>
        <v>12.315923914633075</v>
      </c>
    </row>
    <row r="370" spans="1:14" x14ac:dyDescent="0.45">
      <c r="A370" s="12">
        <v>45350</v>
      </c>
      <c r="B370" s="2" t="s">
        <v>15</v>
      </c>
      <c r="C370" s="2" t="s">
        <v>16</v>
      </c>
      <c r="D370" s="2" t="s">
        <v>21</v>
      </c>
      <c r="E370" s="2" t="s">
        <v>26</v>
      </c>
      <c r="F370" s="2">
        <v>116560</v>
      </c>
      <c r="G370" s="2">
        <v>4312</v>
      </c>
      <c r="H370" s="2">
        <v>12030.48</v>
      </c>
      <c r="I370" s="2">
        <v>198</v>
      </c>
      <c r="J370" s="2">
        <v>51746.42</v>
      </c>
      <c r="K370" s="4">
        <f t="shared" si="20"/>
        <v>3.6993822923816061E-2</v>
      </c>
      <c r="L370" s="6">
        <f t="shared" si="21"/>
        <v>2.79</v>
      </c>
      <c r="M370" s="6">
        <f t="shared" si="22"/>
        <v>60.76</v>
      </c>
      <c r="N370" s="8">
        <f t="shared" si="23"/>
        <v>4.3012764245483144</v>
      </c>
    </row>
    <row r="371" spans="1:14" x14ac:dyDescent="0.45">
      <c r="A371" s="12">
        <v>45318</v>
      </c>
      <c r="B371" s="2" t="s">
        <v>35</v>
      </c>
      <c r="C371" s="2" t="s">
        <v>38</v>
      </c>
      <c r="D371" s="2" t="s">
        <v>41</v>
      </c>
      <c r="E371" s="2" t="s">
        <v>54</v>
      </c>
      <c r="F371" s="2">
        <v>176459</v>
      </c>
      <c r="G371" s="2">
        <v>3670</v>
      </c>
      <c r="H371" s="2">
        <v>7009.7</v>
      </c>
      <c r="I371" s="2">
        <v>65</v>
      </c>
      <c r="J371" s="2">
        <v>2483.8000000000002</v>
      </c>
      <c r="K371" s="4">
        <f t="shared" si="20"/>
        <v>2.0798032404127871E-2</v>
      </c>
      <c r="L371" s="6">
        <f t="shared" si="21"/>
        <v>1.91</v>
      </c>
      <c r="M371" s="6">
        <f t="shared" si="22"/>
        <v>107.84153846153846</v>
      </c>
      <c r="N371" s="8">
        <f t="shared" si="23"/>
        <v>0.35433756080859385</v>
      </c>
    </row>
    <row r="372" spans="1:14" x14ac:dyDescent="0.45">
      <c r="A372" s="12">
        <v>45537</v>
      </c>
      <c r="B372" s="2" t="s">
        <v>35</v>
      </c>
      <c r="C372" s="2" t="s">
        <v>28</v>
      </c>
      <c r="D372" s="2" t="s">
        <v>29</v>
      </c>
      <c r="E372" s="2" t="s">
        <v>54</v>
      </c>
      <c r="F372" s="2">
        <v>49980</v>
      </c>
      <c r="G372" s="2">
        <v>1664</v>
      </c>
      <c r="H372" s="2">
        <v>3294.72</v>
      </c>
      <c r="I372" s="2">
        <v>37</v>
      </c>
      <c r="J372" s="2">
        <v>6236.77</v>
      </c>
      <c r="K372" s="4">
        <f t="shared" si="20"/>
        <v>3.329331732693077E-2</v>
      </c>
      <c r="L372" s="6">
        <f t="shared" si="21"/>
        <v>1.98</v>
      </c>
      <c r="M372" s="6">
        <f t="shared" si="22"/>
        <v>89.046486486486486</v>
      </c>
      <c r="N372" s="8">
        <f t="shared" si="23"/>
        <v>1.8929590374902878</v>
      </c>
    </row>
    <row r="373" spans="1:14" x14ac:dyDescent="0.45">
      <c r="A373" s="12">
        <v>45298</v>
      </c>
      <c r="B373" s="2" t="s">
        <v>35</v>
      </c>
      <c r="C373" s="2" t="s">
        <v>24</v>
      </c>
      <c r="D373" s="2" t="s">
        <v>25</v>
      </c>
      <c r="E373" s="2" t="s">
        <v>30</v>
      </c>
      <c r="F373" s="2">
        <v>98944</v>
      </c>
      <c r="G373" s="2">
        <v>1850</v>
      </c>
      <c r="H373" s="2">
        <v>2627</v>
      </c>
      <c r="I373" s="2">
        <v>78</v>
      </c>
      <c r="J373" s="2">
        <v>17285.68</v>
      </c>
      <c r="K373" s="4">
        <f t="shared" si="20"/>
        <v>1.8697445019404915E-2</v>
      </c>
      <c r="L373" s="6">
        <f t="shared" si="21"/>
        <v>1.42</v>
      </c>
      <c r="M373" s="6">
        <f t="shared" si="22"/>
        <v>33.679487179487182</v>
      </c>
      <c r="N373" s="8">
        <f t="shared" si="23"/>
        <v>6.5800076132470497</v>
      </c>
    </row>
    <row r="374" spans="1:14" x14ac:dyDescent="0.45">
      <c r="A374" s="12">
        <v>45383</v>
      </c>
      <c r="B374" s="2" t="s">
        <v>20</v>
      </c>
      <c r="C374" s="2" t="s">
        <v>24</v>
      </c>
      <c r="D374" s="2" t="s">
        <v>25</v>
      </c>
      <c r="E374" s="2" t="s">
        <v>26</v>
      </c>
      <c r="F374" s="2">
        <v>115310</v>
      </c>
      <c r="G374" s="2">
        <v>3205</v>
      </c>
      <c r="H374" s="2">
        <v>3333.2</v>
      </c>
      <c r="I374" s="2">
        <v>134</v>
      </c>
      <c r="J374" s="2">
        <v>14521.43</v>
      </c>
      <c r="K374" s="4">
        <f t="shared" si="20"/>
        <v>2.7794640534212125E-2</v>
      </c>
      <c r="L374" s="6">
        <f t="shared" si="21"/>
        <v>1.04</v>
      </c>
      <c r="M374" s="6">
        <f t="shared" si="22"/>
        <v>24.87462686567164</v>
      </c>
      <c r="N374" s="8">
        <f t="shared" si="23"/>
        <v>4.3566032641305652</v>
      </c>
    </row>
    <row r="375" spans="1:14" x14ac:dyDescent="0.45">
      <c r="A375" s="12">
        <v>45512</v>
      </c>
      <c r="B375" s="2" t="s">
        <v>35</v>
      </c>
      <c r="C375" s="2" t="s">
        <v>16</v>
      </c>
      <c r="D375" s="2" t="s">
        <v>41</v>
      </c>
      <c r="E375" s="2" t="s">
        <v>51</v>
      </c>
      <c r="F375" s="2">
        <v>8626</v>
      </c>
      <c r="G375" s="2">
        <v>242</v>
      </c>
      <c r="H375" s="2">
        <v>273.45999999999998</v>
      </c>
      <c r="I375" s="2">
        <v>18</v>
      </c>
      <c r="J375" s="2">
        <v>3013.54</v>
      </c>
      <c r="K375" s="4">
        <f t="shared" si="20"/>
        <v>2.8054718293531185E-2</v>
      </c>
      <c r="L375" s="6">
        <f t="shared" si="21"/>
        <v>1.1299999999999999</v>
      </c>
      <c r="M375" s="6">
        <f t="shared" si="22"/>
        <v>15.19222222222222</v>
      </c>
      <c r="N375" s="8">
        <f t="shared" si="23"/>
        <v>11.020039493893075</v>
      </c>
    </row>
    <row r="376" spans="1:14" x14ac:dyDescent="0.45">
      <c r="A376" s="12">
        <v>45296</v>
      </c>
      <c r="B376" s="2" t="s">
        <v>35</v>
      </c>
      <c r="C376" s="2" t="s">
        <v>38</v>
      </c>
      <c r="D376" s="2" t="s">
        <v>41</v>
      </c>
      <c r="E376" s="2" t="s">
        <v>30</v>
      </c>
      <c r="F376" s="2">
        <v>88732</v>
      </c>
      <c r="G376" s="2">
        <v>1579</v>
      </c>
      <c r="H376" s="2">
        <v>694.76</v>
      </c>
      <c r="I376" s="2">
        <v>32</v>
      </c>
      <c r="J376" s="2">
        <v>4757.82</v>
      </c>
      <c r="K376" s="4">
        <f t="shared" si="20"/>
        <v>1.7795158454672496E-2</v>
      </c>
      <c r="L376" s="6">
        <f t="shared" si="21"/>
        <v>0.44</v>
      </c>
      <c r="M376" s="6">
        <f t="shared" si="22"/>
        <v>21.71125</v>
      </c>
      <c r="N376" s="8">
        <f t="shared" si="23"/>
        <v>6.848149001093903</v>
      </c>
    </row>
    <row r="377" spans="1:14" x14ac:dyDescent="0.45">
      <c r="A377" s="12">
        <v>45463</v>
      </c>
      <c r="B377" s="2" t="s">
        <v>35</v>
      </c>
      <c r="C377" s="2" t="s">
        <v>24</v>
      </c>
      <c r="D377" s="2" t="s">
        <v>21</v>
      </c>
      <c r="E377" s="2" t="s">
        <v>30</v>
      </c>
      <c r="F377" s="2">
        <v>29502</v>
      </c>
      <c r="G377" s="2">
        <v>604</v>
      </c>
      <c r="H377" s="2">
        <v>972.44</v>
      </c>
      <c r="I377" s="2">
        <v>30</v>
      </c>
      <c r="J377" s="2">
        <v>5842.59</v>
      </c>
      <c r="K377" s="4">
        <f t="shared" si="20"/>
        <v>2.0473188258423158E-2</v>
      </c>
      <c r="L377" s="6">
        <f t="shared" si="21"/>
        <v>1.61</v>
      </c>
      <c r="M377" s="6">
        <f t="shared" si="22"/>
        <v>32.414666666666669</v>
      </c>
      <c r="N377" s="8">
        <f t="shared" si="23"/>
        <v>6.0081753115873475</v>
      </c>
    </row>
    <row r="378" spans="1:14" x14ac:dyDescent="0.45">
      <c r="A378" s="12">
        <v>45549</v>
      </c>
      <c r="B378" s="2" t="s">
        <v>20</v>
      </c>
      <c r="C378" s="2" t="s">
        <v>16</v>
      </c>
      <c r="D378" s="2" t="s">
        <v>41</v>
      </c>
      <c r="E378" s="2" t="s">
        <v>33</v>
      </c>
      <c r="F378" s="2">
        <v>198085</v>
      </c>
      <c r="G378" s="2">
        <v>14460</v>
      </c>
      <c r="H378" s="2">
        <v>11857.2</v>
      </c>
      <c r="I378" s="2">
        <v>1133</v>
      </c>
      <c r="J378" s="2">
        <v>295028.26</v>
      </c>
      <c r="K378" s="4">
        <f t="shared" si="20"/>
        <v>7.299896509074387E-2</v>
      </c>
      <c r="L378" s="6">
        <f t="shared" si="21"/>
        <v>0.82000000000000006</v>
      </c>
      <c r="M378" s="6">
        <f t="shared" si="22"/>
        <v>10.46531332744925</v>
      </c>
      <c r="N378" s="8">
        <f t="shared" si="23"/>
        <v>24.88178153358297</v>
      </c>
    </row>
    <row r="379" spans="1:14" x14ac:dyDescent="0.45">
      <c r="A379" s="12">
        <v>45487</v>
      </c>
      <c r="B379" s="2" t="s">
        <v>35</v>
      </c>
      <c r="C379" s="2" t="s">
        <v>28</v>
      </c>
      <c r="D379" s="2" t="s">
        <v>25</v>
      </c>
      <c r="E379" s="2" t="s">
        <v>26</v>
      </c>
      <c r="F379" s="2">
        <v>111802</v>
      </c>
      <c r="G379" s="2">
        <v>2247</v>
      </c>
      <c r="H379" s="2">
        <v>3707.55</v>
      </c>
      <c r="I379" s="2">
        <v>163</v>
      </c>
      <c r="J379" s="2">
        <v>6163.84</v>
      </c>
      <c r="K379" s="4">
        <f t="shared" si="20"/>
        <v>2.0098030446682527E-2</v>
      </c>
      <c r="L379" s="6">
        <f t="shared" si="21"/>
        <v>1.6500000000000001</v>
      </c>
      <c r="M379" s="6">
        <f t="shared" si="22"/>
        <v>22.745705521472395</v>
      </c>
      <c r="N379" s="8">
        <f t="shared" si="23"/>
        <v>1.6625102830710308</v>
      </c>
    </row>
    <row r="380" spans="1:14" x14ac:dyDescent="0.45">
      <c r="A380" s="12">
        <v>45505</v>
      </c>
      <c r="B380" s="2" t="s">
        <v>15</v>
      </c>
      <c r="C380" s="2" t="s">
        <v>28</v>
      </c>
      <c r="D380" s="2" t="s">
        <v>21</v>
      </c>
      <c r="E380" s="2" t="s">
        <v>18</v>
      </c>
      <c r="F380" s="2">
        <v>65186</v>
      </c>
      <c r="G380" s="2">
        <v>1955</v>
      </c>
      <c r="H380" s="2">
        <v>4418.3</v>
      </c>
      <c r="I380" s="2">
        <v>89</v>
      </c>
      <c r="J380" s="2">
        <v>13375.79</v>
      </c>
      <c r="K380" s="4">
        <f t="shared" si="20"/>
        <v>2.9991102383947473E-2</v>
      </c>
      <c r="L380" s="6">
        <f t="shared" si="21"/>
        <v>2.2600000000000002</v>
      </c>
      <c r="M380" s="6">
        <f t="shared" si="22"/>
        <v>49.6438202247191</v>
      </c>
      <c r="N380" s="8">
        <f t="shared" si="23"/>
        <v>3.0273612022723673</v>
      </c>
    </row>
    <row r="381" spans="1:14" x14ac:dyDescent="0.45">
      <c r="A381" s="12">
        <v>45458</v>
      </c>
      <c r="B381" s="2" t="s">
        <v>20</v>
      </c>
      <c r="C381" s="2" t="s">
        <v>24</v>
      </c>
      <c r="D381" s="2" t="s">
        <v>21</v>
      </c>
      <c r="E381" s="2" t="s">
        <v>22</v>
      </c>
      <c r="F381" s="2">
        <v>101176</v>
      </c>
      <c r="G381" s="2">
        <v>6505</v>
      </c>
      <c r="H381" s="2">
        <v>6244.8</v>
      </c>
      <c r="I381" s="2">
        <v>459</v>
      </c>
      <c r="J381" s="2">
        <v>44008.34</v>
      </c>
      <c r="K381" s="4">
        <f t="shared" si="20"/>
        <v>6.4293903692575316E-2</v>
      </c>
      <c r="L381" s="6">
        <f t="shared" si="21"/>
        <v>0.96000000000000008</v>
      </c>
      <c r="M381" s="6">
        <f t="shared" si="22"/>
        <v>13.605228758169934</v>
      </c>
      <c r="N381" s="8">
        <f t="shared" si="23"/>
        <v>7.047197668460158</v>
      </c>
    </row>
    <row r="382" spans="1:14" x14ac:dyDescent="0.45">
      <c r="A382" s="12">
        <v>45511</v>
      </c>
      <c r="B382" s="2" t="s">
        <v>20</v>
      </c>
      <c r="C382" s="2" t="s">
        <v>24</v>
      </c>
      <c r="D382" s="2" t="s">
        <v>29</v>
      </c>
      <c r="E382" s="2" t="s">
        <v>18</v>
      </c>
      <c r="F382" s="2">
        <v>41307</v>
      </c>
      <c r="G382" s="2">
        <v>1367</v>
      </c>
      <c r="H382" s="2">
        <v>779.19</v>
      </c>
      <c r="I382" s="2">
        <v>92</v>
      </c>
      <c r="J382" s="2">
        <v>6211.99</v>
      </c>
      <c r="K382" s="4">
        <f t="shared" si="20"/>
        <v>3.3093664512068174E-2</v>
      </c>
      <c r="L382" s="6">
        <f t="shared" si="21"/>
        <v>0.57000000000000006</v>
      </c>
      <c r="M382" s="6">
        <f t="shared" si="22"/>
        <v>8.4694565217391311</v>
      </c>
      <c r="N382" s="8">
        <f t="shared" si="23"/>
        <v>7.9723687418986371</v>
      </c>
    </row>
    <row r="383" spans="1:14" x14ac:dyDescent="0.45">
      <c r="A383" s="12">
        <v>45424</v>
      </c>
      <c r="B383" s="2" t="s">
        <v>35</v>
      </c>
      <c r="C383" s="2" t="s">
        <v>24</v>
      </c>
      <c r="D383" s="2" t="s">
        <v>21</v>
      </c>
      <c r="E383" s="2" t="s">
        <v>22</v>
      </c>
      <c r="F383" s="2">
        <v>174579</v>
      </c>
      <c r="G383" s="2">
        <v>3247</v>
      </c>
      <c r="H383" s="2">
        <v>4318.51</v>
      </c>
      <c r="I383" s="2">
        <v>187</v>
      </c>
      <c r="J383" s="2">
        <v>41760.07</v>
      </c>
      <c r="K383" s="4">
        <f t="shared" si="20"/>
        <v>1.85990296656528E-2</v>
      </c>
      <c r="L383" s="6">
        <f t="shared" si="21"/>
        <v>1.33</v>
      </c>
      <c r="M383" s="6">
        <f t="shared" si="22"/>
        <v>23.093636363636364</v>
      </c>
      <c r="N383" s="8">
        <f t="shared" si="23"/>
        <v>9.6700181312536024</v>
      </c>
    </row>
    <row r="384" spans="1:14" x14ac:dyDescent="0.45">
      <c r="A384" s="12">
        <v>45336</v>
      </c>
      <c r="B384" s="2" t="s">
        <v>35</v>
      </c>
      <c r="C384" s="2" t="s">
        <v>24</v>
      </c>
      <c r="D384" s="2" t="s">
        <v>29</v>
      </c>
      <c r="E384" s="2" t="s">
        <v>51</v>
      </c>
      <c r="F384" s="2">
        <v>83137</v>
      </c>
      <c r="G384" s="2">
        <v>2045</v>
      </c>
      <c r="H384" s="2">
        <v>2065.4499999999998</v>
      </c>
      <c r="I384" s="2">
        <v>37</v>
      </c>
      <c r="J384" s="2">
        <v>1798.59</v>
      </c>
      <c r="K384" s="4">
        <f t="shared" si="20"/>
        <v>2.4597952776742003E-2</v>
      </c>
      <c r="L384" s="6">
        <f t="shared" si="21"/>
        <v>1.01</v>
      </c>
      <c r="M384" s="6">
        <f t="shared" si="22"/>
        <v>55.82297297297297</v>
      </c>
      <c r="N384" s="8">
        <f t="shared" si="23"/>
        <v>0.87079813115785909</v>
      </c>
    </row>
    <row r="385" spans="1:14" x14ac:dyDescent="0.45">
      <c r="A385" s="12">
        <v>45295</v>
      </c>
      <c r="B385" s="2" t="s">
        <v>35</v>
      </c>
      <c r="C385" s="2" t="s">
        <v>16</v>
      </c>
      <c r="D385" s="2" t="s">
        <v>25</v>
      </c>
      <c r="E385" s="2" t="s">
        <v>22</v>
      </c>
      <c r="F385" s="2">
        <v>122897</v>
      </c>
      <c r="G385" s="2">
        <v>2040</v>
      </c>
      <c r="H385" s="2">
        <v>1570.8</v>
      </c>
      <c r="I385" s="2">
        <v>159</v>
      </c>
      <c r="J385" s="2">
        <v>45753.83</v>
      </c>
      <c r="K385" s="4">
        <f t="shared" si="20"/>
        <v>1.6599266052059854E-2</v>
      </c>
      <c r="L385" s="6">
        <f t="shared" si="21"/>
        <v>0.77</v>
      </c>
      <c r="M385" s="6">
        <f t="shared" si="22"/>
        <v>9.879245283018868</v>
      </c>
      <c r="N385" s="8">
        <f t="shared" si="23"/>
        <v>29.12772472625414</v>
      </c>
    </row>
    <row r="386" spans="1:14" x14ac:dyDescent="0.45">
      <c r="A386" s="12">
        <v>45582</v>
      </c>
      <c r="B386" s="2" t="s">
        <v>20</v>
      </c>
      <c r="C386" s="2" t="s">
        <v>16</v>
      </c>
      <c r="D386" s="2" t="s">
        <v>25</v>
      </c>
      <c r="E386" s="2" t="s">
        <v>51</v>
      </c>
      <c r="F386" s="2">
        <v>47462</v>
      </c>
      <c r="G386" s="2">
        <v>1803</v>
      </c>
      <c r="H386" s="2">
        <v>955.59</v>
      </c>
      <c r="I386" s="2">
        <v>98</v>
      </c>
      <c r="J386" s="2">
        <v>29213.279999999999</v>
      </c>
      <c r="K386" s="4">
        <f t="shared" si="20"/>
        <v>3.7988285365134211E-2</v>
      </c>
      <c r="L386" s="6">
        <f t="shared" si="21"/>
        <v>0.53</v>
      </c>
      <c r="M386" s="6">
        <f t="shared" si="22"/>
        <v>9.7509183673469391</v>
      </c>
      <c r="N386" s="8">
        <f t="shared" si="23"/>
        <v>30.570935233729944</v>
      </c>
    </row>
    <row r="387" spans="1:14" x14ac:dyDescent="0.45">
      <c r="A387" s="12">
        <v>45462</v>
      </c>
      <c r="B387" s="2" t="s">
        <v>20</v>
      </c>
      <c r="C387" s="2" t="s">
        <v>38</v>
      </c>
      <c r="D387" s="2" t="s">
        <v>21</v>
      </c>
      <c r="E387" s="2" t="s">
        <v>30</v>
      </c>
      <c r="F387" s="2">
        <v>99202</v>
      </c>
      <c r="G387" s="2">
        <v>6428</v>
      </c>
      <c r="H387" s="2">
        <v>9899.1200000000008</v>
      </c>
      <c r="I387" s="2">
        <v>165</v>
      </c>
      <c r="J387" s="2">
        <v>34456.26</v>
      </c>
      <c r="K387" s="4">
        <f t="shared" ref="K387:K450" si="24" xml:space="preserve"> G387 / F387</f>
        <v>6.4797080704018059E-2</v>
      </c>
      <c r="L387" s="6">
        <f t="shared" ref="L387:L450" si="25">H387/G387</f>
        <v>1.54</v>
      </c>
      <c r="M387" s="6">
        <f t="shared" ref="M387:M450" si="26">H387/I387</f>
        <v>59.994666666666674</v>
      </c>
      <c r="N387" s="8">
        <f t="shared" ref="N387:N450" si="27">J387/H387</f>
        <v>3.4807397021149353</v>
      </c>
    </row>
    <row r="388" spans="1:14" x14ac:dyDescent="0.45">
      <c r="A388" s="12">
        <v>45348</v>
      </c>
      <c r="B388" s="2" t="s">
        <v>35</v>
      </c>
      <c r="C388" s="2" t="s">
        <v>28</v>
      </c>
      <c r="D388" s="2" t="s">
        <v>29</v>
      </c>
      <c r="E388" s="2" t="s">
        <v>26</v>
      </c>
      <c r="F388" s="2">
        <v>125871</v>
      </c>
      <c r="G388" s="2">
        <v>3083</v>
      </c>
      <c r="H388" s="2">
        <v>5302.76</v>
      </c>
      <c r="I388" s="2">
        <v>185</v>
      </c>
      <c r="J388" s="2">
        <v>27759.15</v>
      </c>
      <c r="K388" s="4">
        <f t="shared" si="24"/>
        <v>2.4493330473262308E-2</v>
      </c>
      <c r="L388" s="6">
        <f t="shared" si="25"/>
        <v>1.72</v>
      </c>
      <c r="M388" s="6">
        <f t="shared" si="26"/>
        <v>28.663567567567569</v>
      </c>
      <c r="N388" s="8">
        <f t="shared" si="27"/>
        <v>5.2348493991808036</v>
      </c>
    </row>
    <row r="389" spans="1:14" x14ac:dyDescent="0.45">
      <c r="A389" s="12">
        <v>45361</v>
      </c>
      <c r="B389" s="2" t="s">
        <v>15</v>
      </c>
      <c r="C389" s="2" t="s">
        <v>16</v>
      </c>
      <c r="D389" s="2" t="s">
        <v>25</v>
      </c>
      <c r="E389" s="2" t="s">
        <v>22</v>
      </c>
      <c r="F389" s="2">
        <v>8880</v>
      </c>
      <c r="G389" s="2">
        <v>216</v>
      </c>
      <c r="H389" s="2">
        <v>444.96</v>
      </c>
      <c r="I389" s="2">
        <v>6</v>
      </c>
      <c r="J389" s="2">
        <v>1186.19</v>
      </c>
      <c r="K389" s="4">
        <f t="shared" si="24"/>
        <v>2.4324324324324326E-2</v>
      </c>
      <c r="L389" s="6">
        <f t="shared" si="25"/>
        <v>2.06</v>
      </c>
      <c r="M389" s="6">
        <f t="shared" si="26"/>
        <v>74.16</v>
      </c>
      <c r="N389" s="8">
        <f t="shared" si="27"/>
        <v>2.6658351312477531</v>
      </c>
    </row>
    <row r="390" spans="1:14" x14ac:dyDescent="0.45">
      <c r="A390" s="12">
        <v>45626</v>
      </c>
      <c r="B390" s="2" t="s">
        <v>15</v>
      </c>
      <c r="C390" s="2" t="s">
        <v>28</v>
      </c>
      <c r="D390" s="2" t="s">
        <v>21</v>
      </c>
      <c r="E390" s="2" t="s">
        <v>26</v>
      </c>
      <c r="F390" s="2">
        <v>156388</v>
      </c>
      <c r="G390" s="2">
        <v>7021</v>
      </c>
      <c r="H390" s="2">
        <v>11514.44</v>
      </c>
      <c r="I390" s="2">
        <v>315</v>
      </c>
      <c r="J390" s="2">
        <v>34670.519999999997</v>
      </c>
      <c r="K390" s="4">
        <f t="shared" si="24"/>
        <v>4.489474895772054E-2</v>
      </c>
      <c r="L390" s="6">
        <f t="shared" si="25"/>
        <v>1.6400000000000001</v>
      </c>
      <c r="M390" s="6">
        <f t="shared" si="26"/>
        <v>36.553777777777782</v>
      </c>
      <c r="N390" s="8">
        <f t="shared" si="27"/>
        <v>3.0110469983776889</v>
      </c>
    </row>
    <row r="391" spans="1:14" x14ac:dyDescent="0.45">
      <c r="A391" s="12">
        <v>45378</v>
      </c>
      <c r="B391" s="2" t="s">
        <v>15</v>
      </c>
      <c r="C391" s="2" t="s">
        <v>24</v>
      </c>
      <c r="D391" s="2" t="s">
        <v>21</v>
      </c>
      <c r="E391" s="2" t="s">
        <v>22</v>
      </c>
      <c r="F391" s="2">
        <v>109672</v>
      </c>
      <c r="G391" s="2">
        <v>2675</v>
      </c>
      <c r="H391" s="2">
        <v>6821.25</v>
      </c>
      <c r="I391" s="2">
        <v>50</v>
      </c>
      <c r="J391" s="2">
        <v>11521.03</v>
      </c>
      <c r="K391" s="4">
        <f t="shared" si="24"/>
        <v>2.4390911080312203E-2</v>
      </c>
      <c r="L391" s="6">
        <f t="shared" si="25"/>
        <v>2.5499999999999998</v>
      </c>
      <c r="M391" s="6">
        <f t="shared" si="26"/>
        <v>136.42500000000001</v>
      </c>
      <c r="N391" s="8">
        <f t="shared" si="27"/>
        <v>1.6889910207073484</v>
      </c>
    </row>
    <row r="392" spans="1:14" x14ac:dyDescent="0.45">
      <c r="A392" s="12">
        <v>45419</v>
      </c>
      <c r="B392" s="2" t="s">
        <v>35</v>
      </c>
      <c r="C392" s="2" t="s">
        <v>38</v>
      </c>
      <c r="D392" s="2" t="s">
        <v>29</v>
      </c>
      <c r="E392" s="2" t="s">
        <v>18</v>
      </c>
      <c r="F392" s="2">
        <v>70030</v>
      </c>
      <c r="G392" s="2">
        <v>1470</v>
      </c>
      <c r="H392" s="2">
        <v>2469.6</v>
      </c>
      <c r="I392" s="2">
        <v>90</v>
      </c>
      <c r="J392" s="2">
        <v>9384.9</v>
      </c>
      <c r="K392" s="4">
        <f t="shared" si="24"/>
        <v>2.0991003855490502E-2</v>
      </c>
      <c r="L392" s="6">
        <f t="shared" si="25"/>
        <v>1.68</v>
      </c>
      <c r="M392" s="6">
        <f t="shared" si="26"/>
        <v>27.439999999999998</v>
      </c>
      <c r="N392" s="8">
        <f t="shared" si="27"/>
        <v>3.800170068027211</v>
      </c>
    </row>
    <row r="393" spans="1:14" x14ac:dyDescent="0.45">
      <c r="A393" s="12">
        <v>45294</v>
      </c>
      <c r="B393" s="2" t="s">
        <v>35</v>
      </c>
      <c r="C393" s="2" t="s">
        <v>24</v>
      </c>
      <c r="D393" s="2" t="s">
        <v>21</v>
      </c>
      <c r="E393" s="2" t="s">
        <v>51</v>
      </c>
      <c r="F393" s="2">
        <v>149375</v>
      </c>
      <c r="G393" s="2">
        <v>6109</v>
      </c>
      <c r="H393" s="2">
        <v>13317.62</v>
      </c>
      <c r="I393" s="2">
        <v>89</v>
      </c>
      <c r="J393" s="2">
        <v>22418.799999999999</v>
      </c>
      <c r="K393" s="4">
        <f t="shared" si="24"/>
        <v>4.0897071129707113E-2</v>
      </c>
      <c r="L393" s="6">
        <f t="shared" si="25"/>
        <v>2.1800000000000002</v>
      </c>
      <c r="M393" s="6">
        <f t="shared" si="26"/>
        <v>149.63617977528091</v>
      </c>
      <c r="N393" s="8">
        <f t="shared" si="27"/>
        <v>1.6833938796872112</v>
      </c>
    </row>
    <row r="394" spans="1:14" x14ac:dyDescent="0.45">
      <c r="A394" s="12">
        <v>45450</v>
      </c>
      <c r="B394" s="2" t="s">
        <v>35</v>
      </c>
      <c r="C394" s="2" t="s">
        <v>16</v>
      </c>
      <c r="D394" s="2" t="s">
        <v>17</v>
      </c>
      <c r="E394" s="2" t="s">
        <v>33</v>
      </c>
      <c r="F394" s="2">
        <v>123171</v>
      </c>
      <c r="G394" s="2">
        <v>3756</v>
      </c>
      <c r="H394" s="2">
        <v>6986.16</v>
      </c>
      <c r="I394" s="2">
        <v>52</v>
      </c>
      <c r="J394" s="2">
        <v>7553.6</v>
      </c>
      <c r="K394" s="4">
        <f t="shared" si="24"/>
        <v>3.0494191002752271E-2</v>
      </c>
      <c r="L394" s="6">
        <f t="shared" si="25"/>
        <v>1.8599999999999999</v>
      </c>
      <c r="M394" s="6">
        <f t="shared" si="26"/>
        <v>134.34923076923076</v>
      </c>
      <c r="N394" s="8">
        <f t="shared" si="27"/>
        <v>1.0812234475019182</v>
      </c>
    </row>
    <row r="395" spans="1:14" x14ac:dyDescent="0.45">
      <c r="A395" s="12">
        <v>45367</v>
      </c>
      <c r="B395" s="2" t="s">
        <v>35</v>
      </c>
      <c r="C395" s="2" t="s">
        <v>16</v>
      </c>
      <c r="D395" s="2" t="s">
        <v>29</v>
      </c>
      <c r="E395" s="2" t="s">
        <v>22</v>
      </c>
      <c r="F395" s="2">
        <v>52779</v>
      </c>
      <c r="G395" s="2">
        <v>596</v>
      </c>
      <c r="H395" s="2">
        <v>649.64</v>
      </c>
      <c r="I395" s="2">
        <v>35</v>
      </c>
      <c r="J395" s="2">
        <v>3583.95</v>
      </c>
      <c r="K395" s="4">
        <f t="shared" si="24"/>
        <v>1.1292370071429924E-2</v>
      </c>
      <c r="L395" s="6">
        <f t="shared" si="25"/>
        <v>1.0900000000000001</v>
      </c>
      <c r="M395" s="6">
        <f t="shared" si="26"/>
        <v>18.561142857142858</v>
      </c>
      <c r="N395" s="8">
        <f t="shared" si="27"/>
        <v>5.5168247029123823</v>
      </c>
    </row>
    <row r="396" spans="1:14" x14ac:dyDescent="0.45">
      <c r="A396" s="12">
        <v>45435</v>
      </c>
      <c r="B396" s="2" t="s">
        <v>15</v>
      </c>
      <c r="C396" s="2" t="s">
        <v>38</v>
      </c>
      <c r="D396" s="2" t="s">
        <v>17</v>
      </c>
      <c r="E396" s="2" t="s">
        <v>26</v>
      </c>
      <c r="F396" s="2">
        <v>117036</v>
      </c>
      <c r="G396" s="2">
        <v>3569</v>
      </c>
      <c r="H396" s="2">
        <v>7601.97</v>
      </c>
      <c r="I396" s="2">
        <v>178</v>
      </c>
      <c r="J396" s="2">
        <v>11935.14</v>
      </c>
      <c r="K396" s="4">
        <f t="shared" si="24"/>
        <v>3.0494890461054719E-2</v>
      </c>
      <c r="L396" s="6">
        <f t="shared" si="25"/>
        <v>2.13</v>
      </c>
      <c r="M396" s="6">
        <f t="shared" si="26"/>
        <v>42.707696629213487</v>
      </c>
      <c r="N396" s="8">
        <f t="shared" si="27"/>
        <v>1.5700061957624141</v>
      </c>
    </row>
    <row r="397" spans="1:14" x14ac:dyDescent="0.45">
      <c r="A397" s="12">
        <v>45490</v>
      </c>
      <c r="B397" s="2" t="s">
        <v>20</v>
      </c>
      <c r="C397" s="2" t="s">
        <v>28</v>
      </c>
      <c r="D397" s="2" t="s">
        <v>41</v>
      </c>
      <c r="E397" s="2" t="s">
        <v>18</v>
      </c>
      <c r="F397" s="2">
        <v>177517</v>
      </c>
      <c r="G397" s="2">
        <v>13917</v>
      </c>
      <c r="H397" s="2">
        <v>12664.47</v>
      </c>
      <c r="I397" s="2">
        <v>671</v>
      </c>
      <c r="J397" s="2">
        <v>36680.47</v>
      </c>
      <c r="K397" s="4">
        <f t="shared" si="24"/>
        <v>7.8398125249976053E-2</v>
      </c>
      <c r="L397" s="6">
        <f t="shared" si="25"/>
        <v>0.90999999999999992</v>
      </c>
      <c r="M397" s="6">
        <f t="shared" si="26"/>
        <v>18.87402384500745</v>
      </c>
      <c r="N397" s="8">
        <f t="shared" si="27"/>
        <v>2.8963288633476174</v>
      </c>
    </row>
    <row r="398" spans="1:14" x14ac:dyDescent="0.45">
      <c r="A398" s="12">
        <v>45656</v>
      </c>
      <c r="B398" s="2" t="s">
        <v>20</v>
      </c>
      <c r="C398" s="2" t="s">
        <v>16</v>
      </c>
      <c r="D398" s="2" t="s">
        <v>21</v>
      </c>
      <c r="E398" s="2" t="s">
        <v>30</v>
      </c>
      <c r="F398" s="2">
        <v>196349</v>
      </c>
      <c r="G398" s="2">
        <v>8325</v>
      </c>
      <c r="H398" s="2">
        <v>5744.25</v>
      </c>
      <c r="I398" s="2">
        <v>398</v>
      </c>
      <c r="J398" s="2">
        <v>42464.91</v>
      </c>
      <c r="K398" s="4">
        <f t="shared" si="24"/>
        <v>4.2398993628691768E-2</v>
      </c>
      <c r="L398" s="6">
        <f t="shared" si="25"/>
        <v>0.69</v>
      </c>
      <c r="M398" s="6">
        <f t="shared" si="26"/>
        <v>14.432788944723619</v>
      </c>
      <c r="N398" s="8">
        <f t="shared" si="27"/>
        <v>7.392594333463899</v>
      </c>
    </row>
    <row r="399" spans="1:14" x14ac:dyDescent="0.45">
      <c r="A399" s="12">
        <v>45596</v>
      </c>
      <c r="B399" s="2" t="s">
        <v>20</v>
      </c>
      <c r="C399" s="2" t="s">
        <v>16</v>
      </c>
      <c r="D399" s="2" t="s">
        <v>29</v>
      </c>
      <c r="E399" s="2" t="s">
        <v>18</v>
      </c>
      <c r="F399" s="2">
        <v>174898</v>
      </c>
      <c r="G399" s="2">
        <v>13029</v>
      </c>
      <c r="H399" s="2">
        <v>16416.54</v>
      </c>
      <c r="I399" s="2">
        <v>822</v>
      </c>
      <c r="J399" s="2">
        <v>162206.84</v>
      </c>
      <c r="K399" s="4">
        <f t="shared" si="24"/>
        <v>7.4494848425939689E-2</v>
      </c>
      <c r="L399" s="6">
        <f t="shared" si="25"/>
        <v>1.26</v>
      </c>
      <c r="M399" s="6">
        <f t="shared" si="26"/>
        <v>19.971459854014601</v>
      </c>
      <c r="N399" s="8">
        <f t="shared" si="27"/>
        <v>9.8806959322731824</v>
      </c>
    </row>
    <row r="400" spans="1:14" x14ac:dyDescent="0.45">
      <c r="A400" s="12">
        <v>45473</v>
      </c>
      <c r="B400" s="2" t="s">
        <v>15</v>
      </c>
      <c r="C400" s="2" t="s">
        <v>38</v>
      </c>
      <c r="D400" s="2" t="s">
        <v>21</v>
      </c>
      <c r="E400" s="2" t="s">
        <v>26</v>
      </c>
      <c r="F400" s="2">
        <v>83972</v>
      </c>
      <c r="G400" s="2">
        <v>4903</v>
      </c>
      <c r="H400" s="2">
        <v>14218.7</v>
      </c>
      <c r="I400" s="2">
        <v>341</v>
      </c>
      <c r="J400" s="2">
        <v>36574.449999999997</v>
      </c>
      <c r="K400" s="4">
        <f t="shared" si="24"/>
        <v>5.8388510455866238E-2</v>
      </c>
      <c r="L400" s="6">
        <f t="shared" si="25"/>
        <v>2.9000000000000004</v>
      </c>
      <c r="M400" s="6">
        <f t="shared" si="26"/>
        <v>41.697067448680357</v>
      </c>
      <c r="N400" s="8">
        <f t="shared" si="27"/>
        <v>2.5722780563623955</v>
      </c>
    </row>
    <row r="401" spans="1:14" x14ac:dyDescent="0.45">
      <c r="A401" s="12">
        <v>45408</v>
      </c>
      <c r="B401" s="2" t="s">
        <v>35</v>
      </c>
      <c r="C401" s="2" t="s">
        <v>16</v>
      </c>
      <c r="D401" s="2" t="s">
        <v>17</v>
      </c>
      <c r="E401" s="2" t="s">
        <v>26</v>
      </c>
      <c r="F401" s="2">
        <v>165371</v>
      </c>
      <c r="G401" s="2">
        <v>2993</v>
      </c>
      <c r="H401" s="2">
        <v>4519.43</v>
      </c>
      <c r="I401" s="2">
        <v>32</v>
      </c>
      <c r="J401" s="2">
        <v>8918.68</v>
      </c>
      <c r="K401" s="4">
        <f t="shared" si="24"/>
        <v>1.8098699288266986E-2</v>
      </c>
      <c r="L401" s="6">
        <f t="shared" si="25"/>
        <v>1.51</v>
      </c>
      <c r="M401" s="6">
        <f t="shared" si="26"/>
        <v>141.23218750000001</v>
      </c>
      <c r="N401" s="8">
        <f t="shared" si="27"/>
        <v>1.9734081510278951</v>
      </c>
    </row>
    <row r="402" spans="1:14" x14ac:dyDescent="0.45">
      <c r="A402" s="12">
        <v>45534</v>
      </c>
      <c r="B402" s="2" t="s">
        <v>20</v>
      </c>
      <c r="C402" s="2" t="s">
        <v>28</v>
      </c>
      <c r="D402" s="2" t="s">
        <v>17</v>
      </c>
      <c r="E402" s="2" t="s">
        <v>26</v>
      </c>
      <c r="F402" s="2">
        <v>133949</v>
      </c>
      <c r="G402" s="2">
        <v>7219</v>
      </c>
      <c r="H402" s="2">
        <v>10972.88</v>
      </c>
      <c r="I402" s="2">
        <v>73</v>
      </c>
      <c r="J402" s="2">
        <v>21583.279999999999</v>
      </c>
      <c r="K402" s="4">
        <f t="shared" si="24"/>
        <v>5.3893646089183199E-2</v>
      </c>
      <c r="L402" s="6">
        <f t="shared" si="25"/>
        <v>1.5199999999999998</v>
      </c>
      <c r="M402" s="6">
        <f t="shared" si="26"/>
        <v>150.31342465753423</v>
      </c>
      <c r="N402" s="8">
        <f t="shared" si="27"/>
        <v>1.9669658284789409</v>
      </c>
    </row>
    <row r="403" spans="1:14" x14ac:dyDescent="0.45">
      <c r="A403" s="12">
        <v>45550</v>
      </c>
      <c r="B403" s="2" t="s">
        <v>20</v>
      </c>
      <c r="C403" s="2" t="s">
        <v>38</v>
      </c>
      <c r="D403" s="2" t="s">
        <v>17</v>
      </c>
      <c r="E403" s="2" t="s">
        <v>54</v>
      </c>
      <c r="F403" s="2">
        <v>105400</v>
      </c>
      <c r="G403" s="2">
        <v>7704</v>
      </c>
      <c r="H403" s="2">
        <v>8551.44</v>
      </c>
      <c r="I403" s="2">
        <v>442</v>
      </c>
      <c r="J403" s="2">
        <v>49251.38</v>
      </c>
      <c r="K403" s="4">
        <f t="shared" si="24"/>
        <v>7.3092979127134722E-2</v>
      </c>
      <c r="L403" s="6">
        <f t="shared" si="25"/>
        <v>1.1100000000000001</v>
      </c>
      <c r="M403" s="6">
        <f t="shared" si="26"/>
        <v>19.347149321266969</v>
      </c>
      <c r="N403" s="8">
        <f t="shared" si="27"/>
        <v>5.7594253131636304</v>
      </c>
    </row>
    <row r="404" spans="1:14" x14ac:dyDescent="0.45">
      <c r="A404" s="12">
        <v>45508</v>
      </c>
      <c r="B404" s="2" t="s">
        <v>15</v>
      </c>
      <c r="C404" s="2" t="s">
        <v>28</v>
      </c>
      <c r="D404" s="2" t="s">
        <v>21</v>
      </c>
      <c r="E404" s="2" t="s">
        <v>26</v>
      </c>
      <c r="F404" s="2">
        <v>63959</v>
      </c>
      <c r="G404" s="2">
        <v>2014</v>
      </c>
      <c r="H404" s="2">
        <v>4591.92</v>
      </c>
      <c r="I404" s="2">
        <v>150</v>
      </c>
      <c r="J404" s="2">
        <v>37769.589999999997</v>
      </c>
      <c r="K404" s="4">
        <f t="shared" si="24"/>
        <v>3.1488922591034883E-2</v>
      </c>
      <c r="L404" s="6">
        <f t="shared" si="25"/>
        <v>2.2800000000000002</v>
      </c>
      <c r="M404" s="6">
        <f t="shared" si="26"/>
        <v>30.6128</v>
      </c>
      <c r="N404" s="8">
        <f t="shared" si="27"/>
        <v>8.2252282269725949</v>
      </c>
    </row>
    <row r="405" spans="1:14" x14ac:dyDescent="0.45">
      <c r="A405" s="12">
        <v>45357</v>
      </c>
      <c r="B405" s="2" t="s">
        <v>15</v>
      </c>
      <c r="C405" s="2" t="s">
        <v>16</v>
      </c>
      <c r="D405" s="2" t="s">
        <v>29</v>
      </c>
      <c r="E405" s="2" t="s">
        <v>51</v>
      </c>
      <c r="F405" s="2">
        <v>6044</v>
      </c>
      <c r="G405" s="2">
        <v>146</v>
      </c>
      <c r="H405" s="2">
        <v>164.98</v>
      </c>
      <c r="I405" s="2">
        <v>5</v>
      </c>
      <c r="J405" s="2">
        <v>611.36</v>
      </c>
      <c r="K405" s="4">
        <f t="shared" si="24"/>
        <v>2.4156187954996692E-2</v>
      </c>
      <c r="L405" s="6">
        <f t="shared" si="25"/>
        <v>1.1299999999999999</v>
      </c>
      <c r="M405" s="6">
        <f t="shared" si="26"/>
        <v>32.995999999999995</v>
      </c>
      <c r="N405" s="8">
        <f t="shared" si="27"/>
        <v>3.7056612922778522</v>
      </c>
    </row>
    <row r="406" spans="1:14" x14ac:dyDescent="0.45">
      <c r="A406" s="12">
        <v>45390</v>
      </c>
      <c r="B406" s="2" t="s">
        <v>15</v>
      </c>
      <c r="C406" s="2" t="s">
        <v>28</v>
      </c>
      <c r="D406" s="2" t="s">
        <v>17</v>
      </c>
      <c r="E406" s="2" t="s">
        <v>26</v>
      </c>
      <c r="F406" s="2">
        <v>90945</v>
      </c>
      <c r="G406" s="2">
        <v>3637</v>
      </c>
      <c r="H406" s="2">
        <v>10983.74</v>
      </c>
      <c r="I406" s="2">
        <v>145</v>
      </c>
      <c r="J406" s="2">
        <v>21488.5</v>
      </c>
      <c r="K406" s="4">
        <f t="shared" si="24"/>
        <v>3.9991203474627521E-2</v>
      </c>
      <c r="L406" s="6">
        <f t="shared" si="25"/>
        <v>3.02</v>
      </c>
      <c r="M406" s="6">
        <f t="shared" si="26"/>
        <v>75.749931034482756</v>
      </c>
      <c r="N406" s="8">
        <f t="shared" si="27"/>
        <v>1.9563919029401644</v>
      </c>
    </row>
    <row r="407" spans="1:14" x14ac:dyDescent="0.45">
      <c r="A407" s="12">
        <v>45323</v>
      </c>
      <c r="B407" s="2" t="s">
        <v>15</v>
      </c>
      <c r="C407" s="2" t="s">
        <v>16</v>
      </c>
      <c r="D407" s="2" t="s">
        <v>29</v>
      </c>
      <c r="E407" s="2" t="s">
        <v>22</v>
      </c>
      <c r="F407" s="2">
        <v>73681</v>
      </c>
      <c r="G407" s="2">
        <v>4457</v>
      </c>
      <c r="H407" s="2">
        <v>7888.89</v>
      </c>
      <c r="I407" s="2">
        <v>95</v>
      </c>
      <c r="J407" s="2">
        <v>11815.26</v>
      </c>
      <c r="K407" s="4">
        <f t="shared" si="24"/>
        <v>6.0490492800043427E-2</v>
      </c>
      <c r="L407" s="6">
        <f t="shared" si="25"/>
        <v>1.77</v>
      </c>
      <c r="M407" s="6">
        <f t="shared" si="26"/>
        <v>83.040947368421058</v>
      </c>
      <c r="N407" s="8">
        <f t="shared" si="27"/>
        <v>1.4977088031396051</v>
      </c>
    </row>
    <row r="408" spans="1:14" x14ac:dyDescent="0.45">
      <c r="A408" s="12">
        <v>45640</v>
      </c>
      <c r="B408" s="2" t="s">
        <v>15</v>
      </c>
      <c r="C408" s="2" t="s">
        <v>38</v>
      </c>
      <c r="D408" s="2" t="s">
        <v>25</v>
      </c>
      <c r="E408" s="2" t="s">
        <v>54</v>
      </c>
      <c r="F408" s="2">
        <v>195545</v>
      </c>
      <c r="G408" s="2">
        <v>8799</v>
      </c>
      <c r="H408" s="2">
        <v>26221.02</v>
      </c>
      <c r="I408" s="2">
        <v>444</v>
      </c>
      <c r="J408" s="2">
        <v>122723.09</v>
      </c>
      <c r="K408" s="4">
        <f t="shared" si="24"/>
        <v>4.4997315195990692E-2</v>
      </c>
      <c r="L408" s="6">
        <f t="shared" si="25"/>
        <v>2.98</v>
      </c>
      <c r="M408" s="6">
        <f t="shared" si="26"/>
        <v>59.056351351351353</v>
      </c>
      <c r="N408" s="8">
        <f t="shared" si="27"/>
        <v>4.6803324203253727</v>
      </c>
    </row>
    <row r="409" spans="1:14" x14ac:dyDescent="0.45">
      <c r="A409" s="12">
        <v>45487</v>
      </c>
      <c r="B409" s="2" t="s">
        <v>15</v>
      </c>
      <c r="C409" s="2" t="s">
        <v>28</v>
      </c>
      <c r="D409" s="2" t="s">
        <v>41</v>
      </c>
      <c r="E409" s="2" t="s">
        <v>26</v>
      </c>
      <c r="F409" s="2">
        <v>46846</v>
      </c>
      <c r="G409" s="2">
        <v>2183</v>
      </c>
      <c r="H409" s="2">
        <v>7334.88</v>
      </c>
      <c r="I409" s="2">
        <v>46</v>
      </c>
      <c r="J409" s="2">
        <v>5098.84</v>
      </c>
      <c r="K409" s="4">
        <f t="shared" si="24"/>
        <v>4.659949622166247E-2</v>
      </c>
      <c r="L409" s="6">
        <f t="shared" si="25"/>
        <v>3.36</v>
      </c>
      <c r="M409" s="6">
        <f t="shared" si="26"/>
        <v>159.45391304347825</v>
      </c>
      <c r="N409" s="8">
        <f t="shared" si="27"/>
        <v>0.69514975023449599</v>
      </c>
    </row>
    <row r="410" spans="1:14" x14ac:dyDescent="0.45">
      <c r="A410" s="12">
        <v>45476</v>
      </c>
      <c r="B410" s="2" t="s">
        <v>15</v>
      </c>
      <c r="C410" s="2" t="s">
        <v>28</v>
      </c>
      <c r="D410" s="2" t="s">
        <v>25</v>
      </c>
      <c r="E410" s="2" t="s">
        <v>33</v>
      </c>
      <c r="F410" s="2">
        <v>183428</v>
      </c>
      <c r="G410" s="2">
        <v>4549</v>
      </c>
      <c r="H410" s="2">
        <v>9598.39</v>
      </c>
      <c r="I410" s="2">
        <v>135</v>
      </c>
      <c r="J410" s="2">
        <v>6604</v>
      </c>
      <c r="K410" s="4">
        <f t="shared" si="24"/>
        <v>2.479992149508254E-2</v>
      </c>
      <c r="L410" s="6">
        <f t="shared" si="25"/>
        <v>2.11</v>
      </c>
      <c r="M410" s="6">
        <f t="shared" si="26"/>
        <v>71.099185185185178</v>
      </c>
      <c r="N410" s="8">
        <f t="shared" si="27"/>
        <v>0.68803205537595369</v>
      </c>
    </row>
    <row r="411" spans="1:14" x14ac:dyDescent="0.45">
      <c r="A411" s="12">
        <v>45421</v>
      </c>
      <c r="B411" s="2" t="s">
        <v>15</v>
      </c>
      <c r="C411" s="2" t="s">
        <v>28</v>
      </c>
      <c r="D411" s="2" t="s">
        <v>21</v>
      </c>
      <c r="E411" s="2" t="s">
        <v>54</v>
      </c>
      <c r="F411" s="2">
        <v>173913</v>
      </c>
      <c r="G411" s="2">
        <v>5860</v>
      </c>
      <c r="H411" s="2">
        <v>20275.599999999999</v>
      </c>
      <c r="I411" s="2">
        <v>111</v>
      </c>
      <c r="J411" s="2">
        <v>20779.66</v>
      </c>
      <c r="K411" s="4">
        <f t="shared" si="24"/>
        <v>3.3695008423752108E-2</v>
      </c>
      <c r="L411" s="6">
        <f t="shared" si="25"/>
        <v>3.46</v>
      </c>
      <c r="M411" s="6">
        <f t="shared" si="26"/>
        <v>182.66306306306305</v>
      </c>
      <c r="N411" s="8">
        <f t="shared" si="27"/>
        <v>1.0248604233660163</v>
      </c>
    </row>
    <row r="412" spans="1:14" x14ac:dyDescent="0.45">
      <c r="A412" s="12">
        <v>45417</v>
      </c>
      <c r="B412" s="2" t="s">
        <v>15</v>
      </c>
      <c r="C412" s="2" t="s">
        <v>24</v>
      </c>
      <c r="D412" s="2" t="s">
        <v>29</v>
      </c>
      <c r="E412" s="2" t="s">
        <v>26</v>
      </c>
      <c r="F412" s="2">
        <v>190541</v>
      </c>
      <c r="G412" s="2">
        <v>9527</v>
      </c>
      <c r="H412" s="2">
        <v>20673.59</v>
      </c>
      <c r="I412" s="2">
        <v>157</v>
      </c>
      <c r="J412" s="2">
        <v>5416.71</v>
      </c>
      <c r="K412" s="4">
        <f t="shared" si="24"/>
        <v>4.9999737589285248E-2</v>
      </c>
      <c r="L412" s="6">
        <f t="shared" si="25"/>
        <v>2.17</v>
      </c>
      <c r="M412" s="6">
        <f t="shared" si="26"/>
        <v>131.67891719745222</v>
      </c>
      <c r="N412" s="8">
        <f t="shared" si="27"/>
        <v>0.26201109725016314</v>
      </c>
    </row>
    <row r="413" spans="1:14" x14ac:dyDescent="0.45">
      <c r="A413" s="12">
        <v>45546</v>
      </c>
      <c r="B413" s="2" t="s">
        <v>20</v>
      </c>
      <c r="C413" s="2" t="s">
        <v>24</v>
      </c>
      <c r="D413" s="2" t="s">
        <v>29</v>
      </c>
      <c r="E413" s="2" t="s">
        <v>33</v>
      </c>
      <c r="F413" s="2">
        <v>122116</v>
      </c>
      <c r="G413" s="2">
        <v>5507</v>
      </c>
      <c r="H413" s="2">
        <v>5396.86</v>
      </c>
      <c r="I413" s="2">
        <v>110</v>
      </c>
      <c r="J413" s="2">
        <v>3555.98</v>
      </c>
      <c r="K413" s="4">
        <f t="shared" si="24"/>
        <v>4.5096465655606148E-2</v>
      </c>
      <c r="L413" s="6">
        <f t="shared" si="25"/>
        <v>0.98</v>
      </c>
      <c r="M413" s="6">
        <f t="shared" si="26"/>
        <v>49.062363636363635</v>
      </c>
      <c r="N413" s="8">
        <f t="shared" si="27"/>
        <v>0.65889795177195631</v>
      </c>
    </row>
    <row r="414" spans="1:14" x14ac:dyDescent="0.45">
      <c r="A414" s="12">
        <v>45374</v>
      </c>
      <c r="B414" s="2" t="s">
        <v>15</v>
      </c>
      <c r="C414" s="2" t="s">
        <v>38</v>
      </c>
      <c r="D414" s="2" t="s">
        <v>17</v>
      </c>
      <c r="E414" s="2" t="s">
        <v>51</v>
      </c>
      <c r="F414" s="2">
        <v>47879</v>
      </c>
      <c r="G414" s="2">
        <v>1149</v>
      </c>
      <c r="H414" s="2">
        <v>3515.94</v>
      </c>
      <c r="I414" s="2">
        <v>25</v>
      </c>
      <c r="J414" s="2">
        <v>3124.11</v>
      </c>
      <c r="K414" s="4">
        <f t="shared" si="24"/>
        <v>2.3997994945592013E-2</v>
      </c>
      <c r="L414" s="6">
        <f t="shared" si="25"/>
        <v>3.06</v>
      </c>
      <c r="M414" s="6">
        <f t="shared" si="26"/>
        <v>140.63759999999999</v>
      </c>
      <c r="N414" s="8">
        <f t="shared" si="27"/>
        <v>0.88855611870509743</v>
      </c>
    </row>
    <row r="415" spans="1:14" x14ac:dyDescent="0.45">
      <c r="A415" s="12">
        <v>45573</v>
      </c>
      <c r="B415" s="2" t="s">
        <v>35</v>
      </c>
      <c r="C415" s="2" t="s">
        <v>16</v>
      </c>
      <c r="D415" s="2" t="s">
        <v>25</v>
      </c>
      <c r="E415" s="2" t="s">
        <v>26</v>
      </c>
      <c r="F415" s="2">
        <v>164876</v>
      </c>
      <c r="G415" s="2">
        <v>5820</v>
      </c>
      <c r="H415" s="2">
        <v>4306.8</v>
      </c>
      <c r="I415" s="2">
        <v>463</v>
      </c>
      <c r="J415" s="2">
        <v>73917.740000000005</v>
      </c>
      <c r="K415" s="4">
        <f t="shared" si="24"/>
        <v>3.5299255197845651E-2</v>
      </c>
      <c r="L415" s="6">
        <f t="shared" si="25"/>
        <v>0.74</v>
      </c>
      <c r="M415" s="6">
        <f t="shared" si="26"/>
        <v>9.3019438444924418</v>
      </c>
      <c r="N415" s="8">
        <f t="shared" si="27"/>
        <v>17.163030556329527</v>
      </c>
    </row>
    <row r="416" spans="1:14" x14ac:dyDescent="0.45">
      <c r="A416" s="12">
        <v>45425</v>
      </c>
      <c r="B416" s="2" t="s">
        <v>35</v>
      </c>
      <c r="C416" s="2" t="s">
        <v>38</v>
      </c>
      <c r="D416" s="2" t="s">
        <v>29</v>
      </c>
      <c r="E416" s="2" t="s">
        <v>26</v>
      </c>
      <c r="F416" s="2">
        <v>163253</v>
      </c>
      <c r="G416" s="2">
        <v>1779</v>
      </c>
      <c r="H416" s="2">
        <v>907.29</v>
      </c>
      <c r="I416" s="2">
        <v>121</v>
      </c>
      <c r="J416" s="2">
        <v>18762.73</v>
      </c>
      <c r="K416" s="4">
        <f t="shared" si="24"/>
        <v>1.0897196376176855E-2</v>
      </c>
      <c r="L416" s="6">
        <f t="shared" si="25"/>
        <v>0.51</v>
      </c>
      <c r="M416" s="6">
        <f t="shared" si="26"/>
        <v>7.4982644628099173</v>
      </c>
      <c r="N416" s="8">
        <f t="shared" si="27"/>
        <v>20.679970020610831</v>
      </c>
    </row>
    <row r="417" spans="1:14" x14ac:dyDescent="0.45">
      <c r="A417" s="12">
        <v>45569</v>
      </c>
      <c r="B417" s="2" t="s">
        <v>35</v>
      </c>
      <c r="C417" s="2" t="s">
        <v>28</v>
      </c>
      <c r="D417" s="2" t="s">
        <v>17</v>
      </c>
      <c r="E417" s="2" t="s">
        <v>51</v>
      </c>
      <c r="F417" s="2">
        <v>120631</v>
      </c>
      <c r="G417" s="2">
        <v>1532</v>
      </c>
      <c r="H417" s="2">
        <v>1179.6400000000001</v>
      </c>
      <c r="I417" s="2">
        <v>114</v>
      </c>
      <c r="J417" s="2">
        <v>25286.78</v>
      </c>
      <c r="K417" s="4">
        <f t="shared" si="24"/>
        <v>1.2699886430519518E-2</v>
      </c>
      <c r="L417" s="6">
        <f t="shared" si="25"/>
        <v>0.77</v>
      </c>
      <c r="M417" s="6">
        <f t="shared" si="26"/>
        <v>10.347719298245615</v>
      </c>
      <c r="N417" s="8">
        <f t="shared" si="27"/>
        <v>21.436014377267639</v>
      </c>
    </row>
    <row r="418" spans="1:14" x14ac:dyDescent="0.45">
      <c r="A418" s="12">
        <v>45411</v>
      </c>
      <c r="B418" s="2" t="s">
        <v>35</v>
      </c>
      <c r="C418" s="2" t="s">
        <v>38</v>
      </c>
      <c r="D418" s="2" t="s">
        <v>17</v>
      </c>
      <c r="E418" s="2" t="s">
        <v>54</v>
      </c>
      <c r="F418" s="2">
        <v>12610</v>
      </c>
      <c r="G418" s="2">
        <v>197</v>
      </c>
      <c r="H418" s="2">
        <v>130.02000000000001</v>
      </c>
      <c r="I418" s="2">
        <v>11</v>
      </c>
      <c r="J418" s="2">
        <v>2637.16</v>
      </c>
      <c r="K418" s="4">
        <f t="shared" si="24"/>
        <v>1.5622521808088818E-2</v>
      </c>
      <c r="L418" s="6">
        <f t="shared" si="25"/>
        <v>0.66</v>
      </c>
      <c r="M418" s="6">
        <f t="shared" si="26"/>
        <v>11.82</v>
      </c>
      <c r="N418" s="8">
        <f t="shared" si="27"/>
        <v>20.282725734502382</v>
      </c>
    </row>
    <row r="419" spans="1:14" x14ac:dyDescent="0.45">
      <c r="A419" s="12">
        <v>45303</v>
      </c>
      <c r="B419" s="2" t="s">
        <v>35</v>
      </c>
      <c r="C419" s="2" t="s">
        <v>24</v>
      </c>
      <c r="D419" s="2" t="s">
        <v>25</v>
      </c>
      <c r="E419" s="2" t="s">
        <v>22</v>
      </c>
      <c r="F419" s="2">
        <v>62676</v>
      </c>
      <c r="G419" s="2">
        <v>595</v>
      </c>
      <c r="H419" s="2">
        <v>1439.9</v>
      </c>
      <c r="I419" s="2">
        <v>32</v>
      </c>
      <c r="J419" s="2">
        <v>1319.08</v>
      </c>
      <c r="K419" s="4">
        <f t="shared" si="24"/>
        <v>9.4932669602399641E-3</v>
      </c>
      <c r="L419" s="6">
        <f t="shared" si="25"/>
        <v>2.4200000000000004</v>
      </c>
      <c r="M419" s="6">
        <f t="shared" si="26"/>
        <v>44.996875000000003</v>
      </c>
      <c r="N419" s="8">
        <f t="shared" si="27"/>
        <v>0.9160913952357802</v>
      </c>
    </row>
    <row r="420" spans="1:14" x14ac:dyDescent="0.45">
      <c r="A420" s="12">
        <v>45483</v>
      </c>
      <c r="B420" s="2" t="s">
        <v>15</v>
      </c>
      <c r="C420" s="2" t="s">
        <v>16</v>
      </c>
      <c r="D420" s="2" t="s">
        <v>17</v>
      </c>
      <c r="E420" s="2" t="s">
        <v>22</v>
      </c>
      <c r="F420" s="2">
        <v>59943</v>
      </c>
      <c r="G420" s="2">
        <v>2163</v>
      </c>
      <c r="H420" s="2">
        <v>7116.27</v>
      </c>
      <c r="I420" s="2">
        <v>114</v>
      </c>
      <c r="J420" s="2">
        <v>4800.8100000000004</v>
      </c>
      <c r="K420" s="4">
        <f t="shared" si="24"/>
        <v>3.6084280066062763E-2</v>
      </c>
      <c r="L420" s="6">
        <f t="shared" si="25"/>
        <v>3.29</v>
      </c>
      <c r="M420" s="6">
        <f t="shared" si="26"/>
        <v>62.423421052631582</v>
      </c>
      <c r="N420" s="8">
        <f t="shared" si="27"/>
        <v>0.67462448726650337</v>
      </c>
    </row>
    <row r="421" spans="1:14" x14ac:dyDescent="0.45">
      <c r="A421" s="12">
        <v>45585</v>
      </c>
      <c r="B421" s="2" t="s">
        <v>35</v>
      </c>
      <c r="C421" s="2" t="s">
        <v>38</v>
      </c>
      <c r="D421" s="2" t="s">
        <v>29</v>
      </c>
      <c r="E421" s="2" t="s">
        <v>26</v>
      </c>
      <c r="F421" s="2">
        <v>78302</v>
      </c>
      <c r="G421" s="2">
        <v>900</v>
      </c>
      <c r="H421" s="2">
        <v>441</v>
      </c>
      <c r="I421" s="2">
        <v>52</v>
      </c>
      <c r="J421" s="2">
        <v>6354.23</v>
      </c>
      <c r="K421" s="4">
        <f t="shared" si="24"/>
        <v>1.1493959285841996E-2</v>
      </c>
      <c r="L421" s="6">
        <f t="shared" si="25"/>
        <v>0.49</v>
      </c>
      <c r="M421" s="6">
        <f t="shared" si="26"/>
        <v>8.4807692307692299</v>
      </c>
      <c r="N421" s="8">
        <f t="shared" si="27"/>
        <v>14.408684807256234</v>
      </c>
    </row>
    <row r="422" spans="1:14" x14ac:dyDescent="0.45">
      <c r="A422" s="12">
        <v>45539</v>
      </c>
      <c r="B422" s="2" t="s">
        <v>15</v>
      </c>
      <c r="C422" s="2" t="s">
        <v>24</v>
      </c>
      <c r="D422" s="2" t="s">
        <v>21</v>
      </c>
      <c r="E422" s="2" t="s">
        <v>22</v>
      </c>
      <c r="F422" s="2">
        <v>154805</v>
      </c>
      <c r="G422" s="2">
        <v>9535</v>
      </c>
      <c r="H422" s="2">
        <v>9153.6</v>
      </c>
      <c r="I422" s="2">
        <v>525</v>
      </c>
      <c r="J422" s="2">
        <v>18155.37</v>
      </c>
      <c r="K422" s="4">
        <f t="shared" si="24"/>
        <v>6.1593617777203576E-2</v>
      </c>
      <c r="L422" s="6">
        <f t="shared" si="25"/>
        <v>0.96000000000000008</v>
      </c>
      <c r="M422" s="6">
        <f t="shared" si="26"/>
        <v>17.435428571428574</v>
      </c>
      <c r="N422" s="8">
        <f t="shared" si="27"/>
        <v>1.9834130833770318</v>
      </c>
    </row>
    <row r="423" spans="1:14" x14ac:dyDescent="0.45">
      <c r="A423" s="12">
        <v>45421</v>
      </c>
      <c r="B423" s="2" t="s">
        <v>20</v>
      </c>
      <c r="C423" s="2" t="s">
        <v>24</v>
      </c>
      <c r="D423" s="2" t="s">
        <v>17</v>
      </c>
      <c r="E423" s="2" t="s">
        <v>54</v>
      </c>
      <c r="F423" s="2">
        <v>41839</v>
      </c>
      <c r="G423" s="2">
        <v>2991</v>
      </c>
      <c r="H423" s="2">
        <v>2961.09</v>
      </c>
      <c r="I423" s="2">
        <v>45</v>
      </c>
      <c r="J423" s="2">
        <v>9665.89</v>
      </c>
      <c r="K423" s="4">
        <f t="shared" si="24"/>
        <v>7.1488324290733526E-2</v>
      </c>
      <c r="L423" s="6">
        <f t="shared" si="25"/>
        <v>0.9900000000000001</v>
      </c>
      <c r="M423" s="6">
        <f t="shared" si="26"/>
        <v>65.802000000000007</v>
      </c>
      <c r="N423" s="8">
        <f t="shared" si="27"/>
        <v>3.2643013214728356</v>
      </c>
    </row>
    <row r="424" spans="1:14" x14ac:dyDescent="0.45">
      <c r="A424" s="12">
        <v>45460</v>
      </c>
      <c r="B424" s="2" t="s">
        <v>35</v>
      </c>
      <c r="C424" s="2" t="s">
        <v>28</v>
      </c>
      <c r="D424" s="2" t="s">
        <v>29</v>
      </c>
      <c r="E424" s="2" t="s">
        <v>51</v>
      </c>
      <c r="F424" s="2">
        <v>127872</v>
      </c>
      <c r="G424" s="2">
        <v>2953</v>
      </c>
      <c r="H424" s="2">
        <v>1742.27</v>
      </c>
      <c r="I424" s="2">
        <v>150</v>
      </c>
      <c r="J424" s="2">
        <v>15282.38</v>
      </c>
      <c r="K424" s="4">
        <f t="shared" si="24"/>
        <v>2.3093405905905907E-2</v>
      </c>
      <c r="L424" s="6">
        <f t="shared" si="25"/>
        <v>0.59</v>
      </c>
      <c r="M424" s="6">
        <f t="shared" si="26"/>
        <v>11.615133333333333</v>
      </c>
      <c r="N424" s="8">
        <f t="shared" si="27"/>
        <v>8.7715336888082778</v>
      </c>
    </row>
    <row r="425" spans="1:14" x14ac:dyDescent="0.45">
      <c r="A425" s="12">
        <v>45600</v>
      </c>
      <c r="B425" s="2" t="s">
        <v>15</v>
      </c>
      <c r="C425" s="2" t="s">
        <v>38</v>
      </c>
      <c r="D425" s="2" t="s">
        <v>17</v>
      </c>
      <c r="E425" s="2" t="s">
        <v>30</v>
      </c>
      <c r="F425" s="2">
        <v>146779</v>
      </c>
      <c r="G425" s="2">
        <v>5019</v>
      </c>
      <c r="H425" s="2">
        <v>11142.18</v>
      </c>
      <c r="I425" s="2">
        <v>349</v>
      </c>
      <c r="J425" s="2">
        <v>91145.36</v>
      </c>
      <c r="K425" s="4">
        <f t="shared" si="24"/>
        <v>3.4194264847151157E-2</v>
      </c>
      <c r="L425" s="6">
        <f t="shared" si="25"/>
        <v>2.2200000000000002</v>
      </c>
      <c r="M425" s="6">
        <f t="shared" si="26"/>
        <v>31.926017191977078</v>
      </c>
      <c r="N425" s="8">
        <f t="shared" si="27"/>
        <v>8.180208899874172</v>
      </c>
    </row>
    <row r="426" spans="1:14" x14ac:dyDescent="0.45">
      <c r="A426" s="12">
        <v>45469</v>
      </c>
      <c r="B426" s="2" t="s">
        <v>15</v>
      </c>
      <c r="C426" s="2" t="s">
        <v>28</v>
      </c>
      <c r="D426" s="2" t="s">
        <v>21</v>
      </c>
      <c r="E426" s="2" t="s">
        <v>26</v>
      </c>
      <c r="F426" s="2">
        <v>133588</v>
      </c>
      <c r="G426" s="2">
        <v>6545</v>
      </c>
      <c r="H426" s="2">
        <v>10995.6</v>
      </c>
      <c r="I426" s="2">
        <v>241</v>
      </c>
      <c r="J426" s="2">
        <v>34421.71</v>
      </c>
      <c r="K426" s="4">
        <f t="shared" si="24"/>
        <v>4.8993921609725426E-2</v>
      </c>
      <c r="L426" s="6">
        <f t="shared" si="25"/>
        <v>1.6800000000000002</v>
      </c>
      <c r="M426" s="6">
        <f t="shared" si="26"/>
        <v>45.624896265560167</v>
      </c>
      <c r="N426" s="8">
        <f t="shared" si="27"/>
        <v>3.1304985630615882</v>
      </c>
    </row>
    <row r="427" spans="1:14" x14ac:dyDescent="0.45">
      <c r="A427" s="12">
        <v>45320</v>
      </c>
      <c r="B427" s="2" t="s">
        <v>15</v>
      </c>
      <c r="C427" s="2" t="s">
        <v>24</v>
      </c>
      <c r="D427" s="2" t="s">
        <v>17</v>
      </c>
      <c r="E427" s="2" t="s">
        <v>22</v>
      </c>
      <c r="F427" s="2">
        <v>82462</v>
      </c>
      <c r="G427" s="2">
        <v>3916</v>
      </c>
      <c r="H427" s="2">
        <v>8223.6</v>
      </c>
      <c r="I427" s="2">
        <v>199</v>
      </c>
      <c r="J427" s="2">
        <v>48785.37</v>
      </c>
      <c r="K427" s="4">
        <f t="shared" si="24"/>
        <v>4.7488540176081104E-2</v>
      </c>
      <c r="L427" s="6">
        <f t="shared" si="25"/>
        <v>2.1</v>
      </c>
      <c r="M427" s="6">
        <f t="shared" si="26"/>
        <v>41.324623115577893</v>
      </c>
      <c r="N427" s="8">
        <f t="shared" si="27"/>
        <v>5.932361739384211</v>
      </c>
    </row>
    <row r="428" spans="1:14" x14ac:dyDescent="0.45">
      <c r="A428" s="12">
        <v>45309</v>
      </c>
      <c r="B428" s="2" t="s">
        <v>15</v>
      </c>
      <c r="C428" s="2" t="s">
        <v>38</v>
      </c>
      <c r="D428" s="2" t="s">
        <v>41</v>
      </c>
      <c r="E428" s="2" t="s">
        <v>54</v>
      </c>
      <c r="F428" s="2">
        <v>55248</v>
      </c>
      <c r="G428" s="2">
        <v>1646</v>
      </c>
      <c r="H428" s="2">
        <v>4279.6000000000004</v>
      </c>
      <c r="I428" s="2">
        <v>43</v>
      </c>
      <c r="J428" s="2">
        <v>12311.15</v>
      </c>
      <c r="K428" s="4">
        <f t="shared" si="24"/>
        <v>2.9792933680857225E-2</v>
      </c>
      <c r="L428" s="6">
        <f t="shared" si="25"/>
        <v>2.6</v>
      </c>
      <c r="M428" s="6">
        <f t="shared" si="26"/>
        <v>99.525581395348851</v>
      </c>
      <c r="N428" s="8">
        <f t="shared" si="27"/>
        <v>2.8767057668941018</v>
      </c>
    </row>
    <row r="429" spans="1:14" x14ac:dyDescent="0.45">
      <c r="A429" s="12">
        <v>45513</v>
      </c>
      <c r="B429" s="2" t="s">
        <v>15</v>
      </c>
      <c r="C429" s="2" t="s">
        <v>38</v>
      </c>
      <c r="D429" s="2" t="s">
        <v>25</v>
      </c>
      <c r="E429" s="2" t="s">
        <v>18</v>
      </c>
      <c r="F429" s="2">
        <v>90374</v>
      </c>
      <c r="G429" s="2">
        <v>2349</v>
      </c>
      <c r="H429" s="2">
        <v>2278.5300000000002</v>
      </c>
      <c r="I429" s="2">
        <v>69</v>
      </c>
      <c r="J429" s="2">
        <v>5506.03</v>
      </c>
      <c r="K429" s="4">
        <f t="shared" si="24"/>
        <v>2.5991988846349613E-2</v>
      </c>
      <c r="L429" s="6">
        <f t="shared" si="25"/>
        <v>0.97000000000000008</v>
      </c>
      <c r="M429" s="6">
        <f t="shared" si="26"/>
        <v>33.022173913043481</v>
      </c>
      <c r="N429" s="8">
        <f t="shared" si="27"/>
        <v>2.416483434495047</v>
      </c>
    </row>
    <row r="430" spans="1:14" x14ac:dyDescent="0.45">
      <c r="A430" s="12">
        <v>45357</v>
      </c>
      <c r="B430" s="2" t="s">
        <v>35</v>
      </c>
      <c r="C430" s="2" t="s">
        <v>24</v>
      </c>
      <c r="D430" s="2" t="s">
        <v>21</v>
      </c>
      <c r="E430" s="2" t="s">
        <v>26</v>
      </c>
      <c r="F430" s="2">
        <v>104976</v>
      </c>
      <c r="G430" s="2">
        <v>1238</v>
      </c>
      <c r="H430" s="2">
        <v>1881.76</v>
      </c>
      <c r="I430" s="2">
        <v>16</v>
      </c>
      <c r="J430" s="2">
        <v>4162.9799999999996</v>
      </c>
      <c r="K430" s="4">
        <f t="shared" si="24"/>
        <v>1.179317177259564E-2</v>
      </c>
      <c r="L430" s="6">
        <f t="shared" si="25"/>
        <v>1.52</v>
      </c>
      <c r="M430" s="6">
        <f t="shared" si="26"/>
        <v>117.61</v>
      </c>
      <c r="N430" s="8">
        <f t="shared" si="27"/>
        <v>2.212279993197857</v>
      </c>
    </row>
    <row r="431" spans="1:14" x14ac:dyDescent="0.45">
      <c r="A431" s="12">
        <v>45606</v>
      </c>
      <c r="B431" s="2" t="s">
        <v>15</v>
      </c>
      <c r="C431" s="2" t="s">
        <v>38</v>
      </c>
      <c r="D431" s="2" t="s">
        <v>29</v>
      </c>
      <c r="E431" s="2" t="s">
        <v>54</v>
      </c>
      <c r="F431" s="2">
        <v>124774</v>
      </c>
      <c r="G431" s="2">
        <v>3481</v>
      </c>
      <c r="H431" s="2">
        <v>4212.01</v>
      </c>
      <c r="I431" s="2">
        <v>113</v>
      </c>
      <c r="J431" s="2">
        <v>4447.1899999999996</v>
      </c>
      <c r="K431" s="4">
        <f t="shared" si="24"/>
        <v>2.7898440380207414E-2</v>
      </c>
      <c r="L431" s="6">
        <f t="shared" si="25"/>
        <v>1.21</v>
      </c>
      <c r="M431" s="6">
        <f t="shared" si="26"/>
        <v>37.274424778761066</v>
      </c>
      <c r="N431" s="8">
        <f t="shared" si="27"/>
        <v>1.0558355749392807</v>
      </c>
    </row>
    <row r="432" spans="1:14" x14ac:dyDescent="0.45">
      <c r="A432" s="12">
        <v>45518</v>
      </c>
      <c r="B432" s="2" t="s">
        <v>15</v>
      </c>
      <c r="C432" s="2" t="s">
        <v>16</v>
      </c>
      <c r="D432" s="2" t="s">
        <v>29</v>
      </c>
      <c r="E432" s="2" t="s">
        <v>26</v>
      </c>
      <c r="F432" s="2">
        <v>109263</v>
      </c>
      <c r="G432" s="2">
        <v>2829</v>
      </c>
      <c r="H432" s="2">
        <v>2489.52</v>
      </c>
      <c r="I432" s="2">
        <v>129</v>
      </c>
      <c r="J432" s="2">
        <v>14321.34</v>
      </c>
      <c r="K432" s="4">
        <f t="shared" si="24"/>
        <v>2.5891655912797563E-2</v>
      </c>
      <c r="L432" s="6">
        <f t="shared" si="25"/>
        <v>0.88</v>
      </c>
      <c r="M432" s="6">
        <f t="shared" si="26"/>
        <v>19.29860465116279</v>
      </c>
      <c r="N432" s="8">
        <f t="shared" si="27"/>
        <v>5.7526511134676568</v>
      </c>
    </row>
    <row r="433" spans="1:14" x14ac:dyDescent="0.45">
      <c r="A433" s="12">
        <v>45456</v>
      </c>
      <c r="B433" s="2" t="s">
        <v>15</v>
      </c>
      <c r="C433" s="2" t="s">
        <v>24</v>
      </c>
      <c r="D433" s="2" t="s">
        <v>17</v>
      </c>
      <c r="E433" s="2" t="s">
        <v>18</v>
      </c>
      <c r="F433" s="2">
        <v>105814</v>
      </c>
      <c r="G433" s="2">
        <v>6126</v>
      </c>
      <c r="H433" s="2">
        <v>17091.54</v>
      </c>
      <c r="I433" s="2">
        <v>289</v>
      </c>
      <c r="J433" s="2">
        <v>45447.24</v>
      </c>
      <c r="K433" s="4">
        <f t="shared" si="24"/>
        <v>5.7894040486136049E-2</v>
      </c>
      <c r="L433" s="6">
        <f t="shared" si="25"/>
        <v>2.79</v>
      </c>
      <c r="M433" s="6">
        <f t="shared" si="26"/>
        <v>59.140276816609003</v>
      </c>
      <c r="N433" s="8">
        <f t="shared" si="27"/>
        <v>2.6590488627707041</v>
      </c>
    </row>
    <row r="434" spans="1:14" x14ac:dyDescent="0.45">
      <c r="A434" s="12">
        <v>45520</v>
      </c>
      <c r="B434" s="2" t="s">
        <v>20</v>
      </c>
      <c r="C434" s="2" t="s">
        <v>28</v>
      </c>
      <c r="D434" s="2" t="s">
        <v>25</v>
      </c>
      <c r="E434" s="2" t="s">
        <v>33</v>
      </c>
      <c r="F434" s="2">
        <v>41113</v>
      </c>
      <c r="G434" s="2">
        <v>2347</v>
      </c>
      <c r="H434" s="2">
        <v>2253.12</v>
      </c>
      <c r="I434" s="2">
        <v>33</v>
      </c>
      <c r="J434" s="2">
        <v>2659.26</v>
      </c>
      <c r="K434" s="4">
        <f t="shared" si="24"/>
        <v>5.7086566292900057E-2</v>
      </c>
      <c r="L434" s="6">
        <f t="shared" si="25"/>
        <v>0.96</v>
      </c>
      <c r="M434" s="6">
        <f t="shared" si="26"/>
        <v>68.276363636363627</v>
      </c>
      <c r="N434" s="8">
        <f t="shared" si="27"/>
        <v>1.1802567106945039</v>
      </c>
    </row>
    <row r="435" spans="1:14" x14ac:dyDescent="0.45">
      <c r="A435" s="12">
        <v>45306</v>
      </c>
      <c r="B435" s="2" t="s">
        <v>15</v>
      </c>
      <c r="C435" s="2" t="s">
        <v>16</v>
      </c>
      <c r="D435" s="2" t="s">
        <v>29</v>
      </c>
      <c r="E435" s="2" t="s">
        <v>33</v>
      </c>
      <c r="F435" s="2">
        <v>43098</v>
      </c>
      <c r="G435" s="2">
        <v>1620</v>
      </c>
      <c r="H435" s="2">
        <v>4422.6000000000004</v>
      </c>
      <c r="I435" s="2">
        <v>39</v>
      </c>
      <c r="J435" s="2">
        <v>7135.44</v>
      </c>
      <c r="K435" s="4">
        <f t="shared" si="24"/>
        <v>3.7588751218153978E-2</v>
      </c>
      <c r="L435" s="6">
        <f t="shared" si="25"/>
        <v>2.7300000000000004</v>
      </c>
      <c r="M435" s="6">
        <f t="shared" si="26"/>
        <v>113.4</v>
      </c>
      <c r="N435" s="8">
        <f t="shared" si="27"/>
        <v>1.6134038800705466</v>
      </c>
    </row>
    <row r="436" spans="1:14" x14ac:dyDescent="0.45">
      <c r="A436" s="12">
        <v>45532</v>
      </c>
      <c r="B436" s="2" t="s">
        <v>35</v>
      </c>
      <c r="C436" s="2" t="s">
        <v>38</v>
      </c>
      <c r="D436" s="2" t="s">
        <v>41</v>
      </c>
      <c r="E436" s="2" t="s">
        <v>33</v>
      </c>
      <c r="F436" s="2">
        <v>25991</v>
      </c>
      <c r="G436" s="2">
        <v>309</v>
      </c>
      <c r="H436" s="2">
        <v>469.68</v>
      </c>
      <c r="I436" s="2">
        <v>14</v>
      </c>
      <c r="J436" s="2">
        <v>2306.63</v>
      </c>
      <c r="K436" s="4">
        <f t="shared" si="24"/>
        <v>1.1888730714478088E-2</v>
      </c>
      <c r="L436" s="6">
        <f t="shared" si="25"/>
        <v>1.52</v>
      </c>
      <c r="M436" s="6">
        <f t="shared" si="26"/>
        <v>33.548571428571428</v>
      </c>
      <c r="N436" s="8">
        <f t="shared" si="27"/>
        <v>4.911067109521376</v>
      </c>
    </row>
    <row r="437" spans="1:14" x14ac:dyDescent="0.45">
      <c r="A437" s="12">
        <v>45617</v>
      </c>
      <c r="B437" s="2" t="s">
        <v>15</v>
      </c>
      <c r="C437" s="2" t="s">
        <v>38</v>
      </c>
      <c r="D437" s="2" t="s">
        <v>21</v>
      </c>
      <c r="E437" s="2" t="s">
        <v>51</v>
      </c>
      <c r="F437" s="2">
        <v>150778</v>
      </c>
      <c r="G437" s="2">
        <v>2985</v>
      </c>
      <c r="H437" s="2">
        <v>4149.1499999999996</v>
      </c>
      <c r="I437" s="2">
        <v>59</v>
      </c>
      <c r="J437" s="2">
        <v>16435.61</v>
      </c>
      <c r="K437" s="4">
        <f t="shared" si="24"/>
        <v>1.9797317911101089E-2</v>
      </c>
      <c r="L437" s="6">
        <f t="shared" si="25"/>
        <v>1.39</v>
      </c>
      <c r="M437" s="6">
        <f t="shared" si="26"/>
        <v>70.32457627118643</v>
      </c>
      <c r="N437" s="8">
        <f t="shared" si="27"/>
        <v>3.9611992817806061</v>
      </c>
    </row>
    <row r="438" spans="1:14" x14ac:dyDescent="0.45">
      <c r="A438" s="12">
        <v>45490</v>
      </c>
      <c r="B438" s="2" t="s">
        <v>15</v>
      </c>
      <c r="C438" s="2" t="s">
        <v>24</v>
      </c>
      <c r="D438" s="2" t="s">
        <v>21</v>
      </c>
      <c r="E438" s="2" t="s">
        <v>30</v>
      </c>
      <c r="F438" s="2">
        <v>113500</v>
      </c>
      <c r="G438" s="2">
        <v>7604</v>
      </c>
      <c r="H438" s="2">
        <v>9885.2000000000007</v>
      </c>
      <c r="I438" s="2">
        <v>340</v>
      </c>
      <c r="J438" s="2">
        <v>21520.639999999999</v>
      </c>
      <c r="K438" s="4">
        <f t="shared" si="24"/>
        <v>6.699559471365639E-2</v>
      </c>
      <c r="L438" s="6">
        <f t="shared" si="25"/>
        <v>1.3</v>
      </c>
      <c r="M438" s="6">
        <f t="shared" si="26"/>
        <v>29.074117647058827</v>
      </c>
      <c r="N438" s="8">
        <f t="shared" si="27"/>
        <v>2.1770566098814386</v>
      </c>
    </row>
    <row r="439" spans="1:14" x14ac:dyDescent="0.45">
      <c r="A439" s="12">
        <v>45596</v>
      </c>
      <c r="B439" s="2" t="s">
        <v>35</v>
      </c>
      <c r="C439" s="2" t="s">
        <v>24</v>
      </c>
      <c r="D439" s="2" t="s">
        <v>21</v>
      </c>
      <c r="E439" s="2" t="s">
        <v>18</v>
      </c>
      <c r="F439" s="2">
        <v>140453</v>
      </c>
      <c r="G439" s="2">
        <v>4213</v>
      </c>
      <c r="H439" s="2">
        <v>4592.17</v>
      </c>
      <c r="I439" s="2">
        <v>56</v>
      </c>
      <c r="J439" s="2">
        <v>4347.7700000000004</v>
      </c>
      <c r="K439" s="4">
        <f t="shared" si="24"/>
        <v>2.9995799306529587E-2</v>
      </c>
      <c r="L439" s="6">
        <f t="shared" si="25"/>
        <v>1.0900000000000001</v>
      </c>
      <c r="M439" s="6">
        <f t="shared" si="26"/>
        <v>82.003035714285716</v>
      </c>
      <c r="N439" s="8">
        <f t="shared" si="27"/>
        <v>0.9467789737749257</v>
      </c>
    </row>
    <row r="440" spans="1:14" x14ac:dyDescent="0.45">
      <c r="A440" s="12">
        <v>45403</v>
      </c>
      <c r="B440" s="2" t="s">
        <v>20</v>
      </c>
      <c r="C440" s="2" t="s">
        <v>38</v>
      </c>
      <c r="D440" s="2" t="s">
        <v>29</v>
      </c>
      <c r="E440" s="2" t="s">
        <v>30</v>
      </c>
      <c r="F440" s="2">
        <v>27936</v>
      </c>
      <c r="G440" s="2">
        <v>1402</v>
      </c>
      <c r="H440" s="2">
        <v>1850.64</v>
      </c>
      <c r="I440" s="2">
        <v>99</v>
      </c>
      <c r="J440" s="2">
        <v>26865.9</v>
      </c>
      <c r="K440" s="4">
        <f t="shared" si="24"/>
        <v>5.018613974799542E-2</v>
      </c>
      <c r="L440" s="6">
        <f t="shared" si="25"/>
        <v>1.32</v>
      </c>
      <c r="M440" s="6">
        <f t="shared" si="26"/>
        <v>18.693333333333335</v>
      </c>
      <c r="N440" s="8">
        <f t="shared" si="27"/>
        <v>14.51708598106601</v>
      </c>
    </row>
    <row r="441" spans="1:14" x14ac:dyDescent="0.45">
      <c r="A441" s="12">
        <v>45349</v>
      </c>
      <c r="B441" s="2" t="s">
        <v>20</v>
      </c>
      <c r="C441" s="2" t="s">
        <v>38</v>
      </c>
      <c r="D441" s="2" t="s">
        <v>29</v>
      </c>
      <c r="E441" s="2" t="s">
        <v>22</v>
      </c>
      <c r="F441" s="2">
        <v>133303</v>
      </c>
      <c r="G441" s="2">
        <v>4225</v>
      </c>
      <c r="H441" s="2">
        <v>6464.25</v>
      </c>
      <c r="I441" s="2">
        <v>139</v>
      </c>
      <c r="J441" s="2">
        <v>8508.68</v>
      </c>
      <c r="K441" s="4">
        <f t="shared" si="24"/>
        <v>3.1694710546649366E-2</v>
      </c>
      <c r="L441" s="6">
        <f t="shared" si="25"/>
        <v>1.53</v>
      </c>
      <c r="M441" s="6">
        <f t="shared" si="26"/>
        <v>46.505395683453237</v>
      </c>
      <c r="N441" s="8">
        <f t="shared" si="27"/>
        <v>1.3162671616970261</v>
      </c>
    </row>
    <row r="442" spans="1:14" x14ac:dyDescent="0.45">
      <c r="A442" s="12">
        <v>45414</v>
      </c>
      <c r="B442" s="2" t="s">
        <v>15</v>
      </c>
      <c r="C442" s="2" t="s">
        <v>24</v>
      </c>
      <c r="D442" s="2" t="s">
        <v>21</v>
      </c>
      <c r="E442" s="2" t="s">
        <v>18</v>
      </c>
      <c r="F442" s="2">
        <v>117333</v>
      </c>
      <c r="G442" s="2">
        <v>2898</v>
      </c>
      <c r="H442" s="2">
        <v>11389.14</v>
      </c>
      <c r="I442" s="2">
        <v>48</v>
      </c>
      <c r="J442" s="2">
        <v>5367.73</v>
      </c>
      <c r="K442" s="4">
        <f t="shared" si="24"/>
        <v>2.4698933803789215E-2</v>
      </c>
      <c r="L442" s="6">
        <f t="shared" si="25"/>
        <v>3.9299999999999997</v>
      </c>
      <c r="M442" s="6">
        <f t="shared" si="26"/>
        <v>237.27374999999998</v>
      </c>
      <c r="N442" s="8">
        <f t="shared" si="27"/>
        <v>0.47130248640371442</v>
      </c>
    </row>
    <row r="443" spans="1:14" x14ac:dyDescent="0.45">
      <c r="A443" s="12">
        <v>45549</v>
      </c>
      <c r="B443" s="2" t="s">
        <v>35</v>
      </c>
      <c r="C443" s="2" t="s">
        <v>38</v>
      </c>
      <c r="D443" s="2" t="s">
        <v>29</v>
      </c>
      <c r="E443" s="2" t="s">
        <v>26</v>
      </c>
      <c r="F443" s="2">
        <v>152680</v>
      </c>
      <c r="G443" s="2">
        <v>6214</v>
      </c>
      <c r="H443" s="2">
        <v>13049.4</v>
      </c>
      <c r="I443" s="2">
        <v>283</v>
      </c>
      <c r="J443" s="2">
        <v>13261.37</v>
      </c>
      <c r="K443" s="4">
        <f t="shared" si="24"/>
        <v>4.069950222687975E-2</v>
      </c>
      <c r="L443" s="6">
        <f t="shared" si="25"/>
        <v>2.1</v>
      </c>
      <c r="M443" s="6">
        <f t="shared" si="26"/>
        <v>46.11095406360424</v>
      </c>
      <c r="N443" s="8">
        <f t="shared" si="27"/>
        <v>1.0162436587122781</v>
      </c>
    </row>
    <row r="444" spans="1:14" x14ac:dyDescent="0.45">
      <c r="A444" s="12">
        <v>45555</v>
      </c>
      <c r="B444" s="2" t="s">
        <v>15</v>
      </c>
      <c r="C444" s="2" t="s">
        <v>38</v>
      </c>
      <c r="D444" s="2" t="s">
        <v>25</v>
      </c>
      <c r="E444" s="2" t="s">
        <v>26</v>
      </c>
      <c r="F444" s="2">
        <v>168384</v>
      </c>
      <c r="G444" s="2">
        <v>4681</v>
      </c>
      <c r="H444" s="2">
        <v>12030.17</v>
      </c>
      <c r="I444" s="2">
        <v>267</v>
      </c>
      <c r="J444" s="2">
        <v>58628.480000000003</v>
      </c>
      <c r="K444" s="4">
        <f t="shared" si="24"/>
        <v>2.7799553401748386E-2</v>
      </c>
      <c r="L444" s="6">
        <f t="shared" si="25"/>
        <v>2.57</v>
      </c>
      <c r="M444" s="6">
        <f t="shared" si="26"/>
        <v>45.056816479400752</v>
      </c>
      <c r="N444" s="8">
        <f t="shared" si="27"/>
        <v>4.8734539910907326</v>
      </c>
    </row>
    <row r="445" spans="1:14" x14ac:dyDescent="0.45">
      <c r="A445" s="12">
        <v>45526</v>
      </c>
      <c r="B445" s="2" t="s">
        <v>15</v>
      </c>
      <c r="C445" s="2" t="s">
        <v>38</v>
      </c>
      <c r="D445" s="2" t="s">
        <v>17</v>
      </c>
      <c r="E445" s="2" t="s">
        <v>54</v>
      </c>
      <c r="F445" s="2">
        <v>106026</v>
      </c>
      <c r="G445" s="2">
        <v>5152</v>
      </c>
      <c r="H445" s="2">
        <v>8861.44</v>
      </c>
      <c r="I445" s="2">
        <v>240</v>
      </c>
      <c r="J445" s="2">
        <v>50663.13</v>
      </c>
      <c r="K445" s="4">
        <f t="shared" si="24"/>
        <v>4.859185482806104E-2</v>
      </c>
      <c r="L445" s="6">
        <f t="shared" si="25"/>
        <v>1.7200000000000002</v>
      </c>
      <c r="M445" s="6">
        <f t="shared" si="26"/>
        <v>36.922666666666672</v>
      </c>
      <c r="N445" s="8">
        <f t="shared" si="27"/>
        <v>5.7172570146612731</v>
      </c>
    </row>
    <row r="446" spans="1:14" x14ac:dyDescent="0.45">
      <c r="A446" s="12">
        <v>45404</v>
      </c>
      <c r="B446" s="2" t="s">
        <v>15</v>
      </c>
      <c r="C446" s="2" t="s">
        <v>16</v>
      </c>
      <c r="D446" s="2" t="s">
        <v>41</v>
      </c>
      <c r="E446" s="2" t="s">
        <v>30</v>
      </c>
      <c r="F446" s="2">
        <v>107364</v>
      </c>
      <c r="G446" s="2">
        <v>4895</v>
      </c>
      <c r="H446" s="2">
        <v>12971.75</v>
      </c>
      <c r="I446" s="2">
        <v>200</v>
      </c>
      <c r="J446" s="2">
        <v>42108.23</v>
      </c>
      <c r="K446" s="4">
        <f t="shared" si="24"/>
        <v>4.5592563615364554E-2</v>
      </c>
      <c r="L446" s="6">
        <f t="shared" si="25"/>
        <v>2.65</v>
      </c>
      <c r="M446" s="6">
        <f t="shared" si="26"/>
        <v>64.858750000000001</v>
      </c>
      <c r="N446" s="8">
        <f t="shared" si="27"/>
        <v>3.2461487463141059</v>
      </c>
    </row>
    <row r="447" spans="1:14" x14ac:dyDescent="0.45">
      <c r="A447" s="12">
        <v>45468</v>
      </c>
      <c r="B447" s="2" t="s">
        <v>15</v>
      </c>
      <c r="C447" s="2" t="s">
        <v>24</v>
      </c>
      <c r="D447" s="2" t="s">
        <v>21</v>
      </c>
      <c r="E447" s="2" t="s">
        <v>22</v>
      </c>
      <c r="F447" s="2">
        <v>132152</v>
      </c>
      <c r="G447" s="2">
        <v>7572</v>
      </c>
      <c r="H447" s="2">
        <v>8632.08</v>
      </c>
      <c r="I447" s="2">
        <v>552</v>
      </c>
      <c r="J447" s="2">
        <v>115644.47</v>
      </c>
      <c r="K447" s="4">
        <f t="shared" si="24"/>
        <v>5.7297657243174524E-2</v>
      </c>
      <c r="L447" s="6">
        <f t="shared" si="25"/>
        <v>1.1399999999999999</v>
      </c>
      <c r="M447" s="6">
        <f t="shared" si="26"/>
        <v>15.637826086956522</v>
      </c>
      <c r="N447" s="8">
        <f t="shared" si="27"/>
        <v>13.397057256188543</v>
      </c>
    </row>
    <row r="448" spans="1:14" x14ac:dyDescent="0.45">
      <c r="A448" s="12">
        <v>45487</v>
      </c>
      <c r="B448" s="2" t="s">
        <v>15</v>
      </c>
      <c r="C448" s="2" t="s">
        <v>28</v>
      </c>
      <c r="D448" s="2" t="s">
        <v>17</v>
      </c>
      <c r="E448" s="2" t="s">
        <v>54</v>
      </c>
      <c r="F448" s="2">
        <v>116695</v>
      </c>
      <c r="G448" s="2">
        <v>5799</v>
      </c>
      <c r="H448" s="2">
        <v>18150.87</v>
      </c>
      <c r="I448" s="2">
        <v>372</v>
      </c>
      <c r="J448" s="2">
        <v>56034.95</v>
      </c>
      <c r="K448" s="4">
        <f t="shared" si="24"/>
        <v>4.9693645828870134E-2</v>
      </c>
      <c r="L448" s="6">
        <f t="shared" si="25"/>
        <v>3.13</v>
      </c>
      <c r="M448" s="6">
        <f t="shared" si="26"/>
        <v>48.792661290322577</v>
      </c>
      <c r="N448" s="8">
        <f t="shared" si="27"/>
        <v>3.087177088481158</v>
      </c>
    </row>
    <row r="449" spans="1:14" x14ac:dyDescent="0.45">
      <c r="A449" s="12">
        <v>45624</v>
      </c>
      <c r="B449" s="2" t="s">
        <v>35</v>
      </c>
      <c r="C449" s="2" t="s">
        <v>16</v>
      </c>
      <c r="D449" s="2" t="s">
        <v>41</v>
      </c>
      <c r="E449" s="2" t="s">
        <v>22</v>
      </c>
      <c r="F449" s="2">
        <v>116030</v>
      </c>
      <c r="G449" s="2">
        <v>4177</v>
      </c>
      <c r="H449" s="2">
        <v>3759.3</v>
      </c>
      <c r="I449" s="2">
        <v>188</v>
      </c>
      <c r="J449" s="2">
        <v>8691.11</v>
      </c>
      <c r="K449" s="4">
        <f t="shared" si="24"/>
        <v>3.5999310523140565E-2</v>
      </c>
      <c r="L449" s="6">
        <f t="shared" si="25"/>
        <v>0.9</v>
      </c>
      <c r="M449" s="6">
        <f t="shared" si="26"/>
        <v>19.996276595744682</v>
      </c>
      <c r="N449" s="8">
        <f t="shared" si="27"/>
        <v>2.3118958316707898</v>
      </c>
    </row>
    <row r="450" spans="1:14" x14ac:dyDescent="0.45">
      <c r="A450" s="12">
        <v>45515</v>
      </c>
      <c r="B450" s="2" t="s">
        <v>20</v>
      </c>
      <c r="C450" s="2" t="s">
        <v>16</v>
      </c>
      <c r="D450" s="2" t="s">
        <v>41</v>
      </c>
      <c r="E450" s="2" t="s">
        <v>54</v>
      </c>
      <c r="F450" s="2">
        <v>164599</v>
      </c>
      <c r="G450" s="2">
        <v>11209</v>
      </c>
      <c r="H450" s="2">
        <v>4595.6899999999996</v>
      </c>
      <c r="I450" s="2">
        <v>653</v>
      </c>
      <c r="J450" s="2">
        <v>133415.01</v>
      </c>
      <c r="K450" s="4">
        <f t="shared" si="24"/>
        <v>6.8098834136294875E-2</v>
      </c>
      <c r="L450" s="6">
        <f t="shared" si="25"/>
        <v>0.41</v>
      </c>
      <c r="M450" s="6">
        <f t="shared" si="26"/>
        <v>7.037810107197549</v>
      </c>
      <c r="N450" s="8">
        <f t="shared" si="27"/>
        <v>29.030463325420126</v>
      </c>
    </row>
    <row r="451" spans="1:14" x14ac:dyDescent="0.45">
      <c r="A451" s="12">
        <v>45400</v>
      </c>
      <c r="B451" s="2" t="s">
        <v>20</v>
      </c>
      <c r="C451" s="2" t="s">
        <v>24</v>
      </c>
      <c r="D451" s="2" t="s">
        <v>17</v>
      </c>
      <c r="E451" s="2" t="s">
        <v>51</v>
      </c>
      <c r="F451" s="2">
        <v>188844</v>
      </c>
      <c r="G451" s="2">
        <v>12860</v>
      </c>
      <c r="H451" s="2">
        <v>12602.8</v>
      </c>
      <c r="I451" s="2">
        <v>892</v>
      </c>
      <c r="J451" s="2">
        <v>133607.64000000001</v>
      </c>
      <c r="K451" s="4">
        <f t="shared" ref="K451:K514" si="28" xml:space="preserve"> G451 / F451</f>
        <v>6.8098536358052145E-2</v>
      </c>
      <c r="L451" s="6">
        <f t="shared" ref="L451:L514" si="29">H451/G451</f>
        <v>0.98</v>
      </c>
      <c r="M451" s="6">
        <f t="shared" ref="M451:M514" si="30">H451/I451</f>
        <v>14.128699551569506</v>
      </c>
      <c r="N451" s="8">
        <f t="shared" ref="N451:N514" si="31">J451/H451</f>
        <v>10.601425080140922</v>
      </c>
    </row>
    <row r="452" spans="1:14" x14ac:dyDescent="0.45">
      <c r="A452" s="12">
        <v>45545</v>
      </c>
      <c r="B452" s="2" t="s">
        <v>20</v>
      </c>
      <c r="C452" s="2" t="s">
        <v>16</v>
      </c>
      <c r="D452" s="2" t="s">
        <v>41</v>
      </c>
      <c r="E452" s="2" t="s">
        <v>33</v>
      </c>
      <c r="F452" s="2">
        <v>90468</v>
      </c>
      <c r="G452" s="2">
        <v>5753</v>
      </c>
      <c r="H452" s="2">
        <v>4602.3999999999996</v>
      </c>
      <c r="I452" s="2">
        <v>141</v>
      </c>
      <c r="J452" s="2">
        <v>12042.73</v>
      </c>
      <c r="K452" s="4">
        <f t="shared" si="28"/>
        <v>6.3591546182075437E-2</v>
      </c>
      <c r="L452" s="6">
        <f t="shared" si="29"/>
        <v>0.79999999999999993</v>
      </c>
      <c r="M452" s="6">
        <f t="shared" si="30"/>
        <v>32.641134751773045</v>
      </c>
      <c r="N452" s="8">
        <f t="shared" si="31"/>
        <v>2.6166195897792459</v>
      </c>
    </row>
    <row r="453" spans="1:14" x14ac:dyDescent="0.45">
      <c r="A453" s="12">
        <v>45467</v>
      </c>
      <c r="B453" s="2" t="s">
        <v>15</v>
      </c>
      <c r="C453" s="2" t="s">
        <v>24</v>
      </c>
      <c r="D453" s="2" t="s">
        <v>41</v>
      </c>
      <c r="E453" s="2" t="s">
        <v>54</v>
      </c>
      <c r="F453" s="2">
        <v>117223</v>
      </c>
      <c r="G453" s="2">
        <v>7935</v>
      </c>
      <c r="H453" s="2">
        <v>16028.7</v>
      </c>
      <c r="I453" s="2">
        <v>166</v>
      </c>
      <c r="J453" s="2">
        <v>47449.87</v>
      </c>
      <c r="K453" s="4">
        <f t="shared" si="28"/>
        <v>6.7691493990087268E-2</v>
      </c>
      <c r="L453" s="6">
        <f t="shared" si="29"/>
        <v>2.02</v>
      </c>
      <c r="M453" s="6">
        <f t="shared" si="30"/>
        <v>96.558433734939769</v>
      </c>
      <c r="N453" s="8">
        <f t="shared" si="31"/>
        <v>2.9603068246333142</v>
      </c>
    </row>
    <row r="454" spans="1:14" x14ac:dyDescent="0.45">
      <c r="A454" s="12">
        <v>45377</v>
      </c>
      <c r="B454" s="2" t="s">
        <v>20</v>
      </c>
      <c r="C454" s="2" t="s">
        <v>28</v>
      </c>
      <c r="D454" s="2" t="s">
        <v>29</v>
      </c>
      <c r="E454" s="2" t="s">
        <v>30</v>
      </c>
      <c r="F454" s="2">
        <v>93478</v>
      </c>
      <c r="G454" s="2">
        <v>5786</v>
      </c>
      <c r="H454" s="2">
        <v>2430.12</v>
      </c>
      <c r="I454" s="2">
        <v>272</v>
      </c>
      <c r="J454" s="2">
        <v>27905.19</v>
      </c>
      <c r="K454" s="4">
        <f t="shared" si="28"/>
        <v>6.1896916921628617E-2</v>
      </c>
      <c r="L454" s="6">
        <f t="shared" si="29"/>
        <v>0.42</v>
      </c>
      <c r="M454" s="6">
        <f t="shared" si="30"/>
        <v>8.9342647058823523</v>
      </c>
      <c r="N454" s="8">
        <f t="shared" si="31"/>
        <v>11.483050219742235</v>
      </c>
    </row>
    <row r="455" spans="1:14" x14ac:dyDescent="0.45">
      <c r="A455" s="12">
        <v>45625</v>
      </c>
      <c r="B455" s="2" t="s">
        <v>15</v>
      </c>
      <c r="C455" s="2" t="s">
        <v>24</v>
      </c>
      <c r="D455" s="2" t="s">
        <v>21</v>
      </c>
      <c r="E455" s="2" t="s">
        <v>33</v>
      </c>
      <c r="F455" s="2">
        <v>9134</v>
      </c>
      <c r="G455" s="2">
        <v>228</v>
      </c>
      <c r="H455" s="2">
        <v>316.92</v>
      </c>
      <c r="I455" s="2">
        <v>2</v>
      </c>
      <c r="J455" s="2">
        <v>329.55</v>
      </c>
      <c r="K455" s="4">
        <f t="shared" si="28"/>
        <v>2.4961681629078171E-2</v>
      </c>
      <c r="L455" s="6">
        <f t="shared" si="29"/>
        <v>1.3900000000000001</v>
      </c>
      <c r="M455" s="6">
        <f t="shared" si="30"/>
        <v>158.46</v>
      </c>
      <c r="N455" s="8">
        <f t="shared" si="31"/>
        <v>1.0398523286633852</v>
      </c>
    </row>
    <row r="456" spans="1:14" x14ac:dyDescent="0.45">
      <c r="A456" s="12">
        <v>45422</v>
      </c>
      <c r="B456" s="2" t="s">
        <v>35</v>
      </c>
      <c r="C456" s="2" t="s">
        <v>38</v>
      </c>
      <c r="D456" s="2" t="s">
        <v>41</v>
      </c>
      <c r="E456" s="2" t="s">
        <v>18</v>
      </c>
      <c r="F456" s="2">
        <v>29485</v>
      </c>
      <c r="G456" s="2">
        <v>1341</v>
      </c>
      <c r="H456" s="2">
        <v>1890.81</v>
      </c>
      <c r="I456" s="2">
        <v>46</v>
      </c>
      <c r="J456" s="2">
        <v>4626.55</v>
      </c>
      <c r="K456" s="4">
        <f t="shared" si="28"/>
        <v>4.5480752925216208E-2</v>
      </c>
      <c r="L456" s="6">
        <f t="shared" si="29"/>
        <v>1.41</v>
      </c>
      <c r="M456" s="6">
        <f t="shared" si="30"/>
        <v>41.104565217391304</v>
      </c>
      <c r="N456" s="8">
        <f t="shared" si="31"/>
        <v>2.446861398025185</v>
      </c>
    </row>
    <row r="457" spans="1:14" x14ac:dyDescent="0.45">
      <c r="A457" s="12">
        <v>45649</v>
      </c>
      <c r="B457" s="2" t="s">
        <v>20</v>
      </c>
      <c r="C457" s="2" t="s">
        <v>24</v>
      </c>
      <c r="D457" s="2" t="s">
        <v>29</v>
      </c>
      <c r="E457" s="2" t="s">
        <v>33</v>
      </c>
      <c r="F457" s="2">
        <v>22221</v>
      </c>
      <c r="G457" s="2">
        <v>1706</v>
      </c>
      <c r="H457" s="2">
        <v>853</v>
      </c>
      <c r="I457" s="2">
        <v>74</v>
      </c>
      <c r="J457" s="2">
        <v>14659.06</v>
      </c>
      <c r="K457" s="4">
        <f t="shared" si="28"/>
        <v>7.6774222582242022E-2</v>
      </c>
      <c r="L457" s="6">
        <f t="shared" si="29"/>
        <v>0.5</v>
      </c>
      <c r="M457" s="6">
        <f t="shared" si="30"/>
        <v>11.527027027027026</v>
      </c>
      <c r="N457" s="8">
        <f t="shared" si="31"/>
        <v>17.185298944900349</v>
      </c>
    </row>
    <row r="458" spans="1:14" x14ac:dyDescent="0.45">
      <c r="A458" s="12">
        <v>45462</v>
      </c>
      <c r="B458" s="2" t="s">
        <v>15</v>
      </c>
      <c r="C458" s="2" t="s">
        <v>38</v>
      </c>
      <c r="D458" s="2" t="s">
        <v>29</v>
      </c>
      <c r="E458" s="2" t="s">
        <v>30</v>
      </c>
      <c r="F458" s="2">
        <v>178567</v>
      </c>
      <c r="G458" s="2">
        <v>8374</v>
      </c>
      <c r="H458" s="2">
        <v>11137.42</v>
      </c>
      <c r="I458" s="2">
        <v>98</v>
      </c>
      <c r="J458" s="2">
        <v>8808.2900000000009</v>
      </c>
      <c r="K458" s="4">
        <f t="shared" si="28"/>
        <v>4.689556300996265E-2</v>
      </c>
      <c r="L458" s="6">
        <f t="shared" si="29"/>
        <v>1.33</v>
      </c>
      <c r="M458" s="6">
        <f t="shared" si="30"/>
        <v>113.64714285714285</v>
      </c>
      <c r="N458" s="8">
        <f t="shared" si="31"/>
        <v>0.79087346979821183</v>
      </c>
    </row>
    <row r="459" spans="1:14" x14ac:dyDescent="0.45">
      <c r="A459" s="12">
        <v>45571</v>
      </c>
      <c r="B459" s="2" t="s">
        <v>20</v>
      </c>
      <c r="C459" s="2" t="s">
        <v>38</v>
      </c>
      <c r="D459" s="2" t="s">
        <v>41</v>
      </c>
      <c r="E459" s="2" t="s">
        <v>54</v>
      </c>
      <c r="F459" s="2">
        <v>93074</v>
      </c>
      <c r="G459" s="2">
        <v>4225</v>
      </c>
      <c r="H459" s="2">
        <v>6506.5</v>
      </c>
      <c r="I459" s="2">
        <v>300</v>
      </c>
      <c r="J459" s="2">
        <v>11467.08</v>
      </c>
      <c r="K459" s="4">
        <f t="shared" si="28"/>
        <v>4.5393987579775232E-2</v>
      </c>
      <c r="L459" s="6">
        <f t="shared" si="29"/>
        <v>1.54</v>
      </c>
      <c r="M459" s="6">
        <f t="shared" si="30"/>
        <v>21.688333333333333</v>
      </c>
      <c r="N459" s="8">
        <f t="shared" si="31"/>
        <v>1.7624037500960579</v>
      </c>
    </row>
    <row r="460" spans="1:14" x14ac:dyDescent="0.45">
      <c r="A460" s="12">
        <v>45650</v>
      </c>
      <c r="B460" s="2" t="s">
        <v>15</v>
      </c>
      <c r="C460" s="2" t="s">
        <v>16</v>
      </c>
      <c r="D460" s="2" t="s">
        <v>25</v>
      </c>
      <c r="E460" s="2" t="s">
        <v>54</v>
      </c>
      <c r="F460" s="2">
        <v>155840</v>
      </c>
      <c r="G460" s="2">
        <v>4566</v>
      </c>
      <c r="H460" s="2">
        <v>5113.92</v>
      </c>
      <c r="I460" s="2">
        <v>312</v>
      </c>
      <c r="J460" s="2">
        <v>40138.5</v>
      </c>
      <c r="K460" s="4">
        <f t="shared" si="28"/>
        <v>2.9299281314168379E-2</v>
      </c>
      <c r="L460" s="6">
        <f t="shared" si="29"/>
        <v>1.1200000000000001</v>
      </c>
      <c r="M460" s="6">
        <f t="shared" si="30"/>
        <v>16.39076923076923</v>
      </c>
      <c r="N460" s="8">
        <f t="shared" si="31"/>
        <v>7.848871315937676</v>
      </c>
    </row>
    <row r="461" spans="1:14" x14ac:dyDescent="0.45">
      <c r="A461" s="12">
        <v>45494</v>
      </c>
      <c r="B461" s="2" t="s">
        <v>20</v>
      </c>
      <c r="C461" s="2" t="s">
        <v>38</v>
      </c>
      <c r="D461" s="2" t="s">
        <v>41</v>
      </c>
      <c r="E461" s="2" t="s">
        <v>51</v>
      </c>
      <c r="F461" s="2">
        <v>21956</v>
      </c>
      <c r="G461" s="2">
        <v>1611</v>
      </c>
      <c r="H461" s="2">
        <v>2271.5100000000002</v>
      </c>
      <c r="I461" s="2">
        <v>79</v>
      </c>
      <c r="J461" s="2">
        <v>9545.2800000000007</v>
      </c>
      <c r="K461" s="4">
        <f t="shared" si="28"/>
        <v>7.3374020768810347E-2</v>
      </c>
      <c r="L461" s="6">
        <f t="shared" si="29"/>
        <v>1.4100000000000001</v>
      </c>
      <c r="M461" s="6">
        <f t="shared" si="30"/>
        <v>28.75329113924051</v>
      </c>
      <c r="N461" s="8">
        <f t="shared" si="31"/>
        <v>4.2021738843324483</v>
      </c>
    </row>
    <row r="462" spans="1:14" x14ac:dyDescent="0.45">
      <c r="A462" s="12">
        <v>45418</v>
      </c>
      <c r="B462" s="2" t="s">
        <v>35</v>
      </c>
      <c r="C462" s="2" t="s">
        <v>16</v>
      </c>
      <c r="D462" s="2" t="s">
        <v>41</v>
      </c>
      <c r="E462" s="2" t="s">
        <v>26</v>
      </c>
      <c r="F462" s="2">
        <v>177224</v>
      </c>
      <c r="G462" s="2">
        <v>2374</v>
      </c>
      <c r="H462" s="2">
        <v>3727.18</v>
      </c>
      <c r="I462" s="2">
        <v>142</v>
      </c>
      <c r="J462" s="2">
        <v>18303.419999999998</v>
      </c>
      <c r="K462" s="4">
        <f t="shared" si="28"/>
        <v>1.3395476910576446E-2</v>
      </c>
      <c r="L462" s="6">
        <f t="shared" si="29"/>
        <v>1.5699999999999998</v>
      </c>
      <c r="M462" s="6">
        <f t="shared" si="30"/>
        <v>26.247746478873239</v>
      </c>
      <c r="N462" s="8">
        <f t="shared" si="31"/>
        <v>4.9107958295547842</v>
      </c>
    </row>
    <row r="463" spans="1:14" x14ac:dyDescent="0.45">
      <c r="A463" s="12">
        <v>45600</v>
      </c>
      <c r="B463" s="2" t="s">
        <v>15</v>
      </c>
      <c r="C463" s="2" t="s">
        <v>16</v>
      </c>
      <c r="D463" s="2" t="s">
        <v>21</v>
      </c>
      <c r="E463" s="2" t="s">
        <v>18</v>
      </c>
      <c r="F463" s="2">
        <v>93720</v>
      </c>
      <c r="G463" s="2">
        <v>2661</v>
      </c>
      <c r="H463" s="2">
        <v>4523.7</v>
      </c>
      <c r="I463" s="2">
        <v>104</v>
      </c>
      <c r="J463" s="2">
        <v>18904.07</v>
      </c>
      <c r="K463" s="4">
        <f t="shared" si="28"/>
        <v>2.8393085787451984E-2</v>
      </c>
      <c r="L463" s="6">
        <f t="shared" si="29"/>
        <v>1.7</v>
      </c>
      <c r="M463" s="6">
        <f t="shared" si="30"/>
        <v>43.497115384615384</v>
      </c>
      <c r="N463" s="8">
        <f t="shared" si="31"/>
        <v>4.1788955943143886</v>
      </c>
    </row>
    <row r="464" spans="1:14" x14ac:dyDescent="0.45">
      <c r="A464" s="12">
        <v>45440</v>
      </c>
      <c r="B464" s="2" t="s">
        <v>15</v>
      </c>
      <c r="C464" s="2" t="s">
        <v>38</v>
      </c>
      <c r="D464" s="2" t="s">
        <v>21</v>
      </c>
      <c r="E464" s="2" t="s">
        <v>26</v>
      </c>
      <c r="F464" s="2">
        <v>169909</v>
      </c>
      <c r="G464" s="2">
        <v>7781</v>
      </c>
      <c r="H464" s="2">
        <v>19452.5</v>
      </c>
      <c r="I464" s="2">
        <v>124</v>
      </c>
      <c r="J464" s="2">
        <v>26123.279999999999</v>
      </c>
      <c r="K464" s="4">
        <f t="shared" si="28"/>
        <v>4.5795102084056759E-2</v>
      </c>
      <c r="L464" s="6">
        <f t="shared" si="29"/>
        <v>2.5</v>
      </c>
      <c r="M464" s="6">
        <f t="shared" si="30"/>
        <v>156.875</v>
      </c>
      <c r="N464" s="8">
        <f t="shared" si="31"/>
        <v>1.3429266161161804</v>
      </c>
    </row>
    <row r="465" spans="1:14" x14ac:dyDescent="0.45">
      <c r="A465" s="12">
        <v>45509</v>
      </c>
      <c r="B465" s="2" t="s">
        <v>35</v>
      </c>
      <c r="C465" s="2" t="s">
        <v>24</v>
      </c>
      <c r="D465" s="2" t="s">
        <v>25</v>
      </c>
      <c r="E465" s="2" t="s">
        <v>26</v>
      </c>
      <c r="F465" s="2">
        <v>46548</v>
      </c>
      <c r="G465" s="2">
        <v>1047</v>
      </c>
      <c r="H465" s="2">
        <v>1622.85</v>
      </c>
      <c r="I465" s="2">
        <v>28</v>
      </c>
      <c r="J465" s="2">
        <v>7800.92</v>
      </c>
      <c r="K465" s="4">
        <f t="shared" si="28"/>
        <v>2.2492910543954626E-2</v>
      </c>
      <c r="L465" s="6">
        <f t="shared" si="29"/>
        <v>1.5499999999999998</v>
      </c>
      <c r="M465" s="6">
        <f t="shared" si="30"/>
        <v>57.958928571428565</v>
      </c>
      <c r="N465" s="8">
        <f t="shared" si="31"/>
        <v>4.8069260868225658</v>
      </c>
    </row>
    <row r="466" spans="1:14" x14ac:dyDescent="0.45">
      <c r="A466" s="12">
        <v>45634</v>
      </c>
      <c r="B466" s="2" t="s">
        <v>35</v>
      </c>
      <c r="C466" s="2" t="s">
        <v>16</v>
      </c>
      <c r="D466" s="2" t="s">
        <v>25</v>
      </c>
      <c r="E466" s="2" t="s">
        <v>26</v>
      </c>
      <c r="F466" s="2">
        <v>6875</v>
      </c>
      <c r="G466" s="2">
        <v>158</v>
      </c>
      <c r="H466" s="2">
        <v>289.14</v>
      </c>
      <c r="I466" s="2">
        <v>2</v>
      </c>
      <c r="J466" s="2">
        <v>386.94</v>
      </c>
      <c r="K466" s="4">
        <f t="shared" si="28"/>
        <v>2.2981818181818183E-2</v>
      </c>
      <c r="L466" s="6">
        <f t="shared" si="29"/>
        <v>1.8299999999999998</v>
      </c>
      <c r="M466" s="6">
        <f t="shared" si="30"/>
        <v>144.57</v>
      </c>
      <c r="N466" s="8">
        <f t="shared" si="31"/>
        <v>1.3382444490558207</v>
      </c>
    </row>
    <row r="467" spans="1:14" x14ac:dyDescent="0.45">
      <c r="A467" s="12">
        <v>45652</v>
      </c>
      <c r="B467" s="2" t="s">
        <v>15</v>
      </c>
      <c r="C467" s="2" t="s">
        <v>16</v>
      </c>
      <c r="D467" s="2" t="s">
        <v>29</v>
      </c>
      <c r="E467" s="2" t="s">
        <v>51</v>
      </c>
      <c r="F467" s="2">
        <v>106975</v>
      </c>
      <c r="G467" s="2">
        <v>4300</v>
      </c>
      <c r="H467" s="2">
        <v>10277</v>
      </c>
      <c r="I467" s="2">
        <v>335</v>
      </c>
      <c r="J467" s="2">
        <v>35904.36</v>
      </c>
      <c r="K467" s="4">
        <f t="shared" si="28"/>
        <v>4.0196307548492641E-2</v>
      </c>
      <c r="L467" s="6">
        <f t="shared" si="29"/>
        <v>2.39</v>
      </c>
      <c r="M467" s="6">
        <f t="shared" si="30"/>
        <v>30.677611940298508</v>
      </c>
      <c r="N467" s="8">
        <f t="shared" si="31"/>
        <v>3.4936615743894133</v>
      </c>
    </row>
    <row r="468" spans="1:14" x14ac:dyDescent="0.45">
      <c r="A468" s="12">
        <v>45330</v>
      </c>
      <c r="B468" s="2" t="s">
        <v>15</v>
      </c>
      <c r="C468" s="2" t="s">
        <v>28</v>
      </c>
      <c r="D468" s="2" t="s">
        <v>29</v>
      </c>
      <c r="E468" s="2" t="s">
        <v>22</v>
      </c>
      <c r="F468" s="2">
        <v>10574</v>
      </c>
      <c r="G468" s="2">
        <v>389</v>
      </c>
      <c r="H468" s="2">
        <v>1007.51</v>
      </c>
      <c r="I468" s="2">
        <v>6</v>
      </c>
      <c r="J468" s="2">
        <v>908.68</v>
      </c>
      <c r="K468" s="4">
        <f t="shared" si="28"/>
        <v>3.6788348780026479E-2</v>
      </c>
      <c r="L468" s="6">
        <f t="shared" si="29"/>
        <v>2.59</v>
      </c>
      <c r="M468" s="6">
        <f t="shared" si="30"/>
        <v>167.91833333333332</v>
      </c>
      <c r="N468" s="8">
        <f t="shared" si="31"/>
        <v>0.90190668082698922</v>
      </c>
    </row>
    <row r="469" spans="1:14" x14ac:dyDescent="0.45">
      <c r="A469" s="12">
        <v>45489</v>
      </c>
      <c r="B469" s="2" t="s">
        <v>20</v>
      </c>
      <c r="C469" s="2" t="s">
        <v>24</v>
      </c>
      <c r="D469" s="2" t="s">
        <v>17</v>
      </c>
      <c r="E469" s="2" t="s">
        <v>54</v>
      </c>
      <c r="F469" s="2">
        <v>147658</v>
      </c>
      <c r="G469" s="2">
        <v>6939</v>
      </c>
      <c r="H469" s="2">
        <v>5967.54</v>
      </c>
      <c r="I469" s="2">
        <v>282</v>
      </c>
      <c r="J469" s="2">
        <v>39581.75</v>
      </c>
      <c r="K469" s="4">
        <f t="shared" si="28"/>
        <v>4.6993728751574586E-2</v>
      </c>
      <c r="L469" s="6">
        <f t="shared" si="29"/>
        <v>0.86</v>
      </c>
      <c r="M469" s="6">
        <f t="shared" si="30"/>
        <v>21.161489361702127</v>
      </c>
      <c r="N469" s="8">
        <f t="shared" si="31"/>
        <v>6.6328420085998587</v>
      </c>
    </row>
    <row r="470" spans="1:14" x14ac:dyDescent="0.45">
      <c r="A470" s="12">
        <v>45445</v>
      </c>
      <c r="B470" s="2" t="s">
        <v>35</v>
      </c>
      <c r="C470" s="2" t="s">
        <v>28</v>
      </c>
      <c r="D470" s="2" t="s">
        <v>29</v>
      </c>
      <c r="E470" s="2" t="s">
        <v>33</v>
      </c>
      <c r="F470" s="2">
        <v>52013</v>
      </c>
      <c r="G470" s="2">
        <v>1565</v>
      </c>
      <c r="H470" s="2">
        <v>1611.95</v>
      </c>
      <c r="I470" s="2">
        <v>23</v>
      </c>
      <c r="J470" s="2">
        <v>6481.69</v>
      </c>
      <c r="K470" s="4">
        <f t="shared" si="28"/>
        <v>3.0088631688231789E-2</v>
      </c>
      <c r="L470" s="6">
        <f t="shared" si="29"/>
        <v>1.03</v>
      </c>
      <c r="M470" s="6">
        <f t="shared" si="30"/>
        <v>70.084782608695647</v>
      </c>
      <c r="N470" s="8">
        <f t="shared" si="31"/>
        <v>4.021024225317162</v>
      </c>
    </row>
    <row r="471" spans="1:14" x14ac:dyDescent="0.45">
      <c r="A471" s="12">
        <v>45583</v>
      </c>
      <c r="B471" s="2" t="s">
        <v>15</v>
      </c>
      <c r="C471" s="2" t="s">
        <v>16</v>
      </c>
      <c r="D471" s="2" t="s">
        <v>41</v>
      </c>
      <c r="E471" s="2" t="s">
        <v>51</v>
      </c>
      <c r="F471" s="2">
        <v>49484</v>
      </c>
      <c r="G471" s="2">
        <v>1118</v>
      </c>
      <c r="H471" s="2">
        <v>2291.9</v>
      </c>
      <c r="I471" s="2">
        <v>79</v>
      </c>
      <c r="J471" s="2">
        <v>18417.53</v>
      </c>
      <c r="K471" s="4">
        <f t="shared" si="28"/>
        <v>2.2593161425915446E-2</v>
      </c>
      <c r="L471" s="6">
        <f t="shared" si="29"/>
        <v>2.0500000000000003</v>
      </c>
      <c r="M471" s="6">
        <f t="shared" si="30"/>
        <v>29.011392405063294</v>
      </c>
      <c r="N471" s="8">
        <f t="shared" si="31"/>
        <v>8.0359221606527331</v>
      </c>
    </row>
    <row r="472" spans="1:14" x14ac:dyDescent="0.45">
      <c r="A472" s="12">
        <v>45477</v>
      </c>
      <c r="B472" s="2" t="s">
        <v>15</v>
      </c>
      <c r="C472" s="2" t="s">
        <v>16</v>
      </c>
      <c r="D472" s="2" t="s">
        <v>25</v>
      </c>
      <c r="E472" s="2" t="s">
        <v>26</v>
      </c>
      <c r="F472" s="2">
        <v>18877</v>
      </c>
      <c r="G472" s="2">
        <v>545</v>
      </c>
      <c r="H472" s="2">
        <v>1744</v>
      </c>
      <c r="I472" s="2">
        <v>26</v>
      </c>
      <c r="J472" s="2">
        <v>5981</v>
      </c>
      <c r="K472" s="4">
        <f t="shared" si="28"/>
        <v>2.8871112994649572E-2</v>
      </c>
      <c r="L472" s="6">
        <f t="shared" si="29"/>
        <v>3.2</v>
      </c>
      <c r="M472" s="6">
        <f t="shared" si="30"/>
        <v>67.07692307692308</v>
      </c>
      <c r="N472" s="8">
        <f t="shared" si="31"/>
        <v>3.4294724770642202</v>
      </c>
    </row>
    <row r="473" spans="1:14" x14ac:dyDescent="0.45">
      <c r="A473" s="12">
        <v>45397</v>
      </c>
      <c r="B473" s="2" t="s">
        <v>35</v>
      </c>
      <c r="C473" s="2" t="s">
        <v>28</v>
      </c>
      <c r="D473" s="2" t="s">
        <v>25</v>
      </c>
      <c r="E473" s="2" t="s">
        <v>22</v>
      </c>
      <c r="F473" s="2">
        <v>106505</v>
      </c>
      <c r="G473" s="2">
        <v>1022</v>
      </c>
      <c r="H473" s="2">
        <v>1839.6</v>
      </c>
      <c r="I473" s="2">
        <v>27</v>
      </c>
      <c r="J473" s="2">
        <v>2467.1799999999998</v>
      </c>
      <c r="K473" s="4">
        <f t="shared" si="28"/>
        <v>9.5957936247124554E-3</v>
      </c>
      <c r="L473" s="6">
        <f t="shared" si="29"/>
        <v>1.7999999999999998</v>
      </c>
      <c r="M473" s="6">
        <f t="shared" si="30"/>
        <v>68.133333333333326</v>
      </c>
      <c r="N473" s="8">
        <f t="shared" si="31"/>
        <v>1.3411502500543597</v>
      </c>
    </row>
    <row r="474" spans="1:14" x14ac:dyDescent="0.45">
      <c r="A474" s="12">
        <v>45437</v>
      </c>
      <c r="B474" s="2" t="s">
        <v>15</v>
      </c>
      <c r="C474" s="2" t="s">
        <v>16</v>
      </c>
      <c r="D474" s="2" t="s">
        <v>41</v>
      </c>
      <c r="E474" s="2" t="s">
        <v>51</v>
      </c>
      <c r="F474" s="2">
        <v>65107</v>
      </c>
      <c r="G474" s="2">
        <v>1777</v>
      </c>
      <c r="H474" s="2">
        <v>2896.51</v>
      </c>
      <c r="I474" s="2">
        <v>128</v>
      </c>
      <c r="J474" s="2">
        <v>29612.560000000001</v>
      </c>
      <c r="K474" s="4">
        <f t="shared" si="28"/>
        <v>2.7293532185479287E-2</v>
      </c>
      <c r="L474" s="6">
        <f t="shared" si="29"/>
        <v>1.6300000000000001</v>
      </c>
      <c r="M474" s="6">
        <f t="shared" si="30"/>
        <v>22.628984375000002</v>
      </c>
      <c r="N474" s="8">
        <f t="shared" si="31"/>
        <v>10.223531077054799</v>
      </c>
    </row>
    <row r="475" spans="1:14" x14ac:dyDescent="0.45">
      <c r="A475" s="12">
        <v>45353</v>
      </c>
      <c r="B475" s="2" t="s">
        <v>15</v>
      </c>
      <c r="C475" s="2" t="s">
        <v>28</v>
      </c>
      <c r="D475" s="2" t="s">
        <v>29</v>
      </c>
      <c r="E475" s="2" t="s">
        <v>51</v>
      </c>
      <c r="F475" s="2">
        <v>69839</v>
      </c>
      <c r="G475" s="2">
        <v>1620</v>
      </c>
      <c r="H475" s="2">
        <v>2041.2</v>
      </c>
      <c r="I475" s="2">
        <v>80</v>
      </c>
      <c r="J475" s="2">
        <v>22785.52</v>
      </c>
      <c r="K475" s="4">
        <f t="shared" si="28"/>
        <v>2.3196208422228269E-2</v>
      </c>
      <c r="L475" s="6">
        <f t="shared" si="29"/>
        <v>1.26</v>
      </c>
      <c r="M475" s="6">
        <f t="shared" si="30"/>
        <v>25.515000000000001</v>
      </c>
      <c r="N475" s="8">
        <f t="shared" si="31"/>
        <v>11.162806192435822</v>
      </c>
    </row>
    <row r="476" spans="1:14" x14ac:dyDescent="0.45">
      <c r="A476" s="12">
        <v>45349</v>
      </c>
      <c r="B476" s="2" t="s">
        <v>15</v>
      </c>
      <c r="C476" s="2" t="s">
        <v>24</v>
      </c>
      <c r="D476" s="2" t="s">
        <v>29</v>
      </c>
      <c r="E476" s="2" t="s">
        <v>26</v>
      </c>
      <c r="F476" s="2">
        <v>104794</v>
      </c>
      <c r="G476" s="2">
        <v>5920</v>
      </c>
      <c r="H476" s="2">
        <v>21667.200000000001</v>
      </c>
      <c r="I476" s="2">
        <v>359</v>
      </c>
      <c r="J476" s="2">
        <v>21837.83</v>
      </c>
      <c r="K476" s="4">
        <f t="shared" si="28"/>
        <v>5.6491783880756534E-2</v>
      </c>
      <c r="L476" s="6">
        <f t="shared" si="29"/>
        <v>3.66</v>
      </c>
      <c r="M476" s="6">
        <f t="shared" si="30"/>
        <v>60.354317548746522</v>
      </c>
      <c r="N476" s="8">
        <f t="shared" si="31"/>
        <v>1.0078750369221681</v>
      </c>
    </row>
    <row r="477" spans="1:14" x14ac:dyDescent="0.45">
      <c r="A477" s="12">
        <v>45396</v>
      </c>
      <c r="B477" s="2" t="s">
        <v>35</v>
      </c>
      <c r="C477" s="2" t="s">
        <v>24</v>
      </c>
      <c r="D477" s="2" t="s">
        <v>21</v>
      </c>
      <c r="E477" s="2" t="s">
        <v>26</v>
      </c>
      <c r="F477" s="2">
        <v>33549</v>
      </c>
      <c r="G477" s="2">
        <v>1224</v>
      </c>
      <c r="H477" s="2">
        <v>930.24</v>
      </c>
      <c r="I477" s="2">
        <v>89</v>
      </c>
      <c r="J477" s="2">
        <v>26101.34</v>
      </c>
      <c r="K477" s="4">
        <f t="shared" si="28"/>
        <v>3.6483948850934457E-2</v>
      </c>
      <c r="L477" s="6">
        <f t="shared" si="29"/>
        <v>0.76</v>
      </c>
      <c r="M477" s="6">
        <f t="shared" si="30"/>
        <v>10.452134831460674</v>
      </c>
      <c r="N477" s="8">
        <f t="shared" si="31"/>
        <v>28.058716030271757</v>
      </c>
    </row>
    <row r="478" spans="1:14" x14ac:dyDescent="0.45">
      <c r="A478" s="12">
        <v>45339</v>
      </c>
      <c r="B478" s="2" t="s">
        <v>15</v>
      </c>
      <c r="C478" s="2" t="s">
        <v>24</v>
      </c>
      <c r="D478" s="2" t="s">
        <v>29</v>
      </c>
      <c r="E478" s="2" t="s">
        <v>30</v>
      </c>
      <c r="F478" s="2">
        <v>133027</v>
      </c>
      <c r="G478" s="2">
        <v>7808</v>
      </c>
      <c r="H478" s="2">
        <v>9838.08</v>
      </c>
      <c r="I478" s="2">
        <v>153</v>
      </c>
      <c r="J478" s="2">
        <v>22193.119999999999</v>
      </c>
      <c r="K478" s="4">
        <f t="shared" si="28"/>
        <v>5.8694851421140067E-2</v>
      </c>
      <c r="L478" s="6">
        <f t="shared" si="29"/>
        <v>1.26</v>
      </c>
      <c r="M478" s="6">
        <f t="shared" si="30"/>
        <v>64.301176470588231</v>
      </c>
      <c r="N478" s="8">
        <f t="shared" si="31"/>
        <v>2.2558385376008325</v>
      </c>
    </row>
    <row r="479" spans="1:14" x14ac:dyDescent="0.45">
      <c r="A479" s="12">
        <v>45608</v>
      </c>
      <c r="B479" s="2" t="s">
        <v>35</v>
      </c>
      <c r="C479" s="2" t="s">
        <v>24</v>
      </c>
      <c r="D479" s="2" t="s">
        <v>21</v>
      </c>
      <c r="E479" s="2" t="s">
        <v>30</v>
      </c>
      <c r="F479" s="2">
        <v>27419</v>
      </c>
      <c r="G479" s="2">
        <v>1192</v>
      </c>
      <c r="H479" s="2">
        <v>2181.36</v>
      </c>
      <c r="I479" s="2">
        <v>38</v>
      </c>
      <c r="J479" s="2">
        <v>5935.39</v>
      </c>
      <c r="K479" s="4">
        <f t="shared" si="28"/>
        <v>4.3473503774754729E-2</v>
      </c>
      <c r="L479" s="6">
        <f t="shared" si="29"/>
        <v>1.83</v>
      </c>
      <c r="M479" s="6">
        <f t="shared" si="30"/>
        <v>57.404210526315794</v>
      </c>
      <c r="N479" s="8">
        <f t="shared" si="31"/>
        <v>2.7209584846151027</v>
      </c>
    </row>
    <row r="480" spans="1:14" x14ac:dyDescent="0.45">
      <c r="A480" s="12">
        <v>45436</v>
      </c>
      <c r="B480" s="2" t="s">
        <v>15</v>
      </c>
      <c r="C480" s="2" t="s">
        <v>24</v>
      </c>
      <c r="D480" s="2" t="s">
        <v>25</v>
      </c>
      <c r="E480" s="2" t="s">
        <v>33</v>
      </c>
      <c r="F480" s="2">
        <v>102648</v>
      </c>
      <c r="G480" s="2">
        <v>2330</v>
      </c>
      <c r="H480" s="2">
        <v>5941.5</v>
      </c>
      <c r="I480" s="2">
        <v>157</v>
      </c>
      <c r="J480" s="2">
        <v>28653.63</v>
      </c>
      <c r="K480" s="4">
        <f t="shared" si="28"/>
        <v>2.2698932273400359E-2</v>
      </c>
      <c r="L480" s="6">
        <f t="shared" si="29"/>
        <v>2.5499999999999998</v>
      </c>
      <c r="M480" s="6">
        <f t="shared" si="30"/>
        <v>37.84394904458599</v>
      </c>
      <c r="N480" s="8">
        <f t="shared" si="31"/>
        <v>4.8226255995960621</v>
      </c>
    </row>
    <row r="481" spans="1:14" x14ac:dyDescent="0.45">
      <c r="A481" s="12">
        <v>45311</v>
      </c>
      <c r="B481" s="2" t="s">
        <v>15</v>
      </c>
      <c r="C481" s="2" t="s">
        <v>38</v>
      </c>
      <c r="D481" s="2" t="s">
        <v>41</v>
      </c>
      <c r="E481" s="2" t="s">
        <v>33</v>
      </c>
      <c r="F481" s="2">
        <v>181687</v>
      </c>
      <c r="G481" s="2">
        <v>8321</v>
      </c>
      <c r="H481" s="2">
        <v>26127.94</v>
      </c>
      <c r="I481" s="2">
        <v>651</v>
      </c>
      <c r="J481" s="2">
        <v>189283.47</v>
      </c>
      <c r="K481" s="4">
        <f t="shared" si="28"/>
        <v>4.5798543649242927E-2</v>
      </c>
      <c r="L481" s="6">
        <f t="shared" si="29"/>
        <v>3.1399999999999997</v>
      </c>
      <c r="M481" s="6">
        <f t="shared" si="30"/>
        <v>40.135084485407063</v>
      </c>
      <c r="N481" s="8">
        <f t="shared" si="31"/>
        <v>7.244485022546745</v>
      </c>
    </row>
    <row r="482" spans="1:14" x14ac:dyDescent="0.45">
      <c r="A482" s="12">
        <v>45495</v>
      </c>
      <c r="B482" s="2" t="s">
        <v>15</v>
      </c>
      <c r="C482" s="2" t="s">
        <v>38</v>
      </c>
      <c r="D482" s="2" t="s">
        <v>29</v>
      </c>
      <c r="E482" s="2" t="s">
        <v>22</v>
      </c>
      <c r="F482" s="2">
        <v>166792</v>
      </c>
      <c r="G482" s="2">
        <v>6071</v>
      </c>
      <c r="H482" s="2">
        <v>19123.650000000001</v>
      </c>
      <c r="I482" s="2">
        <v>323</v>
      </c>
      <c r="J482" s="2">
        <v>23590.83</v>
      </c>
      <c r="K482" s="4">
        <f t="shared" si="28"/>
        <v>3.6398628231569863E-2</v>
      </c>
      <c r="L482" s="6">
        <f t="shared" si="29"/>
        <v>3.1500000000000004</v>
      </c>
      <c r="M482" s="6">
        <f t="shared" si="30"/>
        <v>59.206346749226007</v>
      </c>
      <c r="N482" s="8">
        <f t="shared" si="31"/>
        <v>1.2335945282412091</v>
      </c>
    </row>
    <row r="483" spans="1:14" x14ac:dyDescent="0.45">
      <c r="A483" s="12">
        <v>45469</v>
      </c>
      <c r="B483" s="2" t="s">
        <v>20</v>
      </c>
      <c r="C483" s="2" t="s">
        <v>16</v>
      </c>
      <c r="D483" s="2" t="s">
        <v>29</v>
      </c>
      <c r="E483" s="2" t="s">
        <v>26</v>
      </c>
      <c r="F483" s="2">
        <v>7889</v>
      </c>
      <c r="G483" s="2">
        <v>416</v>
      </c>
      <c r="H483" s="2">
        <v>416</v>
      </c>
      <c r="I483" s="2">
        <v>16</v>
      </c>
      <c r="J483" s="2">
        <v>2147.9499999999998</v>
      </c>
      <c r="K483" s="4">
        <f t="shared" si="28"/>
        <v>5.2731651666877932E-2</v>
      </c>
      <c r="L483" s="6">
        <f t="shared" si="29"/>
        <v>1</v>
      </c>
      <c r="M483" s="6">
        <f t="shared" si="30"/>
        <v>26</v>
      </c>
      <c r="N483" s="8">
        <f t="shared" si="31"/>
        <v>5.163341346153846</v>
      </c>
    </row>
    <row r="484" spans="1:14" x14ac:dyDescent="0.45">
      <c r="A484" s="12">
        <v>45610</v>
      </c>
      <c r="B484" s="2" t="s">
        <v>35</v>
      </c>
      <c r="C484" s="2" t="s">
        <v>24</v>
      </c>
      <c r="D484" s="2" t="s">
        <v>41</v>
      </c>
      <c r="E484" s="2" t="s">
        <v>51</v>
      </c>
      <c r="F484" s="2">
        <v>129746</v>
      </c>
      <c r="G484" s="2">
        <v>4891</v>
      </c>
      <c r="H484" s="2">
        <v>8852.7099999999991</v>
      </c>
      <c r="I484" s="2">
        <v>117</v>
      </c>
      <c r="J484" s="2">
        <v>26101.17</v>
      </c>
      <c r="K484" s="4">
        <f t="shared" si="28"/>
        <v>3.7696730535045395E-2</v>
      </c>
      <c r="L484" s="6">
        <f t="shared" si="29"/>
        <v>1.8099999999999998</v>
      </c>
      <c r="M484" s="6">
        <f t="shared" si="30"/>
        <v>75.66418803418803</v>
      </c>
      <c r="N484" s="8">
        <f t="shared" si="31"/>
        <v>2.9483819079129443</v>
      </c>
    </row>
    <row r="485" spans="1:14" x14ac:dyDescent="0.45">
      <c r="A485" s="12">
        <v>45368</v>
      </c>
      <c r="B485" s="2" t="s">
        <v>15</v>
      </c>
      <c r="C485" s="2" t="s">
        <v>38</v>
      </c>
      <c r="D485" s="2" t="s">
        <v>41</v>
      </c>
      <c r="E485" s="2" t="s">
        <v>30</v>
      </c>
      <c r="F485" s="2">
        <v>94506</v>
      </c>
      <c r="G485" s="2">
        <v>3269</v>
      </c>
      <c r="H485" s="2">
        <v>5099.6400000000003</v>
      </c>
      <c r="I485" s="2">
        <v>193</v>
      </c>
      <c r="J485" s="2">
        <v>7342.38</v>
      </c>
      <c r="K485" s="4">
        <f t="shared" si="28"/>
        <v>3.4590396376949613E-2</v>
      </c>
      <c r="L485" s="6">
        <f t="shared" si="29"/>
        <v>1.56</v>
      </c>
      <c r="M485" s="6">
        <f t="shared" si="30"/>
        <v>26.42300518134715</v>
      </c>
      <c r="N485" s="8">
        <f t="shared" si="31"/>
        <v>1.4397839847518648</v>
      </c>
    </row>
    <row r="486" spans="1:14" x14ac:dyDescent="0.45">
      <c r="A486" s="12">
        <v>45429</v>
      </c>
      <c r="B486" s="2" t="s">
        <v>15</v>
      </c>
      <c r="C486" s="2" t="s">
        <v>38</v>
      </c>
      <c r="D486" s="2" t="s">
        <v>21</v>
      </c>
      <c r="E486" s="2" t="s">
        <v>33</v>
      </c>
      <c r="F486" s="2">
        <v>12086</v>
      </c>
      <c r="G486" s="2">
        <v>594</v>
      </c>
      <c r="H486" s="2">
        <v>1461.24</v>
      </c>
      <c r="I486" s="2">
        <v>21</v>
      </c>
      <c r="J486" s="2">
        <v>3418.15</v>
      </c>
      <c r="K486" s="4">
        <f t="shared" si="28"/>
        <v>4.9147774284295877E-2</v>
      </c>
      <c r="L486" s="6">
        <f t="shared" si="29"/>
        <v>2.46</v>
      </c>
      <c r="M486" s="6">
        <f t="shared" si="30"/>
        <v>69.582857142857137</v>
      </c>
      <c r="N486" s="8">
        <f t="shared" si="31"/>
        <v>2.3392119022200322</v>
      </c>
    </row>
    <row r="487" spans="1:14" x14ac:dyDescent="0.45">
      <c r="A487" s="12">
        <v>45419</v>
      </c>
      <c r="B487" s="2" t="s">
        <v>20</v>
      </c>
      <c r="C487" s="2" t="s">
        <v>38</v>
      </c>
      <c r="D487" s="2" t="s">
        <v>29</v>
      </c>
      <c r="E487" s="2" t="s">
        <v>22</v>
      </c>
      <c r="F487" s="2">
        <v>145497</v>
      </c>
      <c r="G487" s="2">
        <v>4743</v>
      </c>
      <c r="H487" s="2">
        <v>1660.05</v>
      </c>
      <c r="I487" s="2">
        <v>313</v>
      </c>
      <c r="J487" s="2">
        <v>81349.350000000006</v>
      </c>
      <c r="K487" s="4">
        <f t="shared" si="28"/>
        <v>3.2598610280624343E-2</v>
      </c>
      <c r="L487" s="6">
        <f t="shared" si="29"/>
        <v>0.35</v>
      </c>
      <c r="M487" s="6">
        <f t="shared" si="30"/>
        <v>5.3036741214057503</v>
      </c>
      <c r="N487" s="8">
        <f t="shared" si="31"/>
        <v>49.004156501310206</v>
      </c>
    </row>
    <row r="488" spans="1:14" x14ac:dyDescent="0.45">
      <c r="A488" s="12">
        <v>45430</v>
      </c>
      <c r="B488" s="2" t="s">
        <v>35</v>
      </c>
      <c r="C488" s="2" t="s">
        <v>16</v>
      </c>
      <c r="D488" s="2" t="s">
        <v>21</v>
      </c>
      <c r="E488" s="2" t="s">
        <v>18</v>
      </c>
      <c r="F488" s="2">
        <v>14491</v>
      </c>
      <c r="G488" s="2">
        <v>259</v>
      </c>
      <c r="H488" s="2">
        <v>440.3</v>
      </c>
      <c r="I488" s="2">
        <v>3</v>
      </c>
      <c r="J488" s="2">
        <v>260.32</v>
      </c>
      <c r="K488" s="4">
        <f t="shared" si="28"/>
        <v>1.7873162652680973E-2</v>
      </c>
      <c r="L488" s="6">
        <f t="shared" si="29"/>
        <v>1.7</v>
      </c>
      <c r="M488" s="6">
        <f t="shared" si="30"/>
        <v>146.76666666666668</v>
      </c>
      <c r="N488" s="8">
        <f t="shared" si="31"/>
        <v>0.5912332500567794</v>
      </c>
    </row>
    <row r="489" spans="1:14" x14ac:dyDescent="0.45">
      <c r="A489" s="12">
        <v>45364</v>
      </c>
      <c r="B489" s="2" t="s">
        <v>35</v>
      </c>
      <c r="C489" s="2" t="s">
        <v>28</v>
      </c>
      <c r="D489" s="2" t="s">
        <v>17</v>
      </c>
      <c r="E489" s="2" t="s">
        <v>18</v>
      </c>
      <c r="F489" s="2">
        <v>156043</v>
      </c>
      <c r="G489" s="2">
        <v>4478</v>
      </c>
      <c r="H489" s="2">
        <v>5955.74</v>
      </c>
      <c r="I489" s="2">
        <v>193</v>
      </c>
      <c r="J489" s="2">
        <v>22322.38</v>
      </c>
      <c r="K489" s="4">
        <f t="shared" si="28"/>
        <v>2.8697218074505104E-2</v>
      </c>
      <c r="L489" s="6">
        <f t="shared" si="29"/>
        <v>1.3299999999999998</v>
      </c>
      <c r="M489" s="6">
        <f t="shared" si="30"/>
        <v>30.858756476683936</v>
      </c>
      <c r="N489" s="8">
        <f t="shared" si="31"/>
        <v>3.7480447433904103</v>
      </c>
    </row>
    <row r="490" spans="1:14" x14ac:dyDescent="0.45">
      <c r="A490" s="12">
        <v>45492</v>
      </c>
      <c r="B490" s="2" t="s">
        <v>20</v>
      </c>
      <c r="C490" s="2" t="s">
        <v>38</v>
      </c>
      <c r="D490" s="2" t="s">
        <v>25</v>
      </c>
      <c r="E490" s="2" t="s">
        <v>22</v>
      </c>
      <c r="F490" s="2">
        <v>115304</v>
      </c>
      <c r="G490" s="2">
        <v>3551</v>
      </c>
      <c r="H490" s="2">
        <v>5539.56</v>
      </c>
      <c r="I490" s="2">
        <v>232</v>
      </c>
      <c r="J490" s="2">
        <v>22178.1</v>
      </c>
      <c r="K490" s="4">
        <f t="shared" si="28"/>
        <v>3.0796850065912717E-2</v>
      </c>
      <c r="L490" s="6">
        <f t="shared" si="29"/>
        <v>1.56</v>
      </c>
      <c r="M490" s="6">
        <f t="shared" si="30"/>
        <v>23.87741379310345</v>
      </c>
      <c r="N490" s="8">
        <f t="shared" si="31"/>
        <v>4.0035851222840799</v>
      </c>
    </row>
    <row r="491" spans="1:14" x14ac:dyDescent="0.45">
      <c r="A491" s="12">
        <v>45559</v>
      </c>
      <c r="B491" s="2" t="s">
        <v>20</v>
      </c>
      <c r="C491" s="2" t="s">
        <v>28</v>
      </c>
      <c r="D491" s="2" t="s">
        <v>17</v>
      </c>
      <c r="E491" s="2" t="s">
        <v>18</v>
      </c>
      <c r="F491" s="2">
        <v>132571</v>
      </c>
      <c r="G491" s="2">
        <v>9147</v>
      </c>
      <c r="H491" s="2">
        <v>9329.94</v>
      </c>
      <c r="I491" s="2">
        <v>502</v>
      </c>
      <c r="J491" s="2">
        <v>55471.3</v>
      </c>
      <c r="K491" s="4">
        <f t="shared" si="28"/>
        <v>6.8996990291994478E-2</v>
      </c>
      <c r="L491" s="6">
        <f t="shared" si="29"/>
        <v>1.02</v>
      </c>
      <c r="M491" s="6">
        <f t="shared" si="30"/>
        <v>18.585537848605579</v>
      </c>
      <c r="N491" s="8">
        <f t="shared" si="31"/>
        <v>5.9455151908801129</v>
      </c>
    </row>
    <row r="492" spans="1:14" x14ac:dyDescent="0.45">
      <c r="A492" s="12">
        <v>45609</v>
      </c>
      <c r="B492" s="2" t="s">
        <v>15</v>
      </c>
      <c r="C492" s="2" t="s">
        <v>38</v>
      </c>
      <c r="D492" s="2" t="s">
        <v>41</v>
      </c>
      <c r="E492" s="2" t="s">
        <v>18</v>
      </c>
      <c r="F492" s="2">
        <v>92502</v>
      </c>
      <c r="G492" s="2">
        <v>2960</v>
      </c>
      <c r="H492" s="2">
        <v>6097.6</v>
      </c>
      <c r="I492" s="2">
        <v>201</v>
      </c>
      <c r="J492" s="2">
        <v>47885.36</v>
      </c>
      <c r="K492" s="4">
        <f t="shared" si="28"/>
        <v>3.1999308123067609E-2</v>
      </c>
      <c r="L492" s="6">
        <f t="shared" si="29"/>
        <v>2.06</v>
      </c>
      <c r="M492" s="6">
        <f t="shared" si="30"/>
        <v>30.336318407960199</v>
      </c>
      <c r="N492" s="8">
        <f t="shared" si="31"/>
        <v>7.8531487798478086</v>
      </c>
    </row>
    <row r="493" spans="1:14" x14ac:dyDescent="0.45">
      <c r="A493" s="12">
        <v>45619</v>
      </c>
      <c r="B493" s="2" t="s">
        <v>15</v>
      </c>
      <c r="C493" s="2" t="s">
        <v>38</v>
      </c>
      <c r="D493" s="2" t="s">
        <v>21</v>
      </c>
      <c r="E493" s="2" t="s">
        <v>26</v>
      </c>
      <c r="F493" s="2">
        <v>133792</v>
      </c>
      <c r="G493" s="2">
        <v>6943</v>
      </c>
      <c r="H493" s="2">
        <v>16316.05</v>
      </c>
      <c r="I493" s="2">
        <v>186</v>
      </c>
      <c r="J493" s="2">
        <v>17630.23</v>
      </c>
      <c r="K493" s="4">
        <f t="shared" si="28"/>
        <v>5.1893984692657262E-2</v>
      </c>
      <c r="L493" s="6">
        <f t="shared" si="29"/>
        <v>2.35</v>
      </c>
      <c r="M493" s="6">
        <f t="shared" si="30"/>
        <v>87.720698924731181</v>
      </c>
      <c r="N493" s="8">
        <f t="shared" si="31"/>
        <v>1.0805452300035854</v>
      </c>
    </row>
    <row r="494" spans="1:14" x14ac:dyDescent="0.45">
      <c r="A494" s="12">
        <v>45652</v>
      </c>
      <c r="B494" s="2" t="s">
        <v>15</v>
      </c>
      <c r="C494" s="2" t="s">
        <v>38</v>
      </c>
      <c r="D494" s="2" t="s">
        <v>21</v>
      </c>
      <c r="E494" s="2" t="s">
        <v>22</v>
      </c>
      <c r="F494" s="2">
        <v>77258</v>
      </c>
      <c r="G494" s="2">
        <v>3963</v>
      </c>
      <c r="H494" s="2">
        <v>7133.4</v>
      </c>
      <c r="I494" s="2">
        <v>135</v>
      </c>
      <c r="J494" s="2">
        <v>34518.129999999997</v>
      </c>
      <c r="K494" s="4">
        <f t="shared" si="28"/>
        <v>5.1295658702011443E-2</v>
      </c>
      <c r="L494" s="6">
        <f t="shared" si="29"/>
        <v>1.7999999999999998</v>
      </c>
      <c r="M494" s="6">
        <f t="shared" si="30"/>
        <v>52.839999999999996</v>
      </c>
      <c r="N494" s="8">
        <f t="shared" si="31"/>
        <v>4.8389449631311852</v>
      </c>
    </row>
    <row r="495" spans="1:14" x14ac:dyDescent="0.45">
      <c r="A495" s="12">
        <v>45422</v>
      </c>
      <c r="B495" s="2" t="s">
        <v>15</v>
      </c>
      <c r="C495" s="2" t="s">
        <v>38</v>
      </c>
      <c r="D495" s="2" t="s">
        <v>21</v>
      </c>
      <c r="E495" s="2" t="s">
        <v>18</v>
      </c>
      <c r="F495" s="2">
        <v>74672</v>
      </c>
      <c r="G495" s="2">
        <v>2665</v>
      </c>
      <c r="H495" s="2">
        <v>4157.3999999999996</v>
      </c>
      <c r="I495" s="2">
        <v>129</v>
      </c>
      <c r="J495" s="2">
        <v>32318.91</v>
      </c>
      <c r="K495" s="4">
        <f t="shared" si="28"/>
        <v>3.5689415041782732E-2</v>
      </c>
      <c r="L495" s="6">
        <f t="shared" si="29"/>
        <v>1.5599999999999998</v>
      </c>
      <c r="M495" s="6">
        <f t="shared" si="30"/>
        <v>32.22790697674418</v>
      </c>
      <c r="N495" s="8">
        <f t="shared" si="31"/>
        <v>7.7738273921200758</v>
      </c>
    </row>
    <row r="496" spans="1:14" x14ac:dyDescent="0.45">
      <c r="A496" s="12">
        <v>45400</v>
      </c>
      <c r="B496" s="2" t="s">
        <v>20</v>
      </c>
      <c r="C496" s="2" t="s">
        <v>16</v>
      </c>
      <c r="D496" s="2" t="s">
        <v>25</v>
      </c>
      <c r="E496" s="2" t="s">
        <v>54</v>
      </c>
      <c r="F496" s="2">
        <v>41558</v>
      </c>
      <c r="G496" s="2">
        <v>1757</v>
      </c>
      <c r="H496" s="2">
        <v>2125.9699999999998</v>
      </c>
      <c r="I496" s="2">
        <v>72</v>
      </c>
      <c r="J496" s="2">
        <v>18414.150000000001</v>
      </c>
      <c r="K496" s="4">
        <f t="shared" si="28"/>
        <v>4.227826170653063E-2</v>
      </c>
      <c r="L496" s="6">
        <f t="shared" si="29"/>
        <v>1.21</v>
      </c>
      <c r="M496" s="6">
        <f t="shared" si="30"/>
        <v>29.527361111111109</v>
      </c>
      <c r="N496" s="8">
        <f t="shared" si="31"/>
        <v>8.6615286198770463</v>
      </c>
    </row>
    <row r="497" spans="1:14" x14ac:dyDescent="0.45">
      <c r="A497" s="12">
        <v>45631</v>
      </c>
      <c r="B497" s="2" t="s">
        <v>15</v>
      </c>
      <c r="C497" s="2" t="s">
        <v>28</v>
      </c>
      <c r="D497" s="2" t="s">
        <v>25</v>
      </c>
      <c r="E497" s="2" t="s">
        <v>54</v>
      </c>
      <c r="F497" s="2">
        <v>134560</v>
      </c>
      <c r="G497" s="2">
        <v>5947</v>
      </c>
      <c r="H497" s="2">
        <v>16889.48</v>
      </c>
      <c r="I497" s="2">
        <v>144</v>
      </c>
      <c r="J497" s="2">
        <v>23257.77</v>
      </c>
      <c r="K497" s="4">
        <f t="shared" si="28"/>
        <v>4.4195897740784779E-2</v>
      </c>
      <c r="L497" s="6">
        <f t="shared" si="29"/>
        <v>2.84</v>
      </c>
      <c r="M497" s="6">
        <f t="shared" si="30"/>
        <v>117.28805555555556</v>
      </c>
      <c r="N497" s="8">
        <f t="shared" si="31"/>
        <v>1.3770566056503812</v>
      </c>
    </row>
    <row r="498" spans="1:14" x14ac:dyDescent="0.45">
      <c r="A498" s="12">
        <v>45438</v>
      </c>
      <c r="B498" s="2" t="s">
        <v>20</v>
      </c>
      <c r="C498" s="2" t="s">
        <v>16</v>
      </c>
      <c r="D498" s="2" t="s">
        <v>41</v>
      </c>
      <c r="E498" s="2" t="s">
        <v>33</v>
      </c>
      <c r="F498" s="2">
        <v>143518</v>
      </c>
      <c r="G498" s="2">
        <v>10491</v>
      </c>
      <c r="H498" s="2">
        <v>8917.35</v>
      </c>
      <c r="I498" s="2">
        <v>313</v>
      </c>
      <c r="J498" s="2">
        <v>46285.52</v>
      </c>
      <c r="K498" s="4">
        <f t="shared" si="28"/>
        <v>7.309884474421327E-2</v>
      </c>
      <c r="L498" s="6">
        <f t="shared" si="29"/>
        <v>0.85000000000000009</v>
      </c>
      <c r="M498" s="6">
        <f t="shared" si="30"/>
        <v>28.489936102236424</v>
      </c>
      <c r="N498" s="8">
        <f t="shared" si="31"/>
        <v>5.1905016624894165</v>
      </c>
    </row>
    <row r="499" spans="1:14" x14ac:dyDescent="0.45">
      <c r="A499" s="12">
        <v>45574</v>
      </c>
      <c r="B499" s="2" t="s">
        <v>35</v>
      </c>
      <c r="C499" s="2" t="s">
        <v>24</v>
      </c>
      <c r="D499" s="2" t="s">
        <v>17</v>
      </c>
      <c r="E499" s="2" t="s">
        <v>22</v>
      </c>
      <c r="F499" s="2">
        <v>7402</v>
      </c>
      <c r="G499" s="2">
        <v>91</v>
      </c>
      <c r="H499" s="2">
        <v>189.28</v>
      </c>
      <c r="I499" s="2">
        <v>6</v>
      </c>
      <c r="J499" s="2">
        <v>1105.17</v>
      </c>
      <c r="K499" s="4">
        <f t="shared" si="28"/>
        <v>1.2293974601459066E-2</v>
      </c>
      <c r="L499" s="6">
        <f t="shared" si="29"/>
        <v>2.08</v>
      </c>
      <c r="M499" s="6">
        <f t="shared" si="30"/>
        <v>31.546666666666667</v>
      </c>
      <c r="N499" s="8">
        <f t="shared" si="31"/>
        <v>5.8388102282333056</v>
      </c>
    </row>
    <row r="500" spans="1:14" x14ac:dyDescent="0.45">
      <c r="A500" s="12">
        <v>45560</v>
      </c>
      <c r="B500" s="2" t="s">
        <v>15</v>
      </c>
      <c r="C500" s="2" t="s">
        <v>28</v>
      </c>
      <c r="D500" s="2" t="s">
        <v>21</v>
      </c>
      <c r="E500" s="2" t="s">
        <v>54</v>
      </c>
      <c r="F500" s="2">
        <v>49225</v>
      </c>
      <c r="G500" s="2">
        <v>2367</v>
      </c>
      <c r="H500" s="2">
        <v>4355.28</v>
      </c>
      <c r="I500" s="2">
        <v>137</v>
      </c>
      <c r="J500" s="2">
        <v>8811.5300000000007</v>
      </c>
      <c r="K500" s="4">
        <f t="shared" si="28"/>
        <v>4.8085322498730321E-2</v>
      </c>
      <c r="L500" s="6">
        <f t="shared" si="29"/>
        <v>1.8399999999999999</v>
      </c>
      <c r="M500" s="6">
        <f t="shared" si="30"/>
        <v>31.790364963503649</v>
      </c>
      <c r="N500" s="8">
        <f t="shared" si="31"/>
        <v>2.0231833544571192</v>
      </c>
    </row>
    <row r="501" spans="1:14" x14ac:dyDescent="0.45">
      <c r="A501" s="12">
        <v>45501</v>
      </c>
      <c r="B501" s="2" t="s">
        <v>15</v>
      </c>
      <c r="C501" s="2" t="s">
        <v>24</v>
      </c>
      <c r="D501" s="2" t="s">
        <v>25</v>
      </c>
      <c r="E501" s="2" t="s">
        <v>51</v>
      </c>
      <c r="F501" s="2">
        <v>173678</v>
      </c>
      <c r="G501" s="2">
        <v>11428</v>
      </c>
      <c r="H501" s="2">
        <v>24113.08</v>
      </c>
      <c r="I501" s="2">
        <v>310</v>
      </c>
      <c r="J501" s="2">
        <v>83080.36</v>
      </c>
      <c r="K501" s="4">
        <f t="shared" si="28"/>
        <v>6.579992860350764E-2</v>
      </c>
      <c r="L501" s="6">
        <f t="shared" si="29"/>
        <v>2.1100000000000003</v>
      </c>
      <c r="M501" s="6">
        <f t="shared" si="30"/>
        <v>77.784129032258065</v>
      </c>
      <c r="N501" s="8">
        <f t="shared" si="31"/>
        <v>3.4454478648103017</v>
      </c>
    </row>
    <row r="502" spans="1:14" x14ac:dyDescent="0.45">
      <c r="A502" s="12">
        <v>45358</v>
      </c>
      <c r="B502" s="2" t="s">
        <v>35</v>
      </c>
      <c r="C502" s="2" t="s">
        <v>38</v>
      </c>
      <c r="D502" s="2" t="s">
        <v>25</v>
      </c>
      <c r="E502" s="2" t="s">
        <v>54</v>
      </c>
      <c r="F502" s="2">
        <v>92793</v>
      </c>
      <c r="G502" s="2">
        <v>1261</v>
      </c>
      <c r="H502" s="2">
        <v>466.57</v>
      </c>
      <c r="I502" s="2">
        <v>80</v>
      </c>
      <c r="J502" s="2">
        <v>13024.34</v>
      </c>
      <c r="K502" s="4">
        <f t="shared" si="28"/>
        <v>1.3589387130494757E-2</v>
      </c>
      <c r="L502" s="6">
        <f t="shared" si="29"/>
        <v>0.37</v>
      </c>
      <c r="M502" s="6">
        <f t="shared" si="30"/>
        <v>5.8321249999999996</v>
      </c>
      <c r="N502" s="8">
        <f t="shared" si="31"/>
        <v>27.91508240992777</v>
      </c>
    </row>
    <row r="503" spans="1:14" x14ac:dyDescent="0.45">
      <c r="A503" s="12">
        <v>45513</v>
      </c>
      <c r="B503" s="2" t="s">
        <v>20</v>
      </c>
      <c r="C503" s="2" t="s">
        <v>24</v>
      </c>
      <c r="D503" s="2" t="s">
        <v>29</v>
      </c>
      <c r="E503" s="2" t="s">
        <v>22</v>
      </c>
      <c r="F503" s="2">
        <v>122408</v>
      </c>
      <c r="G503" s="2">
        <v>6671</v>
      </c>
      <c r="H503" s="2">
        <v>7805.07</v>
      </c>
      <c r="I503" s="2">
        <v>293</v>
      </c>
      <c r="J503" s="2">
        <v>67215.820000000007</v>
      </c>
      <c r="K503" s="4">
        <f t="shared" si="28"/>
        <v>5.4498072021436507E-2</v>
      </c>
      <c r="L503" s="6">
        <f t="shared" si="29"/>
        <v>1.17</v>
      </c>
      <c r="M503" s="6">
        <f t="shared" si="30"/>
        <v>26.638464163822526</v>
      </c>
      <c r="N503" s="8">
        <f t="shared" si="31"/>
        <v>8.6118151406713856</v>
      </c>
    </row>
    <row r="504" spans="1:14" x14ac:dyDescent="0.45">
      <c r="A504" s="12">
        <v>45477</v>
      </c>
      <c r="B504" s="2" t="s">
        <v>20</v>
      </c>
      <c r="C504" s="2" t="s">
        <v>16</v>
      </c>
      <c r="D504" s="2" t="s">
        <v>41</v>
      </c>
      <c r="E504" s="2" t="s">
        <v>18</v>
      </c>
      <c r="F504" s="2">
        <v>162826</v>
      </c>
      <c r="G504" s="2">
        <v>7815</v>
      </c>
      <c r="H504" s="2">
        <v>12816.6</v>
      </c>
      <c r="I504" s="2">
        <v>120</v>
      </c>
      <c r="J504" s="2">
        <v>13520.75</v>
      </c>
      <c r="K504" s="4">
        <f t="shared" si="28"/>
        <v>4.799602029159962E-2</v>
      </c>
      <c r="L504" s="6">
        <f t="shared" si="29"/>
        <v>1.6400000000000001</v>
      </c>
      <c r="M504" s="6">
        <f t="shared" si="30"/>
        <v>106.80500000000001</v>
      </c>
      <c r="N504" s="8">
        <f t="shared" si="31"/>
        <v>1.0549404678307819</v>
      </c>
    </row>
    <row r="505" spans="1:14" x14ac:dyDescent="0.45">
      <c r="A505" s="12">
        <v>45483</v>
      </c>
      <c r="B505" s="2" t="s">
        <v>35</v>
      </c>
      <c r="C505" s="2" t="s">
        <v>28</v>
      </c>
      <c r="D505" s="2" t="s">
        <v>25</v>
      </c>
      <c r="E505" s="2" t="s">
        <v>51</v>
      </c>
      <c r="F505" s="2">
        <v>134614</v>
      </c>
      <c r="G505" s="2">
        <v>3190</v>
      </c>
      <c r="H505" s="2">
        <v>5678.2</v>
      </c>
      <c r="I505" s="2">
        <v>188</v>
      </c>
      <c r="J505" s="2">
        <v>41736.54</v>
      </c>
      <c r="K505" s="4">
        <f t="shared" si="28"/>
        <v>2.3697386601690761E-2</v>
      </c>
      <c r="L505" s="6">
        <f t="shared" si="29"/>
        <v>1.78</v>
      </c>
      <c r="M505" s="6">
        <f t="shared" si="30"/>
        <v>30.2031914893617</v>
      </c>
      <c r="N505" s="8">
        <f t="shared" si="31"/>
        <v>7.3503117185023426</v>
      </c>
    </row>
    <row r="506" spans="1:14" x14ac:dyDescent="0.45">
      <c r="A506" s="12">
        <v>45369</v>
      </c>
      <c r="B506" s="2" t="s">
        <v>15</v>
      </c>
      <c r="C506" s="2" t="s">
        <v>28</v>
      </c>
      <c r="D506" s="2" t="s">
        <v>17</v>
      </c>
      <c r="E506" s="2" t="s">
        <v>51</v>
      </c>
      <c r="F506" s="2">
        <v>116451</v>
      </c>
      <c r="G506" s="2">
        <v>3388</v>
      </c>
      <c r="H506" s="2">
        <v>11485.32</v>
      </c>
      <c r="I506" s="2">
        <v>188</v>
      </c>
      <c r="J506" s="2">
        <v>28791.61</v>
      </c>
      <c r="K506" s="4">
        <f t="shared" si="28"/>
        <v>2.909378193403234E-2</v>
      </c>
      <c r="L506" s="6">
        <f t="shared" si="29"/>
        <v>3.39</v>
      </c>
      <c r="M506" s="6">
        <f t="shared" si="30"/>
        <v>61.092127659574466</v>
      </c>
      <c r="N506" s="8">
        <f t="shared" si="31"/>
        <v>2.5068182688858474</v>
      </c>
    </row>
    <row r="507" spans="1:14" x14ac:dyDescent="0.45">
      <c r="A507" s="12">
        <v>45335</v>
      </c>
      <c r="B507" s="2" t="s">
        <v>15</v>
      </c>
      <c r="C507" s="2" t="s">
        <v>16</v>
      </c>
      <c r="D507" s="2" t="s">
        <v>41</v>
      </c>
      <c r="E507" s="2" t="s">
        <v>30</v>
      </c>
      <c r="F507" s="2">
        <v>188276</v>
      </c>
      <c r="G507" s="2">
        <v>11277</v>
      </c>
      <c r="H507" s="2">
        <v>27966.959999999999</v>
      </c>
      <c r="I507" s="2">
        <v>554</v>
      </c>
      <c r="J507" s="2">
        <v>89376.47</v>
      </c>
      <c r="K507" s="4">
        <f t="shared" si="28"/>
        <v>5.9896109966219802E-2</v>
      </c>
      <c r="L507" s="6">
        <f t="shared" si="29"/>
        <v>2.48</v>
      </c>
      <c r="M507" s="6">
        <f t="shared" si="30"/>
        <v>50.481877256317688</v>
      </c>
      <c r="N507" s="8">
        <f t="shared" si="31"/>
        <v>3.195787815336383</v>
      </c>
    </row>
    <row r="508" spans="1:14" x14ac:dyDescent="0.45">
      <c r="A508" s="12">
        <v>45487</v>
      </c>
      <c r="B508" s="2" t="s">
        <v>35</v>
      </c>
      <c r="C508" s="2" t="s">
        <v>16</v>
      </c>
      <c r="D508" s="2" t="s">
        <v>17</v>
      </c>
      <c r="E508" s="2" t="s">
        <v>54</v>
      </c>
      <c r="F508" s="2">
        <v>165552</v>
      </c>
      <c r="G508" s="2">
        <v>4337</v>
      </c>
      <c r="H508" s="2">
        <v>9628.14</v>
      </c>
      <c r="I508" s="2">
        <v>132</v>
      </c>
      <c r="J508" s="2">
        <v>21448.35</v>
      </c>
      <c r="K508" s="4">
        <f t="shared" si="28"/>
        <v>2.6197206919880159E-2</v>
      </c>
      <c r="L508" s="6">
        <f t="shared" si="29"/>
        <v>2.2199999999999998</v>
      </c>
      <c r="M508" s="6">
        <f t="shared" si="30"/>
        <v>72.940454545454543</v>
      </c>
      <c r="N508" s="8">
        <f t="shared" si="31"/>
        <v>2.2276732577631817</v>
      </c>
    </row>
    <row r="509" spans="1:14" x14ac:dyDescent="0.45">
      <c r="A509" s="12">
        <v>45522</v>
      </c>
      <c r="B509" s="2" t="s">
        <v>35</v>
      </c>
      <c r="C509" s="2" t="s">
        <v>24</v>
      </c>
      <c r="D509" s="2" t="s">
        <v>21</v>
      </c>
      <c r="E509" s="2" t="s">
        <v>22</v>
      </c>
      <c r="F509" s="2">
        <v>82271</v>
      </c>
      <c r="G509" s="2">
        <v>3397</v>
      </c>
      <c r="H509" s="2">
        <v>1766.44</v>
      </c>
      <c r="I509" s="2">
        <v>36</v>
      </c>
      <c r="J509" s="2">
        <v>6412.73</v>
      </c>
      <c r="K509" s="4">
        <f t="shared" si="28"/>
        <v>4.1290369632069626E-2</v>
      </c>
      <c r="L509" s="6">
        <f t="shared" si="29"/>
        <v>0.52</v>
      </c>
      <c r="M509" s="6">
        <f t="shared" si="30"/>
        <v>49.067777777777778</v>
      </c>
      <c r="N509" s="8">
        <f t="shared" si="31"/>
        <v>3.630312945811915</v>
      </c>
    </row>
    <row r="510" spans="1:14" x14ac:dyDescent="0.45">
      <c r="A510" s="12">
        <v>45656</v>
      </c>
      <c r="B510" s="2" t="s">
        <v>20</v>
      </c>
      <c r="C510" s="2" t="s">
        <v>16</v>
      </c>
      <c r="D510" s="2" t="s">
        <v>17</v>
      </c>
      <c r="E510" s="2" t="s">
        <v>30</v>
      </c>
      <c r="F510" s="2">
        <v>61921</v>
      </c>
      <c r="G510" s="2">
        <v>3814</v>
      </c>
      <c r="H510" s="2">
        <v>1182.3399999999999</v>
      </c>
      <c r="I510" s="2">
        <v>50</v>
      </c>
      <c r="J510" s="2">
        <v>8842.35</v>
      </c>
      <c r="K510" s="4">
        <f t="shared" si="28"/>
        <v>6.1594612490108364E-2</v>
      </c>
      <c r="L510" s="6">
        <f t="shared" si="29"/>
        <v>0.31</v>
      </c>
      <c r="M510" s="6">
        <f t="shared" si="30"/>
        <v>23.646799999999999</v>
      </c>
      <c r="N510" s="8">
        <f t="shared" si="31"/>
        <v>7.4786863338802725</v>
      </c>
    </row>
    <row r="511" spans="1:14" x14ac:dyDescent="0.45">
      <c r="A511" s="12">
        <v>45561</v>
      </c>
      <c r="B511" s="2" t="s">
        <v>15</v>
      </c>
      <c r="C511" s="2" t="s">
        <v>28</v>
      </c>
      <c r="D511" s="2" t="s">
        <v>41</v>
      </c>
      <c r="E511" s="2" t="s">
        <v>33</v>
      </c>
      <c r="F511" s="2">
        <v>161089</v>
      </c>
      <c r="G511" s="2">
        <v>6540</v>
      </c>
      <c r="H511" s="2">
        <v>13734</v>
      </c>
      <c r="I511" s="2">
        <v>285</v>
      </c>
      <c r="J511" s="2">
        <v>49746.79</v>
      </c>
      <c r="K511" s="4">
        <f t="shared" si="28"/>
        <v>4.0598675266467606E-2</v>
      </c>
      <c r="L511" s="6">
        <f t="shared" si="29"/>
        <v>2.1</v>
      </c>
      <c r="M511" s="6">
        <f t="shared" si="30"/>
        <v>48.189473684210526</v>
      </c>
      <c r="N511" s="8">
        <f t="shared" si="31"/>
        <v>3.6221632445026941</v>
      </c>
    </row>
    <row r="512" spans="1:14" x14ac:dyDescent="0.45">
      <c r="A512" s="12">
        <v>45548</v>
      </c>
      <c r="B512" s="2" t="s">
        <v>15</v>
      </c>
      <c r="C512" s="2" t="s">
        <v>28</v>
      </c>
      <c r="D512" s="2" t="s">
        <v>25</v>
      </c>
      <c r="E512" s="2" t="s">
        <v>26</v>
      </c>
      <c r="F512" s="2">
        <v>85618</v>
      </c>
      <c r="G512" s="2">
        <v>2679</v>
      </c>
      <c r="H512" s="2">
        <v>2464.6799999999998</v>
      </c>
      <c r="I512" s="2">
        <v>74</v>
      </c>
      <c r="J512" s="2">
        <v>6024.46</v>
      </c>
      <c r="K512" s="4">
        <f t="shared" si="28"/>
        <v>3.1290149267677356E-2</v>
      </c>
      <c r="L512" s="6">
        <f t="shared" si="29"/>
        <v>0.91999999999999993</v>
      </c>
      <c r="M512" s="6">
        <f t="shared" si="30"/>
        <v>33.306486486486484</v>
      </c>
      <c r="N512" s="8">
        <f t="shared" si="31"/>
        <v>2.4443173150266975</v>
      </c>
    </row>
    <row r="513" spans="1:14" x14ac:dyDescent="0.45">
      <c r="A513" s="12">
        <v>45638</v>
      </c>
      <c r="B513" s="2" t="s">
        <v>35</v>
      </c>
      <c r="C513" s="2" t="s">
        <v>16</v>
      </c>
      <c r="D513" s="2" t="s">
        <v>25</v>
      </c>
      <c r="E513" s="2" t="s">
        <v>54</v>
      </c>
      <c r="F513" s="2">
        <v>30457</v>
      </c>
      <c r="G513" s="2">
        <v>606</v>
      </c>
      <c r="H513" s="2">
        <v>351.48</v>
      </c>
      <c r="I513" s="2">
        <v>34</v>
      </c>
      <c r="J513" s="2">
        <v>4981.9399999999996</v>
      </c>
      <c r="K513" s="4">
        <f t="shared" si="28"/>
        <v>1.9896903831631479E-2</v>
      </c>
      <c r="L513" s="6">
        <f t="shared" si="29"/>
        <v>0.58000000000000007</v>
      </c>
      <c r="M513" s="6">
        <f t="shared" si="30"/>
        <v>10.33764705882353</v>
      </c>
      <c r="N513" s="8">
        <f t="shared" si="31"/>
        <v>14.174177762603845</v>
      </c>
    </row>
    <row r="514" spans="1:14" x14ac:dyDescent="0.45">
      <c r="A514" s="12">
        <v>45316</v>
      </c>
      <c r="B514" s="2" t="s">
        <v>20</v>
      </c>
      <c r="C514" s="2" t="s">
        <v>16</v>
      </c>
      <c r="D514" s="2" t="s">
        <v>41</v>
      </c>
      <c r="E514" s="2" t="s">
        <v>51</v>
      </c>
      <c r="F514" s="2">
        <v>46420</v>
      </c>
      <c r="G514" s="2">
        <v>1880</v>
      </c>
      <c r="H514" s="2">
        <v>3572</v>
      </c>
      <c r="I514" s="2">
        <v>113</v>
      </c>
      <c r="J514" s="2">
        <v>5769.59</v>
      </c>
      <c r="K514" s="4">
        <f t="shared" si="28"/>
        <v>4.0499784575613956E-2</v>
      </c>
      <c r="L514" s="6">
        <f t="shared" si="29"/>
        <v>1.9</v>
      </c>
      <c r="M514" s="6">
        <f t="shared" si="30"/>
        <v>31.610619469026549</v>
      </c>
      <c r="N514" s="8">
        <f t="shared" si="31"/>
        <v>1.6152267637178053</v>
      </c>
    </row>
    <row r="515" spans="1:14" x14ac:dyDescent="0.45">
      <c r="A515" s="12">
        <v>45525</v>
      </c>
      <c r="B515" s="2" t="s">
        <v>15</v>
      </c>
      <c r="C515" s="2" t="s">
        <v>16</v>
      </c>
      <c r="D515" s="2" t="s">
        <v>41</v>
      </c>
      <c r="E515" s="2" t="s">
        <v>22</v>
      </c>
      <c r="F515" s="2">
        <v>180746</v>
      </c>
      <c r="G515" s="2">
        <v>5024</v>
      </c>
      <c r="H515" s="2">
        <v>6430.72</v>
      </c>
      <c r="I515" s="2">
        <v>64</v>
      </c>
      <c r="J515" s="2">
        <v>17709.21</v>
      </c>
      <c r="K515" s="4">
        <f t="shared" ref="K515:K578" si="32" xml:space="preserve"> G515 / F515</f>
        <v>2.7795912495988846E-2</v>
      </c>
      <c r="L515" s="6">
        <f t="shared" ref="L515:L578" si="33">H515/G515</f>
        <v>1.28</v>
      </c>
      <c r="M515" s="6">
        <f t="shared" ref="M515:M578" si="34">H515/I515</f>
        <v>100.48</v>
      </c>
      <c r="N515" s="8">
        <f t="shared" ref="N515:N578" si="35">J515/H515</f>
        <v>2.7538456036027066</v>
      </c>
    </row>
    <row r="516" spans="1:14" x14ac:dyDescent="0.45">
      <c r="A516" s="12">
        <v>45469</v>
      </c>
      <c r="B516" s="2" t="s">
        <v>20</v>
      </c>
      <c r="C516" s="2" t="s">
        <v>16</v>
      </c>
      <c r="D516" s="2" t="s">
        <v>29</v>
      </c>
      <c r="E516" s="2" t="s">
        <v>30</v>
      </c>
      <c r="F516" s="2">
        <v>131244</v>
      </c>
      <c r="G516" s="2">
        <v>5604</v>
      </c>
      <c r="H516" s="2">
        <v>2129.52</v>
      </c>
      <c r="I516" s="2">
        <v>229</v>
      </c>
      <c r="J516" s="2">
        <v>65541.490000000005</v>
      </c>
      <c r="K516" s="4">
        <f t="shared" si="32"/>
        <v>4.2699094815763006E-2</v>
      </c>
      <c r="L516" s="6">
        <f t="shared" si="33"/>
        <v>0.38</v>
      </c>
      <c r="M516" s="6">
        <f t="shared" si="34"/>
        <v>9.2992139737991266</v>
      </c>
      <c r="N516" s="8">
        <f t="shared" si="35"/>
        <v>30.777588376723397</v>
      </c>
    </row>
    <row r="517" spans="1:14" x14ac:dyDescent="0.45">
      <c r="A517" s="12">
        <v>45352</v>
      </c>
      <c r="B517" s="2" t="s">
        <v>15</v>
      </c>
      <c r="C517" s="2" t="s">
        <v>16</v>
      </c>
      <c r="D517" s="2" t="s">
        <v>41</v>
      </c>
      <c r="E517" s="2" t="s">
        <v>30</v>
      </c>
      <c r="F517" s="2">
        <v>86678</v>
      </c>
      <c r="G517" s="2">
        <v>2158</v>
      </c>
      <c r="H517" s="2">
        <v>3129.1</v>
      </c>
      <c r="I517" s="2">
        <v>163</v>
      </c>
      <c r="J517" s="2">
        <v>27708.880000000001</v>
      </c>
      <c r="K517" s="4">
        <f t="shared" si="32"/>
        <v>2.4896744271902905E-2</v>
      </c>
      <c r="L517" s="6">
        <f t="shared" si="33"/>
        <v>1.45</v>
      </c>
      <c r="M517" s="6">
        <f t="shared" si="34"/>
        <v>19.196932515337423</v>
      </c>
      <c r="N517" s="8">
        <f t="shared" si="35"/>
        <v>8.8552235467067213</v>
      </c>
    </row>
    <row r="518" spans="1:14" x14ac:dyDescent="0.45">
      <c r="A518" s="12">
        <v>45599</v>
      </c>
      <c r="B518" s="2" t="s">
        <v>15</v>
      </c>
      <c r="C518" s="2" t="s">
        <v>38</v>
      </c>
      <c r="D518" s="2" t="s">
        <v>21</v>
      </c>
      <c r="E518" s="2" t="s">
        <v>33</v>
      </c>
      <c r="F518" s="2">
        <v>70226</v>
      </c>
      <c r="G518" s="2">
        <v>4037</v>
      </c>
      <c r="H518" s="2">
        <v>8719.92</v>
      </c>
      <c r="I518" s="2">
        <v>240</v>
      </c>
      <c r="J518" s="2">
        <v>68153.47</v>
      </c>
      <c r="K518" s="4">
        <f t="shared" si="32"/>
        <v>5.7485831458434201E-2</v>
      </c>
      <c r="L518" s="6">
        <f t="shared" si="33"/>
        <v>2.16</v>
      </c>
      <c r="M518" s="6">
        <f t="shared" si="34"/>
        <v>36.332999999999998</v>
      </c>
      <c r="N518" s="8">
        <f t="shared" si="35"/>
        <v>7.8158366131799379</v>
      </c>
    </row>
    <row r="519" spans="1:14" x14ac:dyDescent="0.45">
      <c r="A519" s="12">
        <v>45627</v>
      </c>
      <c r="B519" s="2" t="s">
        <v>15</v>
      </c>
      <c r="C519" s="2" t="s">
        <v>16</v>
      </c>
      <c r="D519" s="2" t="s">
        <v>17</v>
      </c>
      <c r="E519" s="2" t="s">
        <v>30</v>
      </c>
      <c r="F519" s="2">
        <v>124119</v>
      </c>
      <c r="G519" s="2">
        <v>6416</v>
      </c>
      <c r="H519" s="2">
        <v>16360.8</v>
      </c>
      <c r="I519" s="2">
        <v>358</v>
      </c>
      <c r="J519" s="2">
        <v>48445.72</v>
      </c>
      <c r="K519" s="4">
        <f t="shared" si="32"/>
        <v>5.1692327524391915E-2</v>
      </c>
      <c r="L519" s="6">
        <f t="shared" si="33"/>
        <v>2.5499999999999998</v>
      </c>
      <c r="M519" s="6">
        <f t="shared" si="34"/>
        <v>45.700558659217876</v>
      </c>
      <c r="N519" s="8">
        <f t="shared" si="35"/>
        <v>2.9610850325167477</v>
      </c>
    </row>
    <row r="520" spans="1:14" x14ac:dyDescent="0.45">
      <c r="A520" s="12">
        <v>45428</v>
      </c>
      <c r="B520" s="2" t="s">
        <v>15</v>
      </c>
      <c r="C520" s="2" t="s">
        <v>28</v>
      </c>
      <c r="D520" s="2" t="s">
        <v>25</v>
      </c>
      <c r="E520" s="2" t="s">
        <v>18</v>
      </c>
      <c r="F520" s="2">
        <v>126292</v>
      </c>
      <c r="G520" s="2">
        <v>5165</v>
      </c>
      <c r="H520" s="2">
        <v>7695.85</v>
      </c>
      <c r="I520" s="2">
        <v>110</v>
      </c>
      <c r="J520" s="2">
        <v>14074.18</v>
      </c>
      <c r="K520" s="4">
        <f t="shared" si="32"/>
        <v>4.0897285655465111E-2</v>
      </c>
      <c r="L520" s="6">
        <f t="shared" si="33"/>
        <v>1.49</v>
      </c>
      <c r="M520" s="6">
        <f t="shared" si="34"/>
        <v>69.962272727272733</v>
      </c>
      <c r="N520" s="8">
        <f t="shared" si="35"/>
        <v>1.8288012370303475</v>
      </c>
    </row>
    <row r="521" spans="1:14" x14ac:dyDescent="0.45">
      <c r="A521" s="12">
        <v>45345</v>
      </c>
      <c r="B521" s="2" t="s">
        <v>15</v>
      </c>
      <c r="C521" s="2" t="s">
        <v>24</v>
      </c>
      <c r="D521" s="2" t="s">
        <v>41</v>
      </c>
      <c r="E521" s="2" t="s">
        <v>33</v>
      </c>
      <c r="F521" s="2">
        <v>189935</v>
      </c>
      <c r="G521" s="2">
        <v>10161</v>
      </c>
      <c r="H521" s="2">
        <v>15139.89</v>
      </c>
      <c r="I521" s="2">
        <v>615</v>
      </c>
      <c r="J521" s="2">
        <v>31748.86</v>
      </c>
      <c r="K521" s="4">
        <f t="shared" si="32"/>
        <v>5.3497249058888564E-2</v>
      </c>
      <c r="L521" s="6">
        <f t="shared" si="33"/>
        <v>1.49</v>
      </c>
      <c r="M521" s="6">
        <f t="shared" si="34"/>
        <v>24.617707317073169</v>
      </c>
      <c r="N521" s="8">
        <f t="shared" si="35"/>
        <v>2.0970337300997564</v>
      </c>
    </row>
    <row r="522" spans="1:14" x14ac:dyDescent="0.45">
      <c r="A522" s="12">
        <v>45398</v>
      </c>
      <c r="B522" s="2" t="s">
        <v>15</v>
      </c>
      <c r="C522" s="2" t="s">
        <v>38</v>
      </c>
      <c r="D522" s="2" t="s">
        <v>21</v>
      </c>
      <c r="E522" s="2" t="s">
        <v>18</v>
      </c>
      <c r="F522" s="2">
        <v>103066</v>
      </c>
      <c r="G522" s="2">
        <v>2380</v>
      </c>
      <c r="H522" s="2">
        <v>5926.2</v>
      </c>
      <c r="I522" s="2">
        <v>121</v>
      </c>
      <c r="J522" s="2">
        <v>20395.259999999998</v>
      </c>
      <c r="K522" s="4">
        <f t="shared" si="32"/>
        <v>2.309199930141851E-2</v>
      </c>
      <c r="L522" s="6">
        <f t="shared" si="33"/>
        <v>2.4899999999999998</v>
      </c>
      <c r="M522" s="6">
        <f t="shared" si="34"/>
        <v>48.976859504132229</v>
      </c>
      <c r="N522" s="8">
        <f t="shared" si="35"/>
        <v>3.4415409537308896</v>
      </c>
    </row>
    <row r="523" spans="1:14" x14ac:dyDescent="0.45">
      <c r="A523" s="12">
        <v>45381</v>
      </c>
      <c r="B523" s="2" t="s">
        <v>35</v>
      </c>
      <c r="C523" s="2" t="s">
        <v>28</v>
      </c>
      <c r="D523" s="2" t="s">
        <v>41</v>
      </c>
      <c r="E523" s="2" t="s">
        <v>26</v>
      </c>
      <c r="F523" s="2">
        <v>11083</v>
      </c>
      <c r="G523" s="2">
        <v>193</v>
      </c>
      <c r="H523" s="2">
        <v>160.19</v>
      </c>
      <c r="I523" s="2">
        <v>11</v>
      </c>
      <c r="J523" s="2">
        <v>912.82</v>
      </c>
      <c r="K523" s="4">
        <f t="shared" si="32"/>
        <v>1.7414057565641072E-2</v>
      </c>
      <c r="L523" s="6">
        <f t="shared" si="33"/>
        <v>0.83</v>
      </c>
      <c r="M523" s="6">
        <f t="shared" si="34"/>
        <v>14.562727272727273</v>
      </c>
      <c r="N523" s="8">
        <f t="shared" si="35"/>
        <v>5.69835819963793</v>
      </c>
    </row>
    <row r="524" spans="1:14" x14ac:dyDescent="0.45">
      <c r="A524" s="12">
        <v>45407</v>
      </c>
      <c r="B524" s="2" t="s">
        <v>35</v>
      </c>
      <c r="C524" s="2" t="s">
        <v>38</v>
      </c>
      <c r="D524" s="2" t="s">
        <v>21</v>
      </c>
      <c r="E524" s="2" t="s">
        <v>18</v>
      </c>
      <c r="F524" s="2">
        <v>6074</v>
      </c>
      <c r="G524" s="2">
        <v>128</v>
      </c>
      <c r="H524" s="2">
        <v>193.28</v>
      </c>
      <c r="I524" s="2">
        <v>5</v>
      </c>
      <c r="J524" s="2">
        <v>1253.71</v>
      </c>
      <c r="K524" s="4">
        <f t="shared" si="32"/>
        <v>2.1073427724728349E-2</v>
      </c>
      <c r="L524" s="6">
        <f t="shared" si="33"/>
        <v>1.51</v>
      </c>
      <c r="M524" s="6">
        <f t="shared" si="34"/>
        <v>38.655999999999999</v>
      </c>
      <c r="N524" s="8">
        <f t="shared" si="35"/>
        <v>6.4864962748344368</v>
      </c>
    </row>
    <row r="525" spans="1:14" x14ac:dyDescent="0.45">
      <c r="A525" s="12">
        <v>45576</v>
      </c>
      <c r="B525" s="2" t="s">
        <v>20</v>
      </c>
      <c r="C525" s="2" t="s">
        <v>24</v>
      </c>
      <c r="D525" s="2" t="s">
        <v>25</v>
      </c>
      <c r="E525" s="2" t="s">
        <v>33</v>
      </c>
      <c r="F525" s="2">
        <v>54752</v>
      </c>
      <c r="G525" s="2">
        <v>2814</v>
      </c>
      <c r="H525" s="2">
        <v>2420.04</v>
      </c>
      <c r="I525" s="2">
        <v>137</v>
      </c>
      <c r="J525" s="2">
        <v>13580.22</v>
      </c>
      <c r="K525" s="4">
        <f t="shared" si="32"/>
        <v>5.1395382817066043E-2</v>
      </c>
      <c r="L525" s="6">
        <f t="shared" si="33"/>
        <v>0.86</v>
      </c>
      <c r="M525" s="6">
        <f t="shared" si="34"/>
        <v>17.664525547445255</v>
      </c>
      <c r="N525" s="8">
        <f t="shared" si="35"/>
        <v>5.611568403828036</v>
      </c>
    </row>
    <row r="526" spans="1:14" x14ac:dyDescent="0.45">
      <c r="A526" s="12">
        <v>45332</v>
      </c>
      <c r="B526" s="2" t="s">
        <v>35</v>
      </c>
      <c r="C526" s="2" t="s">
        <v>24</v>
      </c>
      <c r="D526" s="2" t="s">
        <v>25</v>
      </c>
      <c r="E526" s="2" t="s">
        <v>22</v>
      </c>
      <c r="F526" s="2">
        <v>141313</v>
      </c>
      <c r="G526" s="2">
        <v>4762</v>
      </c>
      <c r="H526" s="2">
        <v>5000.1000000000004</v>
      </c>
      <c r="I526" s="2">
        <v>207</v>
      </c>
      <c r="J526" s="2">
        <v>26737.15</v>
      </c>
      <c r="K526" s="4">
        <f t="shared" si="32"/>
        <v>3.3698244322886074E-2</v>
      </c>
      <c r="L526" s="6">
        <f t="shared" si="33"/>
        <v>1.05</v>
      </c>
      <c r="M526" s="6">
        <f t="shared" si="34"/>
        <v>24.155072463768118</v>
      </c>
      <c r="N526" s="8">
        <f t="shared" si="35"/>
        <v>5.3473230535389291</v>
      </c>
    </row>
    <row r="527" spans="1:14" x14ac:dyDescent="0.45">
      <c r="A527" s="12">
        <v>45624</v>
      </c>
      <c r="B527" s="2" t="s">
        <v>20</v>
      </c>
      <c r="C527" s="2" t="s">
        <v>38</v>
      </c>
      <c r="D527" s="2" t="s">
        <v>21</v>
      </c>
      <c r="E527" s="2" t="s">
        <v>26</v>
      </c>
      <c r="F527" s="2">
        <v>34669</v>
      </c>
      <c r="G527" s="2">
        <v>1965</v>
      </c>
      <c r="H527" s="2">
        <v>3163.65</v>
      </c>
      <c r="I527" s="2">
        <v>74</v>
      </c>
      <c r="J527" s="2">
        <v>12153.4</v>
      </c>
      <c r="K527" s="4">
        <f t="shared" si="32"/>
        <v>5.667887738325305E-2</v>
      </c>
      <c r="L527" s="6">
        <f t="shared" si="33"/>
        <v>1.61</v>
      </c>
      <c r="M527" s="6">
        <f t="shared" si="34"/>
        <v>42.752027027027026</v>
      </c>
      <c r="N527" s="8">
        <f t="shared" si="35"/>
        <v>3.8415753955083525</v>
      </c>
    </row>
    <row r="528" spans="1:14" x14ac:dyDescent="0.45">
      <c r="A528" s="12">
        <v>45368</v>
      </c>
      <c r="B528" s="2" t="s">
        <v>35</v>
      </c>
      <c r="C528" s="2" t="s">
        <v>38</v>
      </c>
      <c r="D528" s="2" t="s">
        <v>41</v>
      </c>
      <c r="E528" s="2" t="s">
        <v>54</v>
      </c>
      <c r="F528" s="2">
        <v>104714</v>
      </c>
      <c r="G528" s="2">
        <v>1015</v>
      </c>
      <c r="H528" s="2">
        <v>943.95</v>
      </c>
      <c r="I528" s="2">
        <v>78</v>
      </c>
      <c r="J528" s="2">
        <v>20952.03</v>
      </c>
      <c r="K528" s="4">
        <f t="shared" si="32"/>
        <v>9.6930687396145684E-3</v>
      </c>
      <c r="L528" s="6">
        <f t="shared" si="33"/>
        <v>0.93</v>
      </c>
      <c r="M528" s="6">
        <f t="shared" si="34"/>
        <v>12.101923076923077</v>
      </c>
      <c r="N528" s="8">
        <f t="shared" si="35"/>
        <v>22.196122675989191</v>
      </c>
    </row>
    <row r="529" spans="1:14" x14ac:dyDescent="0.45">
      <c r="A529" s="12">
        <v>45442</v>
      </c>
      <c r="B529" s="2" t="s">
        <v>20</v>
      </c>
      <c r="C529" s="2" t="s">
        <v>24</v>
      </c>
      <c r="D529" s="2" t="s">
        <v>25</v>
      </c>
      <c r="E529" s="2" t="s">
        <v>18</v>
      </c>
      <c r="F529" s="2">
        <v>109733</v>
      </c>
      <c r="G529" s="2">
        <v>6616</v>
      </c>
      <c r="H529" s="2">
        <v>6020.56</v>
      </c>
      <c r="I529" s="2">
        <v>516</v>
      </c>
      <c r="J529" s="2">
        <v>53965.61</v>
      </c>
      <c r="K529" s="4">
        <f t="shared" si="32"/>
        <v>6.0291799185295217E-2</v>
      </c>
      <c r="L529" s="6">
        <f t="shared" si="33"/>
        <v>0.91</v>
      </c>
      <c r="M529" s="6">
        <f t="shared" si="34"/>
        <v>11.667751937984496</v>
      </c>
      <c r="N529" s="8">
        <f t="shared" si="35"/>
        <v>8.9635532242847837</v>
      </c>
    </row>
    <row r="530" spans="1:14" x14ac:dyDescent="0.45">
      <c r="A530" s="12">
        <v>45551</v>
      </c>
      <c r="B530" s="2" t="s">
        <v>20</v>
      </c>
      <c r="C530" s="2" t="s">
        <v>38</v>
      </c>
      <c r="D530" s="2" t="s">
        <v>29</v>
      </c>
      <c r="E530" s="2" t="s">
        <v>26</v>
      </c>
      <c r="F530" s="2">
        <v>67502</v>
      </c>
      <c r="G530" s="2">
        <v>5859</v>
      </c>
      <c r="H530" s="2">
        <v>2812.32</v>
      </c>
      <c r="I530" s="2">
        <v>395</v>
      </c>
      <c r="J530" s="2">
        <v>42271.31</v>
      </c>
      <c r="K530" s="4">
        <f t="shared" si="32"/>
        <v>8.679742822434891E-2</v>
      </c>
      <c r="L530" s="6">
        <f t="shared" si="33"/>
        <v>0.48000000000000004</v>
      </c>
      <c r="M530" s="6">
        <f t="shared" si="34"/>
        <v>7.1197974683544309</v>
      </c>
      <c r="N530" s="8">
        <f t="shared" si="35"/>
        <v>15.030761079820218</v>
      </c>
    </row>
    <row r="531" spans="1:14" x14ac:dyDescent="0.45">
      <c r="A531" s="12">
        <v>45406</v>
      </c>
      <c r="B531" s="2" t="s">
        <v>15</v>
      </c>
      <c r="C531" s="2" t="s">
        <v>38</v>
      </c>
      <c r="D531" s="2" t="s">
        <v>41</v>
      </c>
      <c r="E531" s="2" t="s">
        <v>33</v>
      </c>
      <c r="F531" s="2">
        <v>129121</v>
      </c>
      <c r="G531" s="2">
        <v>4893</v>
      </c>
      <c r="H531" s="2">
        <v>12526.08</v>
      </c>
      <c r="I531" s="2">
        <v>137</v>
      </c>
      <c r="J531" s="2">
        <v>7241.16</v>
      </c>
      <c r="K531" s="4">
        <f t="shared" si="32"/>
        <v>3.789468792837726E-2</v>
      </c>
      <c r="L531" s="6">
        <f t="shared" si="33"/>
        <v>2.56</v>
      </c>
      <c r="M531" s="6">
        <f t="shared" si="34"/>
        <v>91.431240875912408</v>
      </c>
      <c r="N531" s="8">
        <f t="shared" si="35"/>
        <v>0.57808667995095031</v>
      </c>
    </row>
    <row r="532" spans="1:14" x14ac:dyDescent="0.45">
      <c r="A532" s="12">
        <v>45376</v>
      </c>
      <c r="B532" s="2" t="s">
        <v>15</v>
      </c>
      <c r="C532" s="2" t="s">
        <v>24</v>
      </c>
      <c r="D532" s="2" t="s">
        <v>17</v>
      </c>
      <c r="E532" s="2" t="s">
        <v>26</v>
      </c>
      <c r="F532" s="2">
        <v>173102</v>
      </c>
      <c r="G532" s="2">
        <v>4414</v>
      </c>
      <c r="H532" s="2">
        <v>15007.6</v>
      </c>
      <c r="I532" s="2">
        <v>341</v>
      </c>
      <c r="J532" s="2">
        <v>52487.34</v>
      </c>
      <c r="K532" s="4">
        <f t="shared" si="32"/>
        <v>2.5499416528982913E-2</v>
      </c>
      <c r="L532" s="6">
        <f t="shared" si="33"/>
        <v>3.4</v>
      </c>
      <c r="M532" s="6">
        <f t="shared" si="34"/>
        <v>44.010557184750738</v>
      </c>
      <c r="N532" s="8">
        <f t="shared" si="35"/>
        <v>3.4973839921106635</v>
      </c>
    </row>
    <row r="533" spans="1:14" x14ac:dyDescent="0.45">
      <c r="A533" s="12">
        <v>45378</v>
      </c>
      <c r="B533" s="2" t="s">
        <v>15</v>
      </c>
      <c r="C533" s="2" t="s">
        <v>28</v>
      </c>
      <c r="D533" s="2" t="s">
        <v>21</v>
      </c>
      <c r="E533" s="2" t="s">
        <v>33</v>
      </c>
      <c r="F533" s="2">
        <v>140607</v>
      </c>
      <c r="G533" s="2">
        <v>6397</v>
      </c>
      <c r="H533" s="2">
        <v>9147.7099999999991</v>
      </c>
      <c r="I533" s="2">
        <v>393</v>
      </c>
      <c r="J533" s="2">
        <v>82224.929999999993</v>
      </c>
      <c r="K533" s="4">
        <f t="shared" si="32"/>
        <v>4.5495601214733263E-2</v>
      </c>
      <c r="L533" s="6">
        <f t="shared" si="33"/>
        <v>1.43</v>
      </c>
      <c r="M533" s="6">
        <f t="shared" si="34"/>
        <v>23.276615776081421</v>
      </c>
      <c r="N533" s="8">
        <f t="shared" si="35"/>
        <v>8.9885807486245195</v>
      </c>
    </row>
    <row r="534" spans="1:14" x14ac:dyDescent="0.45">
      <c r="A534" s="12">
        <v>45302</v>
      </c>
      <c r="B534" s="2" t="s">
        <v>15</v>
      </c>
      <c r="C534" s="2" t="s">
        <v>16</v>
      </c>
      <c r="D534" s="2" t="s">
        <v>25</v>
      </c>
      <c r="E534" s="2" t="s">
        <v>30</v>
      </c>
      <c r="F534" s="2">
        <v>48351</v>
      </c>
      <c r="G534" s="2">
        <v>2156</v>
      </c>
      <c r="H534" s="2">
        <v>6812.96</v>
      </c>
      <c r="I534" s="2">
        <v>83</v>
      </c>
      <c r="J534" s="2">
        <v>7504.87</v>
      </c>
      <c r="K534" s="4">
        <f t="shared" si="32"/>
        <v>4.4590597919381192E-2</v>
      </c>
      <c r="L534" s="6">
        <f t="shared" si="33"/>
        <v>3.16</v>
      </c>
      <c r="M534" s="6">
        <f t="shared" si="34"/>
        <v>82.083855421686749</v>
      </c>
      <c r="N534" s="8">
        <f t="shared" si="35"/>
        <v>1.1015579131537541</v>
      </c>
    </row>
    <row r="535" spans="1:14" x14ac:dyDescent="0.45">
      <c r="A535" s="12">
        <v>45388</v>
      </c>
      <c r="B535" s="2" t="s">
        <v>20</v>
      </c>
      <c r="C535" s="2" t="s">
        <v>24</v>
      </c>
      <c r="D535" s="2" t="s">
        <v>17</v>
      </c>
      <c r="E535" s="2" t="s">
        <v>30</v>
      </c>
      <c r="F535" s="2">
        <v>118135</v>
      </c>
      <c r="G535" s="2">
        <v>8151</v>
      </c>
      <c r="H535" s="2">
        <v>5624.19</v>
      </c>
      <c r="I535" s="2">
        <v>428</v>
      </c>
      <c r="J535" s="2">
        <v>64189.34</v>
      </c>
      <c r="K535" s="4">
        <f t="shared" si="32"/>
        <v>6.8997333559063789E-2</v>
      </c>
      <c r="L535" s="6">
        <f t="shared" si="33"/>
        <v>0.69</v>
      </c>
      <c r="M535" s="6">
        <f t="shared" si="34"/>
        <v>13.140630841121494</v>
      </c>
      <c r="N535" s="8">
        <f t="shared" si="35"/>
        <v>11.413081705987885</v>
      </c>
    </row>
    <row r="536" spans="1:14" x14ac:dyDescent="0.45">
      <c r="A536" s="12">
        <v>45468</v>
      </c>
      <c r="B536" s="2" t="s">
        <v>20</v>
      </c>
      <c r="C536" s="2" t="s">
        <v>16</v>
      </c>
      <c r="D536" s="2" t="s">
        <v>17</v>
      </c>
      <c r="E536" s="2" t="s">
        <v>22</v>
      </c>
      <c r="F536" s="2">
        <v>20185</v>
      </c>
      <c r="G536" s="2">
        <v>878</v>
      </c>
      <c r="H536" s="2">
        <v>535.58000000000004</v>
      </c>
      <c r="I536" s="2">
        <v>27</v>
      </c>
      <c r="J536" s="2">
        <v>7476.28</v>
      </c>
      <c r="K536" s="4">
        <f t="shared" si="32"/>
        <v>4.3497646767401539E-2</v>
      </c>
      <c r="L536" s="6">
        <f t="shared" si="33"/>
        <v>0.6100000000000001</v>
      </c>
      <c r="M536" s="6">
        <f t="shared" si="34"/>
        <v>19.836296296296297</v>
      </c>
      <c r="N536" s="8">
        <f t="shared" si="35"/>
        <v>13.959221778259082</v>
      </c>
    </row>
    <row r="537" spans="1:14" x14ac:dyDescent="0.45">
      <c r="A537" s="12">
        <v>45625</v>
      </c>
      <c r="B537" s="2" t="s">
        <v>20</v>
      </c>
      <c r="C537" s="2" t="s">
        <v>24</v>
      </c>
      <c r="D537" s="2" t="s">
        <v>41</v>
      </c>
      <c r="E537" s="2" t="s">
        <v>54</v>
      </c>
      <c r="F537" s="2">
        <v>50802</v>
      </c>
      <c r="G537" s="2">
        <v>3617</v>
      </c>
      <c r="H537" s="2">
        <v>1519.14</v>
      </c>
      <c r="I537" s="2">
        <v>279</v>
      </c>
      <c r="J537" s="2">
        <v>22644.29</v>
      </c>
      <c r="K537" s="4">
        <f t="shared" si="32"/>
        <v>7.1197984331325542E-2</v>
      </c>
      <c r="L537" s="6">
        <f t="shared" si="33"/>
        <v>0.42000000000000004</v>
      </c>
      <c r="M537" s="6">
        <f t="shared" si="34"/>
        <v>5.4449462365591401</v>
      </c>
      <c r="N537" s="8">
        <f t="shared" si="35"/>
        <v>14.905992864383796</v>
      </c>
    </row>
    <row r="538" spans="1:14" x14ac:dyDescent="0.45">
      <c r="A538" s="12">
        <v>45518</v>
      </c>
      <c r="B538" s="2" t="s">
        <v>35</v>
      </c>
      <c r="C538" s="2" t="s">
        <v>28</v>
      </c>
      <c r="D538" s="2" t="s">
        <v>41</v>
      </c>
      <c r="E538" s="2" t="s">
        <v>33</v>
      </c>
      <c r="F538" s="2">
        <v>34048</v>
      </c>
      <c r="G538" s="2">
        <v>694</v>
      </c>
      <c r="H538" s="2">
        <v>1006.3</v>
      </c>
      <c r="I538" s="2">
        <v>49</v>
      </c>
      <c r="J538" s="2">
        <v>12555.06</v>
      </c>
      <c r="K538" s="4">
        <f t="shared" si="32"/>
        <v>2.038298872180451E-2</v>
      </c>
      <c r="L538" s="6">
        <f t="shared" si="33"/>
        <v>1.45</v>
      </c>
      <c r="M538" s="6">
        <f t="shared" si="34"/>
        <v>20.536734693877548</v>
      </c>
      <c r="N538" s="8">
        <f t="shared" si="35"/>
        <v>12.476458312630429</v>
      </c>
    </row>
    <row r="539" spans="1:14" x14ac:dyDescent="0.45">
      <c r="A539" s="12">
        <v>45345</v>
      </c>
      <c r="B539" s="2" t="s">
        <v>20</v>
      </c>
      <c r="C539" s="2" t="s">
        <v>24</v>
      </c>
      <c r="D539" s="2" t="s">
        <v>29</v>
      </c>
      <c r="E539" s="2" t="s">
        <v>18</v>
      </c>
      <c r="F539" s="2">
        <v>56672</v>
      </c>
      <c r="G539" s="2">
        <v>2397</v>
      </c>
      <c r="H539" s="2">
        <v>1150.56</v>
      </c>
      <c r="I539" s="2">
        <v>138</v>
      </c>
      <c r="J539" s="2">
        <v>33165.74</v>
      </c>
      <c r="K539" s="4">
        <f t="shared" si="32"/>
        <v>4.2296019198193112E-2</v>
      </c>
      <c r="L539" s="6">
        <f t="shared" si="33"/>
        <v>0.48</v>
      </c>
      <c r="M539" s="6">
        <f t="shared" si="34"/>
        <v>8.3373913043478254</v>
      </c>
      <c r="N539" s="8">
        <f t="shared" si="35"/>
        <v>28.825737032401612</v>
      </c>
    </row>
    <row r="540" spans="1:14" x14ac:dyDescent="0.45">
      <c r="A540" s="12">
        <v>45427</v>
      </c>
      <c r="B540" s="2" t="s">
        <v>15</v>
      </c>
      <c r="C540" s="2" t="s">
        <v>24</v>
      </c>
      <c r="D540" s="2" t="s">
        <v>17</v>
      </c>
      <c r="E540" s="2" t="s">
        <v>18</v>
      </c>
      <c r="F540" s="2">
        <v>128962</v>
      </c>
      <c r="G540" s="2">
        <v>7337</v>
      </c>
      <c r="H540" s="2">
        <v>9904.9500000000007</v>
      </c>
      <c r="I540" s="2">
        <v>226</v>
      </c>
      <c r="J540" s="2">
        <v>26098.81</v>
      </c>
      <c r="K540" s="4">
        <f t="shared" si="32"/>
        <v>5.6892728090445245E-2</v>
      </c>
      <c r="L540" s="6">
        <f t="shared" si="33"/>
        <v>1.35</v>
      </c>
      <c r="M540" s="6">
        <f t="shared" si="34"/>
        <v>43.827212389380534</v>
      </c>
      <c r="N540" s="8">
        <f t="shared" si="35"/>
        <v>2.6349259713577555</v>
      </c>
    </row>
    <row r="541" spans="1:14" x14ac:dyDescent="0.45">
      <c r="A541" s="12">
        <v>45557</v>
      </c>
      <c r="B541" s="2" t="s">
        <v>35</v>
      </c>
      <c r="C541" s="2" t="s">
        <v>24</v>
      </c>
      <c r="D541" s="2" t="s">
        <v>25</v>
      </c>
      <c r="E541" s="2" t="s">
        <v>22</v>
      </c>
      <c r="F541" s="2">
        <v>15532</v>
      </c>
      <c r="G541" s="2">
        <v>593</v>
      </c>
      <c r="H541" s="2">
        <v>847.99</v>
      </c>
      <c r="I541" s="2">
        <v>45</v>
      </c>
      <c r="J541" s="2">
        <v>2243.79</v>
      </c>
      <c r="K541" s="4">
        <f t="shared" si="32"/>
        <v>3.8179242853463816E-2</v>
      </c>
      <c r="L541" s="6">
        <f t="shared" si="33"/>
        <v>1.43</v>
      </c>
      <c r="M541" s="6">
        <f t="shared" si="34"/>
        <v>18.844222222222221</v>
      </c>
      <c r="N541" s="8">
        <f t="shared" si="35"/>
        <v>2.6460099765327421</v>
      </c>
    </row>
    <row r="542" spans="1:14" x14ac:dyDescent="0.45">
      <c r="A542" s="12">
        <v>45519</v>
      </c>
      <c r="B542" s="2" t="s">
        <v>15</v>
      </c>
      <c r="C542" s="2" t="s">
        <v>24</v>
      </c>
      <c r="D542" s="2" t="s">
        <v>17</v>
      </c>
      <c r="E542" s="2" t="s">
        <v>54</v>
      </c>
      <c r="F542" s="2">
        <v>154666</v>
      </c>
      <c r="G542" s="2">
        <v>5939</v>
      </c>
      <c r="H542" s="2">
        <v>7601.92</v>
      </c>
      <c r="I542" s="2">
        <v>366</v>
      </c>
      <c r="J542" s="2">
        <v>24965.13</v>
      </c>
      <c r="K542" s="4">
        <f t="shared" si="32"/>
        <v>3.8398872408932798E-2</v>
      </c>
      <c r="L542" s="6">
        <f t="shared" si="33"/>
        <v>1.28</v>
      </c>
      <c r="M542" s="6">
        <f t="shared" si="34"/>
        <v>20.770273224043716</v>
      </c>
      <c r="N542" s="8">
        <f t="shared" si="35"/>
        <v>3.2840558700959757</v>
      </c>
    </row>
    <row r="543" spans="1:14" x14ac:dyDescent="0.45">
      <c r="A543" s="12">
        <v>45526</v>
      </c>
      <c r="B543" s="2" t="s">
        <v>20</v>
      </c>
      <c r="C543" s="2" t="s">
        <v>24</v>
      </c>
      <c r="D543" s="2" t="s">
        <v>41</v>
      </c>
      <c r="E543" s="2" t="s">
        <v>26</v>
      </c>
      <c r="F543" s="2">
        <v>9722</v>
      </c>
      <c r="G543" s="2">
        <v>455</v>
      </c>
      <c r="H543" s="2">
        <v>550.54999999999995</v>
      </c>
      <c r="I543" s="2">
        <v>29</v>
      </c>
      <c r="J543" s="2">
        <v>3533.89</v>
      </c>
      <c r="K543" s="4">
        <f t="shared" si="32"/>
        <v>4.6801069738736885E-2</v>
      </c>
      <c r="L543" s="6">
        <f t="shared" si="33"/>
        <v>1.21</v>
      </c>
      <c r="M543" s="6">
        <f t="shared" si="34"/>
        <v>18.98448275862069</v>
      </c>
      <c r="N543" s="8">
        <f t="shared" si="35"/>
        <v>6.4188357097448012</v>
      </c>
    </row>
    <row r="544" spans="1:14" x14ac:dyDescent="0.45">
      <c r="A544" s="12">
        <v>45514</v>
      </c>
      <c r="B544" s="2" t="s">
        <v>15</v>
      </c>
      <c r="C544" s="2" t="s">
        <v>38</v>
      </c>
      <c r="D544" s="2" t="s">
        <v>17</v>
      </c>
      <c r="E544" s="2" t="s">
        <v>54</v>
      </c>
      <c r="F544" s="2">
        <v>24464</v>
      </c>
      <c r="G544" s="2">
        <v>511</v>
      </c>
      <c r="H544" s="2">
        <v>572.32000000000005</v>
      </c>
      <c r="I544" s="2">
        <v>20</v>
      </c>
      <c r="J544" s="2">
        <v>5921.83</v>
      </c>
      <c r="K544" s="4">
        <f t="shared" si="32"/>
        <v>2.0887835186396336E-2</v>
      </c>
      <c r="L544" s="6">
        <f t="shared" si="33"/>
        <v>1.1200000000000001</v>
      </c>
      <c r="M544" s="6">
        <f t="shared" si="34"/>
        <v>28.616000000000003</v>
      </c>
      <c r="N544" s="8">
        <f t="shared" si="35"/>
        <v>10.347061084707855</v>
      </c>
    </row>
    <row r="545" spans="1:14" x14ac:dyDescent="0.45">
      <c r="A545" s="12">
        <v>45331</v>
      </c>
      <c r="B545" s="2" t="s">
        <v>35</v>
      </c>
      <c r="C545" s="2" t="s">
        <v>24</v>
      </c>
      <c r="D545" s="2" t="s">
        <v>41</v>
      </c>
      <c r="E545" s="2" t="s">
        <v>51</v>
      </c>
      <c r="F545" s="2">
        <v>170413</v>
      </c>
      <c r="G545" s="2">
        <v>3936</v>
      </c>
      <c r="H545" s="2">
        <v>2794.56</v>
      </c>
      <c r="I545" s="2">
        <v>63</v>
      </c>
      <c r="J545" s="2">
        <v>12671.79</v>
      </c>
      <c r="K545" s="4">
        <f t="shared" si="32"/>
        <v>2.3096829467235482E-2</v>
      </c>
      <c r="L545" s="6">
        <f t="shared" si="33"/>
        <v>0.71</v>
      </c>
      <c r="M545" s="6">
        <f t="shared" si="34"/>
        <v>44.358095238095238</v>
      </c>
      <c r="N545" s="8">
        <f t="shared" si="35"/>
        <v>4.5344490724836826</v>
      </c>
    </row>
    <row r="546" spans="1:14" x14ac:dyDescent="0.45">
      <c r="A546" s="12">
        <v>45363</v>
      </c>
      <c r="B546" s="2" t="s">
        <v>20</v>
      </c>
      <c r="C546" s="2" t="s">
        <v>24</v>
      </c>
      <c r="D546" s="2" t="s">
        <v>17</v>
      </c>
      <c r="E546" s="2" t="s">
        <v>30</v>
      </c>
      <c r="F546" s="2">
        <v>109205</v>
      </c>
      <c r="G546" s="2">
        <v>4499</v>
      </c>
      <c r="H546" s="2">
        <v>3779.16</v>
      </c>
      <c r="I546" s="2">
        <v>49</v>
      </c>
      <c r="J546" s="2">
        <v>13660.38</v>
      </c>
      <c r="K546" s="4">
        <f t="shared" si="32"/>
        <v>4.1197747355890296E-2</v>
      </c>
      <c r="L546" s="6">
        <f t="shared" si="33"/>
        <v>0.84</v>
      </c>
      <c r="M546" s="6">
        <f t="shared" si="34"/>
        <v>77.125714285714281</v>
      </c>
      <c r="N546" s="8">
        <f t="shared" si="35"/>
        <v>3.6146604007239702</v>
      </c>
    </row>
    <row r="547" spans="1:14" x14ac:dyDescent="0.45">
      <c r="A547" s="12">
        <v>45524</v>
      </c>
      <c r="B547" s="2" t="s">
        <v>15</v>
      </c>
      <c r="C547" s="2" t="s">
        <v>28</v>
      </c>
      <c r="D547" s="2" t="s">
        <v>41</v>
      </c>
      <c r="E547" s="2" t="s">
        <v>30</v>
      </c>
      <c r="F547" s="2">
        <v>161926</v>
      </c>
      <c r="G547" s="2">
        <v>5424</v>
      </c>
      <c r="H547" s="2">
        <v>17844.96</v>
      </c>
      <c r="I547" s="2">
        <v>87</v>
      </c>
      <c r="J547" s="2">
        <v>11807.21</v>
      </c>
      <c r="K547" s="4">
        <f t="shared" si="32"/>
        <v>3.3496782480886333E-2</v>
      </c>
      <c r="L547" s="6">
        <f t="shared" si="33"/>
        <v>3.29</v>
      </c>
      <c r="M547" s="6">
        <f t="shared" si="34"/>
        <v>205.11448275862068</v>
      </c>
      <c r="N547" s="8">
        <f t="shared" si="35"/>
        <v>0.66165516762155807</v>
      </c>
    </row>
    <row r="548" spans="1:14" x14ac:dyDescent="0.45">
      <c r="A548" s="12">
        <v>45579</v>
      </c>
      <c r="B548" s="2" t="s">
        <v>35</v>
      </c>
      <c r="C548" s="2" t="s">
        <v>16</v>
      </c>
      <c r="D548" s="2" t="s">
        <v>41</v>
      </c>
      <c r="E548" s="2" t="s">
        <v>22</v>
      </c>
      <c r="F548" s="2">
        <v>125725</v>
      </c>
      <c r="G548" s="2">
        <v>1646</v>
      </c>
      <c r="H548" s="2">
        <v>1333.26</v>
      </c>
      <c r="I548" s="2">
        <v>19</v>
      </c>
      <c r="J548" s="2">
        <v>2319.58</v>
      </c>
      <c r="K548" s="4">
        <f t="shared" si="32"/>
        <v>1.3092066017100815E-2</v>
      </c>
      <c r="L548" s="6">
        <f t="shared" si="33"/>
        <v>0.80999999999999994</v>
      </c>
      <c r="M548" s="6">
        <f t="shared" si="34"/>
        <v>70.171578947368417</v>
      </c>
      <c r="N548" s="8">
        <f t="shared" si="35"/>
        <v>1.7397806879378366</v>
      </c>
    </row>
    <row r="549" spans="1:14" x14ac:dyDescent="0.45">
      <c r="A549" s="12">
        <v>45429</v>
      </c>
      <c r="B549" s="2" t="s">
        <v>20</v>
      </c>
      <c r="C549" s="2" t="s">
        <v>24</v>
      </c>
      <c r="D549" s="2" t="s">
        <v>25</v>
      </c>
      <c r="E549" s="2" t="s">
        <v>18</v>
      </c>
      <c r="F549" s="2">
        <v>116301</v>
      </c>
      <c r="G549" s="2">
        <v>4198</v>
      </c>
      <c r="H549" s="2">
        <v>6087.1</v>
      </c>
      <c r="I549" s="2">
        <v>212</v>
      </c>
      <c r="J549" s="2">
        <v>37780.9</v>
      </c>
      <c r="K549" s="4">
        <f t="shared" si="32"/>
        <v>3.6095992295853002E-2</v>
      </c>
      <c r="L549" s="6">
        <f t="shared" si="33"/>
        <v>1.4500000000000002</v>
      </c>
      <c r="M549" s="6">
        <f t="shared" si="34"/>
        <v>28.712735849056607</v>
      </c>
      <c r="N549" s="8">
        <f t="shared" si="35"/>
        <v>6.206715841698017</v>
      </c>
    </row>
    <row r="550" spans="1:14" x14ac:dyDescent="0.45">
      <c r="A550" s="12">
        <v>45638</v>
      </c>
      <c r="B550" s="2" t="s">
        <v>15</v>
      </c>
      <c r="C550" s="2" t="s">
        <v>28</v>
      </c>
      <c r="D550" s="2" t="s">
        <v>29</v>
      </c>
      <c r="E550" s="2" t="s">
        <v>33</v>
      </c>
      <c r="F550" s="2">
        <v>88251</v>
      </c>
      <c r="G550" s="2">
        <v>2665</v>
      </c>
      <c r="H550" s="2">
        <v>3437.85</v>
      </c>
      <c r="I550" s="2">
        <v>151</v>
      </c>
      <c r="J550" s="2">
        <v>17509.21</v>
      </c>
      <c r="K550" s="4">
        <f t="shared" si="32"/>
        <v>3.0197958096792106E-2</v>
      </c>
      <c r="L550" s="6">
        <f t="shared" si="33"/>
        <v>1.29</v>
      </c>
      <c r="M550" s="6">
        <f t="shared" si="34"/>
        <v>22.767218543046358</v>
      </c>
      <c r="N550" s="8">
        <f t="shared" si="35"/>
        <v>5.0930697965298082</v>
      </c>
    </row>
    <row r="551" spans="1:14" x14ac:dyDescent="0.45">
      <c r="A551" s="12">
        <v>45577</v>
      </c>
      <c r="B551" s="2" t="s">
        <v>15</v>
      </c>
      <c r="C551" s="2" t="s">
        <v>24</v>
      </c>
      <c r="D551" s="2" t="s">
        <v>21</v>
      </c>
      <c r="E551" s="2" t="s">
        <v>30</v>
      </c>
      <c r="F551" s="2">
        <v>185378</v>
      </c>
      <c r="G551" s="2">
        <v>3244</v>
      </c>
      <c r="H551" s="2">
        <v>5904.08</v>
      </c>
      <c r="I551" s="2">
        <v>246</v>
      </c>
      <c r="J551" s="2">
        <v>67552.800000000003</v>
      </c>
      <c r="K551" s="4">
        <f t="shared" si="32"/>
        <v>1.7499379645912676E-2</v>
      </c>
      <c r="L551" s="6">
        <f t="shared" si="33"/>
        <v>1.82</v>
      </c>
      <c r="M551" s="6">
        <f t="shared" si="34"/>
        <v>24.000325203252032</v>
      </c>
      <c r="N551" s="8">
        <f t="shared" si="35"/>
        <v>11.441714881912169</v>
      </c>
    </row>
    <row r="552" spans="1:14" x14ac:dyDescent="0.45">
      <c r="A552" s="12">
        <v>45517</v>
      </c>
      <c r="B552" s="2" t="s">
        <v>35</v>
      </c>
      <c r="C552" s="2" t="s">
        <v>28</v>
      </c>
      <c r="D552" s="2" t="s">
        <v>29</v>
      </c>
      <c r="E552" s="2" t="s">
        <v>26</v>
      </c>
      <c r="F552" s="2">
        <v>177905</v>
      </c>
      <c r="G552" s="2">
        <v>5532</v>
      </c>
      <c r="H552" s="2">
        <v>5421.36</v>
      </c>
      <c r="I552" s="2">
        <v>370</v>
      </c>
      <c r="J552" s="2">
        <v>14673.05</v>
      </c>
      <c r="K552" s="4">
        <f t="shared" si="32"/>
        <v>3.1095247463533909E-2</v>
      </c>
      <c r="L552" s="6">
        <f t="shared" si="33"/>
        <v>0.98</v>
      </c>
      <c r="M552" s="6">
        <f t="shared" si="34"/>
        <v>14.652324324324324</v>
      </c>
      <c r="N552" s="8">
        <f t="shared" si="35"/>
        <v>2.7065256688358641</v>
      </c>
    </row>
    <row r="553" spans="1:14" x14ac:dyDescent="0.45">
      <c r="A553" s="12">
        <v>45520</v>
      </c>
      <c r="B553" s="2" t="s">
        <v>35</v>
      </c>
      <c r="C553" s="2" t="s">
        <v>24</v>
      </c>
      <c r="D553" s="2" t="s">
        <v>41</v>
      </c>
      <c r="E553" s="2" t="s">
        <v>33</v>
      </c>
      <c r="F553" s="2">
        <v>122845</v>
      </c>
      <c r="G553" s="2">
        <v>2714</v>
      </c>
      <c r="H553" s="2">
        <v>1546.98</v>
      </c>
      <c r="I553" s="2">
        <v>143</v>
      </c>
      <c r="J553" s="2">
        <v>36419.79</v>
      </c>
      <c r="K553" s="4">
        <f t="shared" si="32"/>
        <v>2.2092881273149092E-2</v>
      </c>
      <c r="L553" s="6">
        <f t="shared" si="33"/>
        <v>0.57000000000000006</v>
      </c>
      <c r="M553" s="6">
        <f t="shared" si="34"/>
        <v>10.818041958041958</v>
      </c>
      <c r="N553" s="8">
        <f t="shared" si="35"/>
        <v>23.542508629717254</v>
      </c>
    </row>
    <row r="554" spans="1:14" x14ac:dyDescent="0.45">
      <c r="A554" s="12">
        <v>45460</v>
      </c>
      <c r="B554" s="2" t="s">
        <v>35</v>
      </c>
      <c r="C554" s="2" t="s">
        <v>24</v>
      </c>
      <c r="D554" s="2" t="s">
        <v>25</v>
      </c>
      <c r="E554" s="2" t="s">
        <v>30</v>
      </c>
      <c r="F554" s="2">
        <v>36017</v>
      </c>
      <c r="G554" s="2">
        <v>1210</v>
      </c>
      <c r="H554" s="2">
        <v>1222.0999999999999</v>
      </c>
      <c r="I554" s="2">
        <v>28</v>
      </c>
      <c r="J554" s="2">
        <v>1258.31</v>
      </c>
      <c r="K554" s="4">
        <f t="shared" si="32"/>
        <v>3.3595246689063496E-2</v>
      </c>
      <c r="L554" s="6">
        <f t="shared" si="33"/>
        <v>1.01</v>
      </c>
      <c r="M554" s="6">
        <f t="shared" si="34"/>
        <v>43.646428571428565</v>
      </c>
      <c r="N554" s="8">
        <f t="shared" si="35"/>
        <v>1.0296293265690206</v>
      </c>
    </row>
    <row r="555" spans="1:14" x14ac:dyDescent="0.45">
      <c r="A555" s="12">
        <v>45425</v>
      </c>
      <c r="B555" s="2" t="s">
        <v>15</v>
      </c>
      <c r="C555" s="2" t="s">
        <v>16</v>
      </c>
      <c r="D555" s="2" t="s">
        <v>21</v>
      </c>
      <c r="E555" s="2" t="s">
        <v>26</v>
      </c>
      <c r="F555" s="2">
        <v>71267</v>
      </c>
      <c r="G555" s="2">
        <v>3962</v>
      </c>
      <c r="H555" s="2">
        <v>3684.66</v>
      </c>
      <c r="I555" s="2">
        <v>287</v>
      </c>
      <c r="J555" s="2">
        <v>50107.59</v>
      </c>
      <c r="K555" s="4">
        <f t="shared" si="32"/>
        <v>5.5593753069443079E-2</v>
      </c>
      <c r="L555" s="6">
        <f t="shared" si="33"/>
        <v>0.92999999999999994</v>
      </c>
      <c r="M555" s="6">
        <f t="shared" si="34"/>
        <v>12.838536585365853</v>
      </c>
      <c r="N555" s="8">
        <f t="shared" si="35"/>
        <v>13.598972496783963</v>
      </c>
    </row>
    <row r="556" spans="1:14" x14ac:dyDescent="0.45">
      <c r="A556" s="12">
        <v>45295</v>
      </c>
      <c r="B556" s="2" t="s">
        <v>35</v>
      </c>
      <c r="C556" s="2" t="s">
        <v>38</v>
      </c>
      <c r="D556" s="2" t="s">
        <v>21</v>
      </c>
      <c r="E556" s="2" t="s">
        <v>51</v>
      </c>
      <c r="F556" s="2">
        <v>97152</v>
      </c>
      <c r="G556" s="2">
        <v>1156</v>
      </c>
      <c r="H556" s="2">
        <v>624.24</v>
      </c>
      <c r="I556" s="2">
        <v>43</v>
      </c>
      <c r="J556" s="2">
        <v>4965.75</v>
      </c>
      <c r="K556" s="4">
        <f t="shared" si="32"/>
        <v>1.1898880105401844E-2</v>
      </c>
      <c r="L556" s="6">
        <f t="shared" si="33"/>
        <v>0.54</v>
      </c>
      <c r="M556" s="6">
        <f t="shared" si="34"/>
        <v>14.517209302325581</v>
      </c>
      <c r="N556" s="8">
        <f t="shared" si="35"/>
        <v>7.9548731257208765</v>
      </c>
    </row>
    <row r="557" spans="1:14" x14ac:dyDescent="0.45">
      <c r="A557" s="12">
        <v>45538</v>
      </c>
      <c r="B557" s="2" t="s">
        <v>35</v>
      </c>
      <c r="C557" s="2" t="s">
        <v>28</v>
      </c>
      <c r="D557" s="2" t="s">
        <v>41</v>
      </c>
      <c r="E557" s="2" t="s">
        <v>26</v>
      </c>
      <c r="F557" s="2">
        <v>33834</v>
      </c>
      <c r="G557" s="2">
        <v>906</v>
      </c>
      <c r="H557" s="2">
        <v>797.28</v>
      </c>
      <c r="I557" s="2">
        <v>23</v>
      </c>
      <c r="J557" s="2">
        <v>2361.23</v>
      </c>
      <c r="K557" s="4">
        <f t="shared" si="32"/>
        <v>2.6777797481823018E-2</v>
      </c>
      <c r="L557" s="6">
        <f t="shared" si="33"/>
        <v>0.88</v>
      </c>
      <c r="M557" s="6">
        <f t="shared" si="34"/>
        <v>34.664347826086953</v>
      </c>
      <c r="N557" s="8">
        <f t="shared" si="35"/>
        <v>2.9616069636765001</v>
      </c>
    </row>
    <row r="558" spans="1:14" x14ac:dyDescent="0.45">
      <c r="A558" s="12">
        <v>45640</v>
      </c>
      <c r="B558" s="2" t="s">
        <v>20</v>
      </c>
      <c r="C558" s="2" t="s">
        <v>28</v>
      </c>
      <c r="D558" s="2" t="s">
        <v>41</v>
      </c>
      <c r="E558" s="2" t="s">
        <v>33</v>
      </c>
      <c r="F558" s="2">
        <v>183775</v>
      </c>
      <c r="G558" s="2">
        <v>7093</v>
      </c>
      <c r="H558" s="2">
        <v>7093</v>
      </c>
      <c r="I558" s="2">
        <v>373</v>
      </c>
      <c r="J558" s="2">
        <v>88634</v>
      </c>
      <c r="K558" s="4">
        <f t="shared" si="32"/>
        <v>3.8596109372874436E-2</v>
      </c>
      <c r="L558" s="6">
        <f t="shared" si="33"/>
        <v>1</v>
      </c>
      <c r="M558" s="6">
        <f t="shared" si="34"/>
        <v>19.01608579088472</v>
      </c>
      <c r="N558" s="8">
        <f t="shared" si="35"/>
        <v>12.495981954039193</v>
      </c>
    </row>
    <row r="559" spans="1:14" x14ac:dyDescent="0.45">
      <c r="A559" s="12">
        <v>45535</v>
      </c>
      <c r="B559" s="2" t="s">
        <v>35</v>
      </c>
      <c r="C559" s="2" t="s">
        <v>16</v>
      </c>
      <c r="D559" s="2" t="s">
        <v>17</v>
      </c>
      <c r="E559" s="2" t="s">
        <v>18</v>
      </c>
      <c r="F559" s="2">
        <v>199405</v>
      </c>
      <c r="G559" s="2">
        <v>5204</v>
      </c>
      <c r="H559" s="2">
        <v>4995.84</v>
      </c>
      <c r="I559" s="2">
        <v>333</v>
      </c>
      <c r="J559" s="2">
        <v>25169.83</v>
      </c>
      <c r="K559" s="4">
        <f t="shared" si="32"/>
        <v>2.6097640480429278E-2</v>
      </c>
      <c r="L559" s="6">
        <f t="shared" si="33"/>
        <v>0.96000000000000008</v>
      </c>
      <c r="M559" s="6">
        <f t="shared" si="34"/>
        <v>15.002522522522524</v>
      </c>
      <c r="N559" s="8">
        <f t="shared" si="35"/>
        <v>5.0381577472457089</v>
      </c>
    </row>
    <row r="560" spans="1:14" x14ac:dyDescent="0.45">
      <c r="A560" s="12">
        <v>45370</v>
      </c>
      <c r="B560" s="2" t="s">
        <v>20</v>
      </c>
      <c r="C560" s="2" t="s">
        <v>16</v>
      </c>
      <c r="D560" s="2" t="s">
        <v>25</v>
      </c>
      <c r="E560" s="2" t="s">
        <v>30</v>
      </c>
      <c r="F560" s="2">
        <v>169512</v>
      </c>
      <c r="G560" s="2">
        <v>9475</v>
      </c>
      <c r="H560" s="2">
        <v>13359.75</v>
      </c>
      <c r="I560" s="2">
        <v>203</v>
      </c>
      <c r="J560" s="2">
        <v>26995.02</v>
      </c>
      <c r="K560" s="4">
        <f t="shared" si="32"/>
        <v>5.5895747793666524E-2</v>
      </c>
      <c r="L560" s="6">
        <f t="shared" si="33"/>
        <v>1.41</v>
      </c>
      <c r="M560" s="6">
        <f t="shared" si="34"/>
        <v>65.811576354679801</v>
      </c>
      <c r="N560" s="8">
        <f t="shared" si="35"/>
        <v>2.0206231404030763</v>
      </c>
    </row>
    <row r="561" spans="1:14" x14ac:dyDescent="0.45">
      <c r="A561" s="12">
        <v>45602</v>
      </c>
      <c r="B561" s="2" t="s">
        <v>15</v>
      </c>
      <c r="C561" s="2" t="s">
        <v>38</v>
      </c>
      <c r="D561" s="2" t="s">
        <v>21</v>
      </c>
      <c r="E561" s="2" t="s">
        <v>51</v>
      </c>
      <c r="F561" s="2">
        <v>14884</v>
      </c>
      <c r="G561" s="2">
        <v>541</v>
      </c>
      <c r="H561" s="2">
        <v>1758.25</v>
      </c>
      <c r="I561" s="2">
        <v>43</v>
      </c>
      <c r="J561" s="2">
        <v>4123.58</v>
      </c>
      <c r="K561" s="4">
        <f t="shared" si="32"/>
        <v>3.6347755979575382E-2</v>
      </c>
      <c r="L561" s="6">
        <f t="shared" si="33"/>
        <v>3.25</v>
      </c>
      <c r="M561" s="6">
        <f t="shared" si="34"/>
        <v>40.889534883720927</v>
      </c>
      <c r="N561" s="8">
        <f t="shared" si="35"/>
        <v>2.3452751315228211</v>
      </c>
    </row>
    <row r="562" spans="1:14" x14ac:dyDescent="0.45">
      <c r="A562" s="12">
        <v>45615</v>
      </c>
      <c r="B562" s="2" t="s">
        <v>20</v>
      </c>
      <c r="C562" s="2" t="s">
        <v>28</v>
      </c>
      <c r="D562" s="2" t="s">
        <v>25</v>
      </c>
      <c r="E562" s="2" t="s">
        <v>30</v>
      </c>
      <c r="F562" s="2">
        <v>47623</v>
      </c>
      <c r="G562" s="2">
        <v>1695</v>
      </c>
      <c r="H562" s="2">
        <v>3135.75</v>
      </c>
      <c r="I562" s="2">
        <v>36</v>
      </c>
      <c r="J562" s="2">
        <v>9884.86</v>
      </c>
      <c r="K562" s="4">
        <f t="shared" si="32"/>
        <v>3.5592045860193607E-2</v>
      </c>
      <c r="L562" s="6">
        <f t="shared" si="33"/>
        <v>1.85</v>
      </c>
      <c r="M562" s="6">
        <f t="shared" si="34"/>
        <v>87.104166666666671</v>
      </c>
      <c r="N562" s="8">
        <f t="shared" si="35"/>
        <v>3.1523112493024001</v>
      </c>
    </row>
    <row r="563" spans="1:14" x14ac:dyDescent="0.45">
      <c r="A563" s="12">
        <v>45620</v>
      </c>
      <c r="B563" s="2" t="s">
        <v>35</v>
      </c>
      <c r="C563" s="2" t="s">
        <v>16</v>
      </c>
      <c r="D563" s="2" t="s">
        <v>41</v>
      </c>
      <c r="E563" s="2" t="s">
        <v>26</v>
      </c>
      <c r="F563" s="2">
        <v>102780</v>
      </c>
      <c r="G563" s="2">
        <v>1952</v>
      </c>
      <c r="H563" s="2">
        <v>2342.4</v>
      </c>
      <c r="I563" s="2">
        <v>63</v>
      </c>
      <c r="J563" s="2">
        <v>16160.9</v>
      </c>
      <c r="K563" s="4">
        <f t="shared" si="32"/>
        <v>1.8992021794123369E-2</v>
      </c>
      <c r="L563" s="6">
        <f t="shared" si="33"/>
        <v>1.2</v>
      </c>
      <c r="M563" s="6">
        <f t="shared" si="34"/>
        <v>37.180952380952384</v>
      </c>
      <c r="N563" s="8">
        <f t="shared" si="35"/>
        <v>6.8992913251366117</v>
      </c>
    </row>
    <row r="564" spans="1:14" x14ac:dyDescent="0.45">
      <c r="A564" s="12">
        <v>45332</v>
      </c>
      <c r="B564" s="2" t="s">
        <v>15</v>
      </c>
      <c r="C564" s="2" t="s">
        <v>28</v>
      </c>
      <c r="D564" s="2" t="s">
        <v>25</v>
      </c>
      <c r="E564" s="2" t="s">
        <v>54</v>
      </c>
      <c r="F564" s="2">
        <v>167717</v>
      </c>
      <c r="G564" s="2">
        <v>4142</v>
      </c>
      <c r="H564" s="2">
        <v>7165.66</v>
      </c>
      <c r="I564" s="2">
        <v>71</v>
      </c>
      <c r="J564" s="2">
        <v>15937.54</v>
      </c>
      <c r="K564" s="4">
        <f t="shared" si="32"/>
        <v>2.4696363517115141E-2</v>
      </c>
      <c r="L564" s="6">
        <f t="shared" si="33"/>
        <v>1.73</v>
      </c>
      <c r="M564" s="6">
        <f t="shared" si="34"/>
        <v>100.92478873239436</v>
      </c>
      <c r="N564" s="8">
        <f t="shared" si="35"/>
        <v>2.2241552069174371</v>
      </c>
    </row>
    <row r="565" spans="1:14" x14ac:dyDescent="0.45">
      <c r="A565" s="12">
        <v>45540</v>
      </c>
      <c r="B565" s="2" t="s">
        <v>35</v>
      </c>
      <c r="C565" s="2" t="s">
        <v>16</v>
      </c>
      <c r="D565" s="2" t="s">
        <v>41</v>
      </c>
      <c r="E565" s="2" t="s">
        <v>22</v>
      </c>
      <c r="F565" s="2">
        <v>189598</v>
      </c>
      <c r="G565" s="2">
        <v>6673</v>
      </c>
      <c r="H565" s="2">
        <v>13279.27</v>
      </c>
      <c r="I565" s="2">
        <v>170</v>
      </c>
      <c r="J565" s="2">
        <v>36177.68</v>
      </c>
      <c r="K565" s="4">
        <f t="shared" si="32"/>
        <v>3.5195518940073209E-2</v>
      </c>
      <c r="L565" s="6">
        <f t="shared" si="33"/>
        <v>1.99</v>
      </c>
      <c r="M565" s="6">
        <f t="shared" si="34"/>
        <v>78.113352941176473</v>
      </c>
      <c r="N565" s="8">
        <f t="shared" si="35"/>
        <v>2.7243726500025978</v>
      </c>
    </row>
    <row r="566" spans="1:14" x14ac:dyDescent="0.45">
      <c r="A566" s="12">
        <v>45312</v>
      </c>
      <c r="B566" s="2" t="s">
        <v>20</v>
      </c>
      <c r="C566" s="2" t="s">
        <v>38</v>
      </c>
      <c r="D566" s="2" t="s">
        <v>29</v>
      </c>
      <c r="E566" s="2" t="s">
        <v>30</v>
      </c>
      <c r="F566" s="2">
        <v>92273</v>
      </c>
      <c r="G566" s="2">
        <v>6237</v>
      </c>
      <c r="H566" s="2">
        <v>8794.17</v>
      </c>
      <c r="I566" s="2">
        <v>291</v>
      </c>
      <c r="J566" s="2">
        <v>72065.02</v>
      </c>
      <c r="K566" s="4">
        <f t="shared" si="32"/>
        <v>6.7592903666294585E-2</v>
      </c>
      <c r="L566" s="6">
        <f t="shared" si="33"/>
        <v>1.41</v>
      </c>
      <c r="M566" s="6">
        <f t="shared" si="34"/>
        <v>30.220515463917526</v>
      </c>
      <c r="N566" s="8">
        <f t="shared" si="35"/>
        <v>8.1946357643757182</v>
      </c>
    </row>
    <row r="567" spans="1:14" x14ac:dyDescent="0.45">
      <c r="A567" s="12">
        <v>45540</v>
      </c>
      <c r="B567" s="2" t="s">
        <v>15</v>
      </c>
      <c r="C567" s="2" t="s">
        <v>38</v>
      </c>
      <c r="D567" s="2" t="s">
        <v>17</v>
      </c>
      <c r="E567" s="2" t="s">
        <v>22</v>
      </c>
      <c r="F567" s="2">
        <v>118884</v>
      </c>
      <c r="G567" s="2">
        <v>5932</v>
      </c>
      <c r="H567" s="2">
        <v>17499.400000000001</v>
      </c>
      <c r="I567" s="2">
        <v>450</v>
      </c>
      <c r="J567" s="2">
        <v>121374.91</v>
      </c>
      <c r="K567" s="4">
        <f t="shared" si="32"/>
        <v>4.9897378957639377E-2</v>
      </c>
      <c r="L567" s="6">
        <f t="shared" si="33"/>
        <v>2.95</v>
      </c>
      <c r="M567" s="6">
        <f t="shared" si="34"/>
        <v>38.887555555555558</v>
      </c>
      <c r="N567" s="8">
        <f t="shared" si="35"/>
        <v>6.9359469467524599</v>
      </c>
    </row>
    <row r="568" spans="1:14" x14ac:dyDescent="0.45">
      <c r="A568" s="12">
        <v>45386</v>
      </c>
      <c r="B568" s="2" t="s">
        <v>15</v>
      </c>
      <c r="C568" s="2" t="s">
        <v>16</v>
      </c>
      <c r="D568" s="2" t="s">
        <v>25</v>
      </c>
      <c r="E568" s="2" t="s">
        <v>54</v>
      </c>
      <c r="F568" s="2">
        <v>84303</v>
      </c>
      <c r="G568" s="2">
        <v>4417</v>
      </c>
      <c r="H568" s="2">
        <v>13781.04</v>
      </c>
      <c r="I568" s="2">
        <v>100</v>
      </c>
      <c r="J568" s="2">
        <v>20354.89</v>
      </c>
      <c r="K568" s="4">
        <f t="shared" si="32"/>
        <v>5.2394339465973924E-2</v>
      </c>
      <c r="L568" s="6">
        <f t="shared" si="33"/>
        <v>3.12</v>
      </c>
      <c r="M568" s="6">
        <f t="shared" si="34"/>
        <v>137.81040000000002</v>
      </c>
      <c r="N568" s="8">
        <f t="shared" si="35"/>
        <v>1.4770213278533404</v>
      </c>
    </row>
    <row r="569" spans="1:14" x14ac:dyDescent="0.45">
      <c r="A569" s="12">
        <v>45295</v>
      </c>
      <c r="B569" s="2" t="s">
        <v>15</v>
      </c>
      <c r="C569" s="2" t="s">
        <v>24</v>
      </c>
      <c r="D569" s="2" t="s">
        <v>21</v>
      </c>
      <c r="E569" s="2" t="s">
        <v>30</v>
      </c>
      <c r="F569" s="2">
        <v>89730</v>
      </c>
      <c r="G569" s="2">
        <v>4621</v>
      </c>
      <c r="H569" s="2">
        <v>12384.28</v>
      </c>
      <c r="I569" s="2">
        <v>277</v>
      </c>
      <c r="J569" s="2">
        <v>13483.54</v>
      </c>
      <c r="K569" s="4">
        <f t="shared" si="32"/>
        <v>5.1498941268249193E-2</v>
      </c>
      <c r="L569" s="6">
        <f t="shared" si="33"/>
        <v>2.68</v>
      </c>
      <c r="M569" s="6">
        <f t="shared" si="34"/>
        <v>44.708592057761734</v>
      </c>
      <c r="N569" s="8">
        <f t="shared" si="35"/>
        <v>1.0887625279790185</v>
      </c>
    </row>
    <row r="570" spans="1:14" x14ac:dyDescent="0.45">
      <c r="A570" s="12">
        <v>45626</v>
      </c>
      <c r="B570" s="2" t="s">
        <v>15</v>
      </c>
      <c r="C570" s="2" t="s">
        <v>16</v>
      </c>
      <c r="D570" s="2" t="s">
        <v>29</v>
      </c>
      <c r="E570" s="2" t="s">
        <v>22</v>
      </c>
      <c r="F570" s="2">
        <v>174737</v>
      </c>
      <c r="G570" s="2">
        <v>5207</v>
      </c>
      <c r="H570" s="2">
        <v>7498.08</v>
      </c>
      <c r="I570" s="2">
        <v>398</v>
      </c>
      <c r="J570" s="2">
        <v>90351.24</v>
      </c>
      <c r="K570" s="4">
        <f t="shared" si="32"/>
        <v>2.9799069458672178E-2</v>
      </c>
      <c r="L570" s="6">
        <f t="shared" si="33"/>
        <v>1.44</v>
      </c>
      <c r="M570" s="6">
        <f t="shared" si="34"/>
        <v>18.839396984924623</v>
      </c>
      <c r="N570" s="8">
        <f t="shared" si="35"/>
        <v>12.049916778695346</v>
      </c>
    </row>
    <row r="571" spans="1:14" x14ac:dyDescent="0.45">
      <c r="A571" s="12">
        <v>45545</v>
      </c>
      <c r="B571" s="2" t="s">
        <v>15</v>
      </c>
      <c r="C571" s="2" t="s">
        <v>28</v>
      </c>
      <c r="D571" s="2" t="s">
        <v>25</v>
      </c>
      <c r="E571" s="2" t="s">
        <v>30</v>
      </c>
      <c r="F571" s="2">
        <v>145508</v>
      </c>
      <c r="G571" s="2">
        <v>7158</v>
      </c>
      <c r="H571" s="2">
        <v>10307.52</v>
      </c>
      <c r="I571" s="2">
        <v>566</v>
      </c>
      <c r="J571" s="2">
        <v>76404.289999999994</v>
      </c>
      <c r="K571" s="4">
        <f t="shared" si="32"/>
        <v>4.9193171509470272E-2</v>
      </c>
      <c r="L571" s="6">
        <f t="shared" si="33"/>
        <v>1.4400000000000002</v>
      </c>
      <c r="M571" s="6">
        <f t="shared" si="34"/>
        <v>18.211166077738518</v>
      </c>
      <c r="N571" s="8">
        <f t="shared" si="35"/>
        <v>7.4124804026574767</v>
      </c>
    </row>
    <row r="572" spans="1:14" x14ac:dyDescent="0.45">
      <c r="A572" s="12">
        <v>45406</v>
      </c>
      <c r="B572" s="2" t="s">
        <v>15</v>
      </c>
      <c r="C572" s="2" t="s">
        <v>28</v>
      </c>
      <c r="D572" s="2" t="s">
        <v>21</v>
      </c>
      <c r="E572" s="2" t="s">
        <v>54</v>
      </c>
      <c r="F572" s="2">
        <v>75649</v>
      </c>
      <c r="G572" s="2">
        <v>1792</v>
      </c>
      <c r="H572" s="2">
        <v>4981.76</v>
      </c>
      <c r="I572" s="2">
        <v>110</v>
      </c>
      <c r="J572" s="2">
        <v>12588.99</v>
      </c>
      <c r="K572" s="4">
        <f t="shared" si="32"/>
        <v>2.3688350143425557E-2</v>
      </c>
      <c r="L572" s="6">
        <f t="shared" si="33"/>
        <v>2.7800000000000002</v>
      </c>
      <c r="M572" s="6">
        <f t="shared" si="34"/>
        <v>45.288727272727272</v>
      </c>
      <c r="N572" s="8">
        <f t="shared" si="35"/>
        <v>2.5270165563977387</v>
      </c>
    </row>
    <row r="573" spans="1:14" x14ac:dyDescent="0.45">
      <c r="A573" s="12">
        <v>45376</v>
      </c>
      <c r="B573" s="2" t="s">
        <v>20</v>
      </c>
      <c r="C573" s="2" t="s">
        <v>38</v>
      </c>
      <c r="D573" s="2" t="s">
        <v>41</v>
      </c>
      <c r="E573" s="2" t="s">
        <v>22</v>
      </c>
      <c r="F573" s="2">
        <v>85522</v>
      </c>
      <c r="G573" s="2">
        <v>3378</v>
      </c>
      <c r="H573" s="2">
        <v>1182.3</v>
      </c>
      <c r="I573" s="2">
        <v>167</v>
      </c>
      <c r="J573" s="2">
        <v>30312.31</v>
      </c>
      <c r="K573" s="4">
        <f t="shared" si="32"/>
        <v>3.9498608545169664E-2</v>
      </c>
      <c r="L573" s="6">
        <f t="shared" si="33"/>
        <v>0.35</v>
      </c>
      <c r="M573" s="6">
        <f t="shared" si="34"/>
        <v>7.0796407185628736</v>
      </c>
      <c r="N573" s="8">
        <f t="shared" si="35"/>
        <v>25.638425103611606</v>
      </c>
    </row>
    <row r="574" spans="1:14" x14ac:dyDescent="0.45">
      <c r="A574" s="12">
        <v>45615</v>
      </c>
      <c r="B574" s="2" t="s">
        <v>35</v>
      </c>
      <c r="C574" s="2" t="s">
        <v>28</v>
      </c>
      <c r="D574" s="2" t="s">
        <v>25</v>
      </c>
      <c r="E574" s="2" t="s">
        <v>33</v>
      </c>
      <c r="F574" s="2">
        <v>19588</v>
      </c>
      <c r="G574" s="2">
        <v>434</v>
      </c>
      <c r="H574" s="2">
        <v>768.18</v>
      </c>
      <c r="I574" s="2">
        <v>5</v>
      </c>
      <c r="J574" s="2">
        <v>560.03</v>
      </c>
      <c r="K574" s="4">
        <f t="shared" si="32"/>
        <v>2.215642229936696E-2</v>
      </c>
      <c r="L574" s="6">
        <f t="shared" si="33"/>
        <v>1.7699999999999998</v>
      </c>
      <c r="M574" s="6">
        <f t="shared" si="34"/>
        <v>153.636</v>
      </c>
      <c r="N574" s="8">
        <f t="shared" si="35"/>
        <v>0.72903486162097431</v>
      </c>
    </row>
    <row r="575" spans="1:14" x14ac:dyDescent="0.45">
      <c r="A575" s="12">
        <v>45598</v>
      </c>
      <c r="B575" s="2" t="s">
        <v>20</v>
      </c>
      <c r="C575" s="2" t="s">
        <v>24</v>
      </c>
      <c r="D575" s="2" t="s">
        <v>41</v>
      </c>
      <c r="E575" s="2" t="s">
        <v>33</v>
      </c>
      <c r="F575" s="2">
        <v>92985</v>
      </c>
      <c r="G575" s="2">
        <v>8024</v>
      </c>
      <c r="H575" s="2">
        <v>6820.4</v>
      </c>
      <c r="I575" s="2">
        <v>520</v>
      </c>
      <c r="J575" s="2">
        <v>150774.99</v>
      </c>
      <c r="K575" s="4">
        <f t="shared" si="32"/>
        <v>8.6293488197021026E-2</v>
      </c>
      <c r="L575" s="6">
        <f t="shared" si="33"/>
        <v>0.85</v>
      </c>
      <c r="M575" s="6">
        <f t="shared" si="34"/>
        <v>13.116153846153846</v>
      </c>
      <c r="N575" s="8">
        <f t="shared" si="35"/>
        <v>22.106473227376693</v>
      </c>
    </row>
    <row r="576" spans="1:14" x14ac:dyDescent="0.45">
      <c r="A576" s="12">
        <v>45372</v>
      </c>
      <c r="B576" s="2" t="s">
        <v>15</v>
      </c>
      <c r="C576" s="2" t="s">
        <v>24</v>
      </c>
      <c r="D576" s="2" t="s">
        <v>41</v>
      </c>
      <c r="E576" s="2" t="s">
        <v>26</v>
      </c>
      <c r="F576" s="2">
        <v>134198</v>
      </c>
      <c r="G576" s="2">
        <v>2670</v>
      </c>
      <c r="H576" s="2">
        <v>8410.5</v>
      </c>
      <c r="I576" s="2">
        <v>71</v>
      </c>
      <c r="J576" s="2">
        <v>14769.75</v>
      </c>
      <c r="K576" s="4">
        <f t="shared" si="32"/>
        <v>1.9895974604688595E-2</v>
      </c>
      <c r="L576" s="6">
        <f t="shared" si="33"/>
        <v>3.15</v>
      </c>
      <c r="M576" s="6">
        <f t="shared" si="34"/>
        <v>118.45774647887323</v>
      </c>
      <c r="N576" s="8">
        <f t="shared" si="35"/>
        <v>1.7561084358837167</v>
      </c>
    </row>
    <row r="577" spans="1:14" x14ac:dyDescent="0.45">
      <c r="A577" s="12">
        <v>45632</v>
      </c>
      <c r="B577" s="2" t="s">
        <v>20</v>
      </c>
      <c r="C577" s="2" t="s">
        <v>16</v>
      </c>
      <c r="D577" s="2" t="s">
        <v>41</v>
      </c>
      <c r="E577" s="2" t="s">
        <v>33</v>
      </c>
      <c r="F577" s="2">
        <v>25951</v>
      </c>
      <c r="G577" s="2">
        <v>809</v>
      </c>
      <c r="H577" s="2">
        <v>388.32</v>
      </c>
      <c r="I577" s="2">
        <v>61</v>
      </c>
      <c r="J577" s="2">
        <v>10397.040000000001</v>
      </c>
      <c r="K577" s="4">
        <f t="shared" si="32"/>
        <v>3.1174135871450039E-2</v>
      </c>
      <c r="L577" s="6">
        <f t="shared" si="33"/>
        <v>0.48</v>
      </c>
      <c r="M577" s="6">
        <f t="shared" si="34"/>
        <v>6.365901639344262</v>
      </c>
      <c r="N577" s="8">
        <f t="shared" si="35"/>
        <v>26.774412855377012</v>
      </c>
    </row>
    <row r="578" spans="1:14" x14ac:dyDescent="0.45">
      <c r="A578" s="12">
        <v>45584</v>
      </c>
      <c r="B578" s="2" t="s">
        <v>15</v>
      </c>
      <c r="C578" s="2" t="s">
        <v>28</v>
      </c>
      <c r="D578" s="2" t="s">
        <v>41</v>
      </c>
      <c r="E578" s="2" t="s">
        <v>22</v>
      </c>
      <c r="F578" s="2">
        <v>55385</v>
      </c>
      <c r="G578" s="2">
        <v>1678</v>
      </c>
      <c r="H578" s="2">
        <v>2416.3200000000002</v>
      </c>
      <c r="I578" s="2">
        <v>64</v>
      </c>
      <c r="J578" s="2">
        <v>18110.48</v>
      </c>
      <c r="K578" s="4">
        <f t="shared" si="32"/>
        <v>3.0297011826306761E-2</v>
      </c>
      <c r="L578" s="6">
        <f t="shared" si="33"/>
        <v>1.4400000000000002</v>
      </c>
      <c r="M578" s="6">
        <f t="shared" si="34"/>
        <v>37.755000000000003</v>
      </c>
      <c r="N578" s="8">
        <f t="shared" si="35"/>
        <v>7.4950668785591308</v>
      </c>
    </row>
    <row r="579" spans="1:14" x14ac:dyDescent="0.45">
      <c r="A579" s="12">
        <v>45292</v>
      </c>
      <c r="B579" s="2" t="s">
        <v>15</v>
      </c>
      <c r="C579" s="2" t="s">
        <v>16</v>
      </c>
      <c r="D579" s="2" t="s">
        <v>29</v>
      </c>
      <c r="E579" s="2" t="s">
        <v>51</v>
      </c>
      <c r="F579" s="2">
        <v>21702</v>
      </c>
      <c r="G579" s="2">
        <v>1000</v>
      </c>
      <c r="H579" s="2">
        <v>3170</v>
      </c>
      <c r="I579" s="2">
        <v>17</v>
      </c>
      <c r="J579" s="2">
        <v>3670.88</v>
      </c>
      <c r="K579" s="4">
        <f t="shared" ref="K579:K642" si="36" xml:space="preserve"> G579 / F579</f>
        <v>4.6078702423739751E-2</v>
      </c>
      <c r="L579" s="6">
        <f t="shared" ref="L579:L642" si="37">H579/G579</f>
        <v>3.17</v>
      </c>
      <c r="M579" s="6">
        <f t="shared" ref="M579:M642" si="38">H579/I579</f>
        <v>186.47058823529412</v>
      </c>
      <c r="N579" s="8">
        <f t="shared" ref="N579:N642" si="39">J579/H579</f>
        <v>1.1580063091482651</v>
      </c>
    </row>
    <row r="580" spans="1:14" x14ac:dyDescent="0.45">
      <c r="A580" s="12">
        <v>45349</v>
      </c>
      <c r="B580" s="2" t="s">
        <v>20</v>
      </c>
      <c r="C580" s="2" t="s">
        <v>16</v>
      </c>
      <c r="D580" s="2" t="s">
        <v>29</v>
      </c>
      <c r="E580" s="2" t="s">
        <v>18</v>
      </c>
      <c r="F580" s="2">
        <v>195972</v>
      </c>
      <c r="G580" s="2">
        <v>13796</v>
      </c>
      <c r="H580" s="2">
        <v>6898</v>
      </c>
      <c r="I580" s="2">
        <v>645</v>
      </c>
      <c r="J580" s="2">
        <v>54701.33</v>
      </c>
      <c r="K580" s="4">
        <f t="shared" si="36"/>
        <v>7.0397811932316867E-2</v>
      </c>
      <c r="L580" s="6">
        <f t="shared" si="37"/>
        <v>0.5</v>
      </c>
      <c r="M580" s="6">
        <f t="shared" si="38"/>
        <v>10.694573643410854</v>
      </c>
      <c r="N580" s="8">
        <f t="shared" si="39"/>
        <v>7.9300275442157151</v>
      </c>
    </row>
    <row r="581" spans="1:14" x14ac:dyDescent="0.45">
      <c r="A581" s="12">
        <v>45547</v>
      </c>
      <c r="B581" s="2" t="s">
        <v>35</v>
      </c>
      <c r="C581" s="2" t="s">
        <v>16</v>
      </c>
      <c r="D581" s="2" t="s">
        <v>25</v>
      </c>
      <c r="E581" s="2" t="s">
        <v>18</v>
      </c>
      <c r="F581" s="2">
        <v>73447</v>
      </c>
      <c r="G581" s="2">
        <v>2401</v>
      </c>
      <c r="H581" s="2">
        <v>3457.44</v>
      </c>
      <c r="I581" s="2">
        <v>93</v>
      </c>
      <c r="J581" s="2">
        <v>11150.38</v>
      </c>
      <c r="K581" s="4">
        <f t="shared" si="36"/>
        <v>3.2690239220117906E-2</v>
      </c>
      <c r="L581" s="6">
        <f t="shared" si="37"/>
        <v>1.44</v>
      </c>
      <c r="M581" s="6">
        <f t="shared" si="38"/>
        <v>37.17677419354839</v>
      </c>
      <c r="N581" s="8">
        <f t="shared" si="39"/>
        <v>3.2250393354620757</v>
      </c>
    </row>
    <row r="582" spans="1:14" x14ac:dyDescent="0.45">
      <c r="A582" s="12">
        <v>45582</v>
      </c>
      <c r="B582" s="2" t="s">
        <v>35</v>
      </c>
      <c r="C582" s="2" t="s">
        <v>16</v>
      </c>
      <c r="D582" s="2" t="s">
        <v>25</v>
      </c>
      <c r="E582" s="2" t="s">
        <v>18</v>
      </c>
      <c r="F582" s="2">
        <v>55867</v>
      </c>
      <c r="G582" s="2">
        <v>1681</v>
      </c>
      <c r="H582" s="2">
        <v>3328.38</v>
      </c>
      <c r="I582" s="2">
        <v>32</v>
      </c>
      <c r="J582" s="2">
        <v>3790.94</v>
      </c>
      <c r="K582" s="4">
        <f t="shared" si="36"/>
        <v>3.008931927613797E-2</v>
      </c>
      <c r="L582" s="6">
        <f t="shared" si="37"/>
        <v>1.98</v>
      </c>
      <c r="M582" s="6">
        <f t="shared" si="38"/>
        <v>104.011875</v>
      </c>
      <c r="N582" s="8">
        <f t="shared" si="39"/>
        <v>1.1389745161309706</v>
      </c>
    </row>
    <row r="583" spans="1:14" x14ac:dyDescent="0.45">
      <c r="A583" s="12">
        <v>45431</v>
      </c>
      <c r="B583" s="2" t="s">
        <v>15</v>
      </c>
      <c r="C583" s="2" t="s">
        <v>38</v>
      </c>
      <c r="D583" s="2" t="s">
        <v>17</v>
      </c>
      <c r="E583" s="2" t="s">
        <v>22</v>
      </c>
      <c r="F583" s="2">
        <v>64567</v>
      </c>
      <c r="G583" s="2">
        <v>1439</v>
      </c>
      <c r="H583" s="2">
        <v>3295.31</v>
      </c>
      <c r="I583" s="2">
        <v>64</v>
      </c>
      <c r="J583" s="2">
        <v>4231.38</v>
      </c>
      <c r="K583" s="4">
        <f t="shared" si="36"/>
        <v>2.228692675825112E-2</v>
      </c>
      <c r="L583" s="6">
        <f t="shared" si="37"/>
        <v>2.29</v>
      </c>
      <c r="M583" s="6">
        <f t="shared" si="38"/>
        <v>51.489218749999999</v>
      </c>
      <c r="N583" s="8">
        <f t="shared" si="39"/>
        <v>1.2840612871019723</v>
      </c>
    </row>
    <row r="584" spans="1:14" x14ac:dyDescent="0.45">
      <c r="A584" s="12">
        <v>45475</v>
      </c>
      <c r="B584" s="2" t="s">
        <v>20</v>
      </c>
      <c r="C584" s="2" t="s">
        <v>28</v>
      </c>
      <c r="D584" s="2" t="s">
        <v>29</v>
      </c>
      <c r="E584" s="2" t="s">
        <v>33</v>
      </c>
      <c r="F584" s="2">
        <v>97254</v>
      </c>
      <c r="G584" s="2">
        <v>3374</v>
      </c>
      <c r="H584" s="2">
        <v>5567.1</v>
      </c>
      <c r="I584" s="2">
        <v>63</v>
      </c>
      <c r="J584" s="2">
        <v>17255.150000000001</v>
      </c>
      <c r="K584" s="4">
        <f t="shared" si="36"/>
        <v>3.46926604561252E-2</v>
      </c>
      <c r="L584" s="6">
        <f t="shared" si="37"/>
        <v>1.6500000000000001</v>
      </c>
      <c r="M584" s="6">
        <f t="shared" si="38"/>
        <v>88.366666666666674</v>
      </c>
      <c r="N584" s="8">
        <f t="shared" si="39"/>
        <v>3.0994862675360602</v>
      </c>
    </row>
    <row r="585" spans="1:14" x14ac:dyDescent="0.45">
      <c r="A585" s="12">
        <v>45311</v>
      </c>
      <c r="B585" s="2" t="s">
        <v>35</v>
      </c>
      <c r="C585" s="2" t="s">
        <v>28</v>
      </c>
      <c r="D585" s="2" t="s">
        <v>25</v>
      </c>
      <c r="E585" s="2" t="s">
        <v>22</v>
      </c>
      <c r="F585" s="2">
        <v>147897</v>
      </c>
      <c r="G585" s="2">
        <v>2144</v>
      </c>
      <c r="H585" s="2">
        <v>4159.3599999999997</v>
      </c>
      <c r="I585" s="2">
        <v>24</v>
      </c>
      <c r="J585" s="2">
        <v>3826.61</v>
      </c>
      <c r="K585" s="4">
        <f t="shared" si="36"/>
        <v>1.449657531931006E-2</v>
      </c>
      <c r="L585" s="6">
        <f t="shared" si="37"/>
        <v>1.94</v>
      </c>
      <c r="M585" s="6">
        <f t="shared" si="38"/>
        <v>173.30666666666664</v>
      </c>
      <c r="N585" s="8">
        <f t="shared" si="39"/>
        <v>0.91999971149407611</v>
      </c>
    </row>
    <row r="586" spans="1:14" x14ac:dyDescent="0.45">
      <c r="A586" s="12">
        <v>45548</v>
      </c>
      <c r="B586" s="2" t="s">
        <v>35</v>
      </c>
      <c r="C586" s="2" t="s">
        <v>38</v>
      </c>
      <c r="D586" s="2" t="s">
        <v>25</v>
      </c>
      <c r="E586" s="2" t="s">
        <v>30</v>
      </c>
      <c r="F586" s="2">
        <v>115379</v>
      </c>
      <c r="G586" s="2">
        <v>5134</v>
      </c>
      <c r="H586" s="2">
        <v>12372.94</v>
      </c>
      <c r="I586" s="2">
        <v>391</v>
      </c>
      <c r="J586" s="2">
        <v>109895.16</v>
      </c>
      <c r="K586" s="4">
        <f t="shared" si="36"/>
        <v>4.449683217916605E-2</v>
      </c>
      <c r="L586" s="6">
        <f t="shared" si="37"/>
        <v>2.41</v>
      </c>
      <c r="M586" s="6">
        <f t="shared" si="38"/>
        <v>31.644347826086957</v>
      </c>
      <c r="N586" s="8">
        <f t="shared" si="39"/>
        <v>8.881895491289864</v>
      </c>
    </row>
    <row r="587" spans="1:14" x14ac:dyDescent="0.45">
      <c r="A587" s="12">
        <v>45354</v>
      </c>
      <c r="B587" s="2" t="s">
        <v>15</v>
      </c>
      <c r="C587" s="2" t="s">
        <v>16</v>
      </c>
      <c r="D587" s="2" t="s">
        <v>17</v>
      </c>
      <c r="E587" s="2" t="s">
        <v>22</v>
      </c>
      <c r="F587" s="2">
        <v>51566</v>
      </c>
      <c r="G587" s="2">
        <v>1531</v>
      </c>
      <c r="H587" s="2">
        <v>2128.09</v>
      </c>
      <c r="I587" s="2">
        <v>112</v>
      </c>
      <c r="J587" s="2">
        <v>6716.48</v>
      </c>
      <c r="K587" s="4">
        <f t="shared" si="36"/>
        <v>2.9690105883721833E-2</v>
      </c>
      <c r="L587" s="6">
        <f t="shared" si="37"/>
        <v>1.3900000000000001</v>
      </c>
      <c r="M587" s="6">
        <f t="shared" si="38"/>
        <v>19.000803571428573</v>
      </c>
      <c r="N587" s="8">
        <f t="shared" si="39"/>
        <v>3.1561071195297186</v>
      </c>
    </row>
    <row r="588" spans="1:14" x14ac:dyDescent="0.45">
      <c r="A588" s="12">
        <v>45461</v>
      </c>
      <c r="B588" s="2" t="s">
        <v>15</v>
      </c>
      <c r="C588" s="2" t="s">
        <v>16</v>
      </c>
      <c r="D588" s="2" t="s">
        <v>25</v>
      </c>
      <c r="E588" s="2" t="s">
        <v>18</v>
      </c>
      <c r="F588" s="2">
        <v>184889</v>
      </c>
      <c r="G588" s="2">
        <v>6212</v>
      </c>
      <c r="H588" s="2">
        <v>13480.04</v>
      </c>
      <c r="I588" s="2">
        <v>73</v>
      </c>
      <c r="J588" s="2">
        <v>2434.91</v>
      </c>
      <c r="K588" s="4">
        <f t="shared" si="36"/>
        <v>3.3598537500878906E-2</v>
      </c>
      <c r="L588" s="6">
        <f t="shared" si="37"/>
        <v>2.17</v>
      </c>
      <c r="M588" s="6">
        <f t="shared" si="38"/>
        <v>184.65808219178084</v>
      </c>
      <c r="N588" s="8">
        <f t="shared" si="39"/>
        <v>0.18063076964163308</v>
      </c>
    </row>
    <row r="589" spans="1:14" x14ac:dyDescent="0.45">
      <c r="A589" s="12">
        <v>45399</v>
      </c>
      <c r="B589" s="2" t="s">
        <v>20</v>
      </c>
      <c r="C589" s="2" t="s">
        <v>28</v>
      </c>
      <c r="D589" s="2" t="s">
        <v>21</v>
      </c>
      <c r="E589" s="2" t="s">
        <v>54</v>
      </c>
      <c r="F589" s="2">
        <v>100028</v>
      </c>
      <c r="G589" s="2">
        <v>7402</v>
      </c>
      <c r="H589" s="2">
        <v>5403.46</v>
      </c>
      <c r="I589" s="2">
        <v>100</v>
      </c>
      <c r="J589" s="2">
        <v>7280.48</v>
      </c>
      <c r="K589" s="4">
        <f t="shared" si="36"/>
        <v>7.3999280201543574E-2</v>
      </c>
      <c r="L589" s="6">
        <f t="shared" si="37"/>
        <v>0.73</v>
      </c>
      <c r="M589" s="6">
        <f t="shared" si="38"/>
        <v>54.034599999999998</v>
      </c>
      <c r="N589" s="8">
        <f t="shared" si="39"/>
        <v>1.3473737198017566</v>
      </c>
    </row>
    <row r="590" spans="1:14" x14ac:dyDescent="0.45">
      <c r="A590" s="12">
        <v>45504</v>
      </c>
      <c r="B590" s="2" t="s">
        <v>20</v>
      </c>
      <c r="C590" s="2" t="s">
        <v>16</v>
      </c>
      <c r="D590" s="2" t="s">
        <v>21</v>
      </c>
      <c r="E590" s="2" t="s">
        <v>51</v>
      </c>
      <c r="F590" s="2">
        <v>29741</v>
      </c>
      <c r="G590" s="2">
        <v>1287</v>
      </c>
      <c r="H590" s="2">
        <v>1583.01</v>
      </c>
      <c r="I590" s="2">
        <v>55</v>
      </c>
      <c r="J590" s="2">
        <v>6012.36</v>
      </c>
      <c r="K590" s="4">
        <f t="shared" si="36"/>
        <v>4.3273595373390268E-2</v>
      </c>
      <c r="L590" s="6">
        <f t="shared" si="37"/>
        <v>1.23</v>
      </c>
      <c r="M590" s="6">
        <f t="shared" si="38"/>
        <v>28.782</v>
      </c>
      <c r="N590" s="8">
        <f t="shared" si="39"/>
        <v>3.7980556029336516</v>
      </c>
    </row>
    <row r="591" spans="1:14" x14ac:dyDescent="0.45">
      <c r="A591" s="12">
        <v>45363</v>
      </c>
      <c r="B591" s="2" t="s">
        <v>15</v>
      </c>
      <c r="C591" s="2" t="s">
        <v>28</v>
      </c>
      <c r="D591" s="2" t="s">
        <v>17</v>
      </c>
      <c r="E591" s="2" t="s">
        <v>54</v>
      </c>
      <c r="F591" s="2">
        <v>155033</v>
      </c>
      <c r="G591" s="2">
        <v>5782</v>
      </c>
      <c r="H591" s="2">
        <v>12546.94</v>
      </c>
      <c r="I591" s="2">
        <v>248</v>
      </c>
      <c r="J591" s="2">
        <v>71470.23</v>
      </c>
      <c r="K591" s="4">
        <f t="shared" si="36"/>
        <v>3.7295285519857065E-2</v>
      </c>
      <c r="L591" s="6">
        <f t="shared" si="37"/>
        <v>2.17</v>
      </c>
      <c r="M591" s="6">
        <f t="shared" si="38"/>
        <v>50.592500000000001</v>
      </c>
      <c r="N591" s="8">
        <f t="shared" si="39"/>
        <v>5.6962279248964283</v>
      </c>
    </row>
    <row r="592" spans="1:14" x14ac:dyDescent="0.45">
      <c r="A592" s="12">
        <v>45519</v>
      </c>
      <c r="B592" s="2" t="s">
        <v>20</v>
      </c>
      <c r="C592" s="2" t="s">
        <v>28</v>
      </c>
      <c r="D592" s="2" t="s">
        <v>17</v>
      </c>
      <c r="E592" s="2" t="s">
        <v>33</v>
      </c>
      <c r="F592" s="2">
        <v>13562</v>
      </c>
      <c r="G592" s="2">
        <v>790</v>
      </c>
      <c r="H592" s="2">
        <v>932.2</v>
      </c>
      <c r="I592" s="2">
        <v>40</v>
      </c>
      <c r="J592" s="2">
        <v>7014.55</v>
      </c>
      <c r="K592" s="4">
        <f t="shared" si="36"/>
        <v>5.8250995428402889E-2</v>
      </c>
      <c r="L592" s="6">
        <f t="shared" si="37"/>
        <v>1.1800000000000002</v>
      </c>
      <c r="M592" s="6">
        <f t="shared" si="38"/>
        <v>23.305</v>
      </c>
      <c r="N592" s="8">
        <f t="shared" si="39"/>
        <v>7.5247264535507403</v>
      </c>
    </row>
    <row r="593" spans="1:14" x14ac:dyDescent="0.45">
      <c r="A593" s="12">
        <v>45309</v>
      </c>
      <c r="B593" s="2" t="s">
        <v>35</v>
      </c>
      <c r="C593" s="2" t="s">
        <v>28</v>
      </c>
      <c r="D593" s="2" t="s">
        <v>25</v>
      </c>
      <c r="E593" s="2" t="s">
        <v>18</v>
      </c>
      <c r="F593" s="2">
        <v>84830</v>
      </c>
      <c r="G593" s="2">
        <v>2612</v>
      </c>
      <c r="H593" s="2">
        <v>5171.76</v>
      </c>
      <c r="I593" s="2">
        <v>84</v>
      </c>
      <c r="J593" s="2">
        <v>6284.59</v>
      </c>
      <c r="K593" s="4">
        <f t="shared" si="36"/>
        <v>3.0790993752210304E-2</v>
      </c>
      <c r="L593" s="6">
        <f t="shared" si="37"/>
        <v>1.98</v>
      </c>
      <c r="M593" s="6">
        <f t="shared" si="38"/>
        <v>61.568571428571431</v>
      </c>
      <c r="N593" s="8">
        <f t="shared" si="39"/>
        <v>1.2151743313688184</v>
      </c>
    </row>
    <row r="594" spans="1:14" x14ac:dyDescent="0.45">
      <c r="A594" s="12">
        <v>45433</v>
      </c>
      <c r="B594" s="2" t="s">
        <v>35</v>
      </c>
      <c r="C594" s="2" t="s">
        <v>28</v>
      </c>
      <c r="D594" s="2" t="s">
        <v>25</v>
      </c>
      <c r="E594" s="2" t="s">
        <v>30</v>
      </c>
      <c r="F594" s="2">
        <v>119427</v>
      </c>
      <c r="G594" s="2">
        <v>1146</v>
      </c>
      <c r="H594" s="2">
        <v>2211.7800000000002</v>
      </c>
      <c r="I594" s="2">
        <v>27</v>
      </c>
      <c r="J594" s="2">
        <v>5094.3599999999997</v>
      </c>
      <c r="K594" s="4">
        <f t="shared" si="36"/>
        <v>9.5958200406943157E-3</v>
      </c>
      <c r="L594" s="6">
        <f t="shared" si="37"/>
        <v>1.9300000000000002</v>
      </c>
      <c r="M594" s="6">
        <f t="shared" si="38"/>
        <v>81.917777777777786</v>
      </c>
      <c r="N594" s="8">
        <f t="shared" si="39"/>
        <v>2.3032851368580958</v>
      </c>
    </row>
    <row r="595" spans="1:14" x14ac:dyDescent="0.45">
      <c r="A595" s="12">
        <v>45519</v>
      </c>
      <c r="B595" s="2" t="s">
        <v>15</v>
      </c>
      <c r="C595" s="2" t="s">
        <v>28</v>
      </c>
      <c r="D595" s="2" t="s">
        <v>21</v>
      </c>
      <c r="E595" s="2" t="s">
        <v>51</v>
      </c>
      <c r="F595" s="2">
        <v>175623</v>
      </c>
      <c r="G595" s="2">
        <v>9483</v>
      </c>
      <c r="H595" s="2">
        <v>9198.51</v>
      </c>
      <c r="I595" s="2">
        <v>268</v>
      </c>
      <c r="J595" s="2">
        <v>79311.56</v>
      </c>
      <c r="K595" s="4">
        <f t="shared" si="36"/>
        <v>5.3996344442356639E-2</v>
      </c>
      <c r="L595" s="6">
        <f t="shared" si="37"/>
        <v>0.97</v>
      </c>
      <c r="M595" s="6">
        <f t="shared" si="38"/>
        <v>34.322798507462686</v>
      </c>
      <c r="N595" s="8">
        <f t="shared" si="39"/>
        <v>8.6222181635938853</v>
      </c>
    </row>
    <row r="596" spans="1:14" x14ac:dyDescent="0.45">
      <c r="A596" s="12">
        <v>45498</v>
      </c>
      <c r="B596" s="2" t="s">
        <v>15</v>
      </c>
      <c r="C596" s="2" t="s">
        <v>16</v>
      </c>
      <c r="D596" s="2" t="s">
        <v>29</v>
      </c>
      <c r="E596" s="2" t="s">
        <v>54</v>
      </c>
      <c r="F596" s="2">
        <v>93919</v>
      </c>
      <c r="G596" s="2">
        <v>4968</v>
      </c>
      <c r="H596" s="2">
        <v>12668.4</v>
      </c>
      <c r="I596" s="2">
        <v>308</v>
      </c>
      <c r="J596" s="2">
        <v>66254.75</v>
      </c>
      <c r="K596" s="4">
        <f t="shared" si="36"/>
        <v>5.2896644981313683E-2</v>
      </c>
      <c r="L596" s="6">
        <f t="shared" si="37"/>
        <v>2.5499999999999998</v>
      </c>
      <c r="M596" s="6">
        <f t="shared" si="38"/>
        <v>41.131168831168829</v>
      </c>
      <c r="N596" s="8">
        <f t="shared" si="39"/>
        <v>5.229922484291623</v>
      </c>
    </row>
    <row r="597" spans="1:14" x14ac:dyDescent="0.45">
      <c r="A597" s="12">
        <v>45600</v>
      </c>
      <c r="B597" s="2" t="s">
        <v>20</v>
      </c>
      <c r="C597" s="2" t="s">
        <v>38</v>
      </c>
      <c r="D597" s="2" t="s">
        <v>17</v>
      </c>
      <c r="E597" s="2" t="s">
        <v>18</v>
      </c>
      <c r="F597" s="2">
        <v>46190</v>
      </c>
      <c r="G597" s="2">
        <v>3030</v>
      </c>
      <c r="H597" s="2">
        <v>1272.5999999999999</v>
      </c>
      <c r="I597" s="2">
        <v>183</v>
      </c>
      <c r="J597" s="2">
        <v>38945.83</v>
      </c>
      <c r="K597" s="4">
        <f t="shared" si="36"/>
        <v>6.5598614418705348E-2</v>
      </c>
      <c r="L597" s="6">
        <f t="shared" si="37"/>
        <v>0.42</v>
      </c>
      <c r="M597" s="6">
        <f t="shared" si="38"/>
        <v>6.9540983606557374</v>
      </c>
      <c r="N597" s="8">
        <f t="shared" si="39"/>
        <v>30.603355335533557</v>
      </c>
    </row>
    <row r="598" spans="1:14" x14ac:dyDescent="0.45">
      <c r="A598" s="12">
        <v>45594</v>
      </c>
      <c r="B598" s="2" t="s">
        <v>35</v>
      </c>
      <c r="C598" s="2" t="s">
        <v>38</v>
      </c>
      <c r="D598" s="2" t="s">
        <v>25</v>
      </c>
      <c r="E598" s="2" t="s">
        <v>54</v>
      </c>
      <c r="F598" s="2">
        <v>152996</v>
      </c>
      <c r="G598" s="2">
        <v>3136</v>
      </c>
      <c r="H598" s="2">
        <v>5613.44</v>
      </c>
      <c r="I598" s="2">
        <v>82</v>
      </c>
      <c r="J598" s="2">
        <v>6472.17</v>
      </c>
      <c r="K598" s="4">
        <f t="shared" si="36"/>
        <v>2.0497267902428822E-2</v>
      </c>
      <c r="L598" s="6">
        <f t="shared" si="37"/>
        <v>1.7899999999999998</v>
      </c>
      <c r="M598" s="6">
        <f t="shared" si="38"/>
        <v>68.456585365853655</v>
      </c>
      <c r="N598" s="8">
        <f t="shared" si="39"/>
        <v>1.1529774968646678</v>
      </c>
    </row>
    <row r="599" spans="1:14" x14ac:dyDescent="0.45">
      <c r="A599" s="12">
        <v>45446</v>
      </c>
      <c r="B599" s="2" t="s">
        <v>20</v>
      </c>
      <c r="C599" s="2" t="s">
        <v>28</v>
      </c>
      <c r="D599" s="2" t="s">
        <v>41</v>
      </c>
      <c r="E599" s="2" t="s">
        <v>18</v>
      </c>
      <c r="F599" s="2">
        <v>62600</v>
      </c>
      <c r="G599" s="2">
        <v>3142</v>
      </c>
      <c r="H599" s="2">
        <v>2230.8200000000002</v>
      </c>
      <c r="I599" s="2">
        <v>245</v>
      </c>
      <c r="J599" s="2">
        <v>17495.080000000002</v>
      </c>
      <c r="K599" s="4">
        <f t="shared" si="36"/>
        <v>5.0191693290734828E-2</v>
      </c>
      <c r="L599" s="6">
        <f t="shared" si="37"/>
        <v>0.71000000000000008</v>
      </c>
      <c r="M599" s="6">
        <f t="shared" si="38"/>
        <v>9.1053877551020417</v>
      </c>
      <c r="N599" s="8">
        <f t="shared" si="39"/>
        <v>7.8424435857666692</v>
      </c>
    </row>
    <row r="600" spans="1:14" x14ac:dyDescent="0.45">
      <c r="A600" s="12">
        <v>45351</v>
      </c>
      <c r="B600" s="2" t="s">
        <v>35</v>
      </c>
      <c r="C600" s="2" t="s">
        <v>16</v>
      </c>
      <c r="D600" s="2" t="s">
        <v>41</v>
      </c>
      <c r="E600" s="2" t="s">
        <v>18</v>
      </c>
      <c r="F600" s="2">
        <v>36127</v>
      </c>
      <c r="G600" s="2">
        <v>610</v>
      </c>
      <c r="H600" s="2">
        <v>677.1</v>
      </c>
      <c r="I600" s="2">
        <v>45</v>
      </c>
      <c r="J600" s="2">
        <v>6906.4</v>
      </c>
      <c r="K600" s="4">
        <f t="shared" si="36"/>
        <v>1.6884878345835526E-2</v>
      </c>
      <c r="L600" s="6">
        <f t="shared" si="37"/>
        <v>1.1100000000000001</v>
      </c>
      <c r="M600" s="6">
        <f t="shared" si="38"/>
        <v>15.046666666666667</v>
      </c>
      <c r="N600" s="8">
        <f t="shared" si="39"/>
        <v>10.199970462265544</v>
      </c>
    </row>
    <row r="601" spans="1:14" x14ac:dyDescent="0.45">
      <c r="A601" s="12">
        <v>45410</v>
      </c>
      <c r="B601" s="2" t="s">
        <v>20</v>
      </c>
      <c r="C601" s="2" t="s">
        <v>24</v>
      </c>
      <c r="D601" s="2" t="s">
        <v>21</v>
      </c>
      <c r="E601" s="2" t="s">
        <v>51</v>
      </c>
      <c r="F601" s="2">
        <v>110940</v>
      </c>
      <c r="G601" s="2">
        <v>6512</v>
      </c>
      <c r="H601" s="2">
        <v>9181.92</v>
      </c>
      <c r="I601" s="2">
        <v>108</v>
      </c>
      <c r="J601" s="2">
        <v>14612.87</v>
      </c>
      <c r="K601" s="4">
        <f t="shared" si="36"/>
        <v>5.8698395529114836E-2</v>
      </c>
      <c r="L601" s="6">
        <f t="shared" si="37"/>
        <v>1.41</v>
      </c>
      <c r="M601" s="6">
        <f t="shared" si="38"/>
        <v>85.017777777777781</v>
      </c>
      <c r="N601" s="8">
        <f t="shared" si="39"/>
        <v>1.5914830449404918</v>
      </c>
    </row>
    <row r="602" spans="1:14" x14ac:dyDescent="0.45">
      <c r="A602" s="12">
        <v>45383</v>
      </c>
      <c r="B602" s="2" t="s">
        <v>35</v>
      </c>
      <c r="C602" s="2" t="s">
        <v>16</v>
      </c>
      <c r="D602" s="2" t="s">
        <v>41</v>
      </c>
      <c r="E602" s="2" t="s">
        <v>22</v>
      </c>
      <c r="F602" s="2">
        <v>91332</v>
      </c>
      <c r="G602" s="2">
        <v>3762</v>
      </c>
      <c r="H602" s="2">
        <v>2445.3000000000002</v>
      </c>
      <c r="I602" s="2">
        <v>125</v>
      </c>
      <c r="J602" s="2">
        <v>31285.11</v>
      </c>
      <c r="K602" s="4">
        <f t="shared" si="36"/>
        <v>4.1190382341348052E-2</v>
      </c>
      <c r="L602" s="6">
        <f t="shared" si="37"/>
        <v>0.65</v>
      </c>
      <c r="M602" s="6">
        <f t="shared" si="38"/>
        <v>19.5624</v>
      </c>
      <c r="N602" s="8">
        <f t="shared" si="39"/>
        <v>12.793976199239356</v>
      </c>
    </row>
    <row r="603" spans="1:14" x14ac:dyDescent="0.45">
      <c r="A603" s="12">
        <v>45531</v>
      </c>
      <c r="B603" s="2" t="s">
        <v>20</v>
      </c>
      <c r="C603" s="2" t="s">
        <v>24</v>
      </c>
      <c r="D603" s="2" t="s">
        <v>21</v>
      </c>
      <c r="E603" s="2" t="s">
        <v>18</v>
      </c>
      <c r="F603" s="2">
        <v>149526</v>
      </c>
      <c r="G603" s="2">
        <v>4321</v>
      </c>
      <c r="H603" s="2">
        <v>3370.38</v>
      </c>
      <c r="I603" s="2">
        <v>120</v>
      </c>
      <c r="J603" s="2">
        <v>25118.55</v>
      </c>
      <c r="K603" s="4">
        <f t="shared" si="36"/>
        <v>2.8897984297045331E-2</v>
      </c>
      <c r="L603" s="6">
        <f t="shared" si="37"/>
        <v>0.78</v>
      </c>
      <c r="M603" s="6">
        <f t="shared" si="38"/>
        <v>28.086500000000001</v>
      </c>
      <c r="N603" s="8">
        <f t="shared" si="39"/>
        <v>7.4527352998771645</v>
      </c>
    </row>
    <row r="604" spans="1:14" x14ac:dyDescent="0.45">
      <c r="A604" s="12">
        <v>45411</v>
      </c>
      <c r="B604" s="2" t="s">
        <v>35</v>
      </c>
      <c r="C604" s="2" t="s">
        <v>16</v>
      </c>
      <c r="D604" s="2" t="s">
        <v>25</v>
      </c>
      <c r="E604" s="2" t="s">
        <v>26</v>
      </c>
      <c r="F604" s="2">
        <v>77746</v>
      </c>
      <c r="G604" s="2">
        <v>2861</v>
      </c>
      <c r="H604" s="2">
        <v>2975.44</v>
      </c>
      <c r="I604" s="2">
        <v>82</v>
      </c>
      <c r="J604" s="2">
        <v>21523.93</v>
      </c>
      <c r="K604" s="4">
        <f t="shared" si="36"/>
        <v>3.6799320865382144E-2</v>
      </c>
      <c r="L604" s="6">
        <f t="shared" si="37"/>
        <v>1.04</v>
      </c>
      <c r="M604" s="6">
        <f t="shared" si="38"/>
        <v>36.285853658536588</v>
      </c>
      <c r="N604" s="8">
        <f t="shared" si="39"/>
        <v>7.2338645712902965</v>
      </c>
    </row>
    <row r="605" spans="1:14" x14ac:dyDescent="0.45">
      <c r="A605" s="12">
        <v>45399</v>
      </c>
      <c r="B605" s="2" t="s">
        <v>15</v>
      </c>
      <c r="C605" s="2" t="s">
        <v>24</v>
      </c>
      <c r="D605" s="2" t="s">
        <v>25</v>
      </c>
      <c r="E605" s="2" t="s">
        <v>22</v>
      </c>
      <c r="F605" s="2">
        <v>105804</v>
      </c>
      <c r="G605" s="2">
        <v>3110</v>
      </c>
      <c r="H605" s="2">
        <v>3016.7</v>
      </c>
      <c r="I605" s="2">
        <v>200</v>
      </c>
      <c r="J605" s="2">
        <v>49067.29</v>
      </c>
      <c r="K605" s="4">
        <f t="shared" si="36"/>
        <v>2.93939737628067E-2</v>
      </c>
      <c r="L605" s="6">
        <f t="shared" si="37"/>
        <v>0.97</v>
      </c>
      <c r="M605" s="6">
        <f t="shared" si="38"/>
        <v>15.083499999999999</v>
      </c>
      <c r="N605" s="8">
        <f t="shared" si="39"/>
        <v>16.265220273809131</v>
      </c>
    </row>
    <row r="606" spans="1:14" x14ac:dyDescent="0.45">
      <c r="A606" s="12">
        <v>45550</v>
      </c>
      <c r="B606" s="2" t="s">
        <v>35</v>
      </c>
      <c r="C606" s="2" t="s">
        <v>24</v>
      </c>
      <c r="D606" s="2" t="s">
        <v>17</v>
      </c>
      <c r="E606" s="2" t="s">
        <v>30</v>
      </c>
      <c r="F606" s="2">
        <v>37599</v>
      </c>
      <c r="G606" s="2">
        <v>1225</v>
      </c>
      <c r="H606" s="2">
        <v>1592.5</v>
      </c>
      <c r="I606" s="2">
        <v>73</v>
      </c>
      <c r="J606" s="2">
        <v>19164.89</v>
      </c>
      <c r="K606" s="4">
        <f t="shared" si="36"/>
        <v>3.2580653740790978E-2</v>
      </c>
      <c r="L606" s="6">
        <f t="shared" si="37"/>
        <v>1.3</v>
      </c>
      <c r="M606" s="6">
        <f t="shared" si="38"/>
        <v>21.815068493150687</v>
      </c>
      <c r="N606" s="8">
        <f t="shared" si="39"/>
        <v>12.034467817896388</v>
      </c>
    </row>
    <row r="607" spans="1:14" x14ac:dyDescent="0.45">
      <c r="A607" s="12">
        <v>45396</v>
      </c>
      <c r="B607" s="2" t="s">
        <v>15</v>
      </c>
      <c r="C607" s="2" t="s">
        <v>28</v>
      </c>
      <c r="D607" s="2" t="s">
        <v>41</v>
      </c>
      <c r="E607" s="2" t="s">
        <v>51</v>
      </c>
      <c r="F607" s="2">
        <v>9791</v>
      </c>
      <c r="G607" s="2">
        <v>519</v>
      </c>
      <c r="H607" s="2">
        <v>2050.0500000000002</v>
      </c>
      <c r="I607" s="2">
        <v>40</v>
      </c>
      <c r="J607" s="2">
        <v>2255.2399999999998</v>
      </c>
      <c r="K607" s="4">
        <f t="shared" si="36"/>
        <v>5.300786436523338E-2</v>
      </c>
      <c r="L607" s="6">
        <f t="shared" si="37"/>
        <v>3.95</v>
      </c>
      <c r="M607" s="6">
        <f t="shared" si="38"/>
        <v>51.251250000000006</v>
      </c>
      <c r="N607" s="8">
        <f t="shared" si="39"/>
        <v>1.1000902417014218</v>
      </c>
    </row>
    <row r="608" spans="1:14" x14ac:dyDescent="0.45">
      <c r="A608" s="12">
        <v>45351</v>
      </c>
      <c r="B608" s="2" t="s">
        <v>15</v>
      </c>
      <c r="C608" s="2" t="s">
        <v>16</v>
      </c>
      <c r="D608" s="2" t="s">
        <v>25</v>
      </c>
      <c r="E608" s="2" t="s">
        <v>26</v>
      </c>
      <c r="F608" s="2">
        <v>34802</v>
      </c>
      <c r="G608" s="2">
        <v>1708</v>
      </c>
      <c r="H608" s="2">
        <v>4953.2</v>
      </c>
      <c r="I608" s="2">
        <v>72</v>
      </c>
      <c r="J608" s="2">
        <v>6827.25</v>
      </c>
      <c r="K608" s="4">
        <f t="shared" si="36"/>
        <v>4.9077639216137003E-2</v>
      </c>
      <c r="L608" s="6">
        <f t="shared" si="37"/>
        <v>2.9</v>
      </c>
      <c r="M608" s="6">
        <f t="shared" si="38"/>
        <v>68.794444444444437</v>
      </c>
      <c r="N608" s="8">
        <f t="shared" si="39"/>
        <v>1.3783513688120812</v>
      </c>
    </row>
    <row r="609" spans="1:14" x14ac:dyDescent="0.45">
      <c r="A609" s="12">
        <v>45582</v>
      </c>
      <c r="B609" s="2" t="s">
        <v>20</v>
      </c>
      <c r="C609" s="2" t="s">
        <v>38</v>
      </c>
      <c r="D609" s="2" t="s">
        <v>25</v>
      </c>
      <c r="E609" s="2" t="s">
        <v>51</v>
      </c>
      <c r="F609" s="2">
        <v>81394</v>
      </c>
      <c r="G609" s="2">
        <v>5192</v>
      </c>
      <c r="H609" s="2">
        <v>4880.4799999999996</v>
      </c>
      <c r="I609" s="2">
        <v>253</v>
      </c>
      <c r="J609" s="2">
        <v>41499.01</v>
      </c>
      <c r="K609" s="4">
        <f t="shared" si="36"/>
        <v>6.3788485637762002E-2</v>
      </c>
      <c r="L609" s="6">
        <f t="shared" si="37"/>
        <v>0.94</v>
      </c>
      <c r="M609" s="6">
        <f t="shared" si="38"/>
        <v>19.290434782608695</v>
      </c>
      <c r="N609" s="8">
        <f t="shared" si="39"/>
        <v>8.5030591253319354</v>
      </c>
    </row>
    <row r="610" spans="1:14" x14ac:dyDescent="0.45">
      <c r="A610" s="12">
        <v>45541</v>
      </c>
      <c r="B610" s="2" t="s">
        <v>15</v>
      </c>
      <c r="C610" s="2" t="s">
        <v>28</v>
      </c>
      <c r="D610" s="2" t="s">
        <v>41</v>
      </c>
      <c r="E610" s="2" t="s">
        <v>30</v>
      </c>
      <c r="F610" s="2">
        <v>101299</v>
      </c>
      <c r="G610" s="2">
        <v>3504</v>
      </c>
      <c r="H610" s="2">
        <v>6307.2</v>
      </c>
      <c r="I610" s="2">
        <v>250</v>
      </c>
      <c r="J610" s="2">
        <v>36776.35</v>
      </c>
      <c r="K610" s="4">
        <f t="shared" si="36"/>
        <v>3.4590667232647906E-2</v>
      </c>
      <c r="L610" s="6">
        <f t="shared" si="37"/>
        <v>1.8</v>
      </c>
      <c r="M610" s="6">
        <f t="shared" si="38"/>
        <v>25.2288</v>
      </c>
      <c r="N610" s="8">
        <f t="shared" si="39"/>
        <v>5.830852042110604</v>
      </c>
    </row>
    <row r="611" spans="1:14" x14ac:dyDescent="0.45">
      <c r="A611" s="12">
        <v>45534</v>
      </c>
      <c r="B611" s="2" t="s">
        <v>35</v>
      </c>
      <c r="C611" s="2" t="s">
        <v>24</v>
      </c>
      <c r="D611" s="2" t="s">
        <v>25</v>
      </c>
      <c r="E611" s="2" t="s">
        <v>30</v>
      </c>
      <c r="F611" s="2">
        <v>140431</v>
      </c>
      <c r="G611" s="2">
        <v>1544</v>
      </c>
      <c r="H611" s="2">
        <v>802.88</v>
      </c>
      <c r="I611" s="2">
        <v>74</v>
      </c>
      <c r="J611" s="2">
        <v>2904.54</v>
      </c>
      <c r="K611" s="4">
        <f t="shared" si="36"/>
        <v>1.0994723387286283E-2</v>
      </c>
      <c r="L611" s="6">
        <f t="shared" si="37"/>
        <v>0.52</v>
      </c>
      <c r="M611" s="6">
        <f t="shared" si="38"/>
        <v>10.849729729729729</v>
      </c>
      <c r="N611" s="8">
        <f t="shared" si="39"/>
        <v>3.6176514547628535</v>
      </c>
    </row>
    <row r="612" spans="1:14" x14ac:dyDescent="0.45">
      <c r="A612" s="12">
        <v>45447</v>
      </c>
      <c r="B612" s="2" t="s">
        <v>15</v>
      </c>
      <c r="C612" s="2" t="s">
        <v>24</v>
      </c>
      <c r="D612" s="2" t="s">
        <v>29</v>
      </c>
      <c r="E612" s="2" t="s">
        <v>33</v>
      </c>
      <c r="F612" s="2">
        <v>113368</v>
      </c>
      <c r="G612" s="2">
        <v>5260</v>
      </c>
      <c r="H612" s="2">
        <v>6890.6</v>
      </c>
      <c r="I612" s="2">
        <v>168</v>
      </c>
      <c r="J612" s="2">
        <v>8983.58</v>
      </c>
      <c r="K612" s="4">
        <f t="shared" si="36"/>
        <v>4.639757250723308E-2</v>
      </c>
      <c r="L612" s="6">
        <f t="shared" si="37"/>
        <v>1.31</v>
      </c>
      <c r="M612" s="6">
        <f t="shared" si="38"/>
        <v>41.015476190476193</v>
      </c>
      <c r="N612" s="8">
        <f t="shared" si="39"/>
        <v>1.3037442312715872</v>
      </c>
    </row>
    <row r="613" spans="1:14" x14ac:dyDescent="0.45">
      <c r="A613" s="12">
        <v>45461</v>
      </c>
      <c r="B613" s="2" t="s">
        <v>15</v>
      </c>
      <c r="C613" s="2" t="s">
        <v>38</v>
      </c>
      <c r="D613" s="2" t="s">
        <v>41</v>
      </c>
      <c r="E613" s="2" t="s">
        <v>30</v>
      </c>
      <c r="F613" s="2">
        <v>89263</v>
      </c>
      <c r="G613" s="2">
        <v>3695</v>
      </c>
      <c r="H613" s="2">
        <v>6540.15</v>
      </c>
      <c r="I613" s="2">
        <v>155</v>
      </c>
      <c r="J613" s="2">
        <v>19291.23</v>
      </c>
      <c r="K613" s="4">
        <f t="shared" si="36"/>
        <v>4.1394530768627535E-2</v>
      </c>
      <c r="L613" s="6">
        <f t="shared" si="37"/>
        <v>1.7699999999999998</v>
      </c>
      <c r="M613" s="6">
        <f t="shared" si="38"/>
        <v>42.194516129032259</v>
      </c>
      <c r="N613" s="8">
        <f t="shared" si="39"/>
        <v>2.9496617050067662</v>
      </c>
    </row>
    <row r="614" spans="1:14" x14ac:dyDescent="0.45">
      <c r="A614" s="12">
        <v>45505</v>
      </c>
      <c r="B614" s="2" t="s">
        <v>35</v>
      </c>
      <c r="C614" s="2" t="s">
        <v>38</v>
      </c>
      <c r="D614" s="2" t="s">
        <v>41</v>
      </c>
      <c r="E614" s="2" t="s">
        <v>26</v>
      </c>
      <c r="F614" s="2">
        <v>168947</v>
      </c>
      <c r="G614" s="2">
        <v>4510</v>
      </c>
      <c r="H614" s="2">
        <v>8749.4</v>
      </c>
      <c r="I614" s="2">
        <v>179</v>
      </c>
      <c r="J614" s="2">
        <v>48341.14</v>
      </c>
      <c r="K614" s="4">
        <f t="shared" si="36"/>
        <v>2.6694762262721446E-2</v>
      </c>
      <c r="L614" s="6">
        <f t="shared" si="37"/>
        <v>1.94</v>
      </c>
      <c r="M614" s="6">
        <f t="shared" si="38"/>
        <v>48.879329608938548</v>
      </c>
      <c r="N614" s="8">
        <f t="shared" si="39"/>
        <v>5.5250805769538482</v>
      </c>
    </row>
    <row r="615" spans="1:14" x14ac:dyDescent="0.45">
      <c r="A615" s="12">
        <v>45456</v>
      </c>
      <c r="B615" s="2" t="s">
        <v>20</v>
      </c>
      <c r="C615" s="2" t="s">
        <v>16</v>
      </c>
      <c r="D615" s="2" t="s">
        <v>21</v>
      </c>
      <c r="E615" s="2" t="s">
        <v>18</v>
      </c>
      <c r="F615" s="2">
        <v>139511</v>
      </c>
      <c r="G615" s="2">
        <v>8384</v>
      </c>
      <c r="H615" s="2">
        <v>11318.4</v>
      </c>
      <c r="I615" s="2">
        <v>209</v>
      </c>
      <c r="J615" s="2">
        <v>26357.3</v>
      </c>
      <c r="K615" s="4">
        <f t="shared" si="36"/>
        <v>6.0095619700238689E-2</v>
      </c>
      <c r="L615" s="6">
        <f t="shared" si="37"/>
        <v>1.3499999999999999</v>
      </c>
      <c r="M615" s="6">
        <f t="shared" si="38"/>
        <v>54.155023923444972</v>
      </c>
      <c r="N615" s="8">
        <f t="shared" si="39"/>
        <v>2.3287125388747527</v>
      </c>
    </row>
    <row r="616" spans="1:14" x14ac:dyDescent="0.45">
      <c r="A616" s="12">
        <v>45547</v>
      </c>
      <c r="B616" s="2" t="s">
        <v>15</v>
      </c>
      <c r="C616" s="2" t="s">
        <v>16</v>
      </c>
      <c r="D616" s="2" t="s">
        <v>17</v>
      </c>
      <c r="E616" s="2" t="s">
        <v>22</v>
      </c>
      <c r="F616" s="2">
        <v>25927</v>
      </c>
      <c r="G616" s="2">
        <v>1501</v>
      </c>
      <c r="H616" s="2">
        <v>1516.01</v>
      </c>
      <c r="I616" s="2">
        <v>44</v>
      </c>
      <c r="J616" s="2">
        <v>4091.03</v>
      </c>
      <c r="K616" s="4">
        <f t="shared" si="36"/>
        <v>5.7893315848343424E-2</v>
      </c>
      <c r="L616" s="6">
        <f t="shared" si="37"/>
        <v>1.01</v>
      </c>
      <c r="M616" s="6">
        <f t="shared" si="38"/>
        <v>34.454772727272726</v>
      </c>
      <c r="N616" s="8">
        <f t="shared" si="39"/>
        <v>2.6985508011160877</v>
      </c>
    </row>
    <row r="617" spans="1:14" x14ac:dyDescent="0.45">
      <c r="A617" s="12">
        <v>45616</v>
      </c>
      <c r="B617" s="2" t="s">
        <v>35</v>
      </c>
      <c r="C617" s="2" t="s">
        <v>28</v>
      </c>
      <c r="D617" s="2" t="s">
        <v>41</v>
      </c>
      <c r="E617" s="2" t="s">
        <v>30</v>
      </c>
      <c r="F617" s="2">
        <v>165322</v>
      </c>
      <c r="G617" s="2">
        <v>4529</v>
      </c>
      <c r="H617" s="2">
        <v>7835.17</v>
      </c>
      <c r="I617" s="2">
        <v>167</v>
      </c>
      <c r="J617" s="2">
        <v>38358.92</v>
      </c>
      <c r="K617" s="4">
        <f t="shared" si="36"/>
        <v>2.7395023045934601E-2</v>
      </c>
      <c r="L617" s="6">
        <f t="shared" si="37"/>
        <v>1.73</v>
      </c>
      <c r="M617" s="6">
        <f t="shared" si="38"/>
        <v>46.917185628742516</v>
      </c>
      <c r="N617" s="8">
        <f t="shared" si="39"/>
        <v>4.8957355105249789</v>
      </c>
    </row>
    <row r="618" spans="1:14" x14ac:dyDescent="0.45">
      <c r="A618" s="12">
        <v>45639</v>
      </c>
      <c r="B618" s="2" t="s">
        <v>35</v>
      </c>
      <c r="C618" s="2" t="s">
        <v>24</v>
      </c>
      <c r="D618" s="2" t="s">
        <v>25</v>
      </c>
      <c r="E618" s="2" t="s">
        <v>51</v>
      </c>
      <c r="F618" s="2">
        <v>149542</v>
      </c>
      <c r="G618" s="2">
        <v>2497</v>
      </c>
      <c r="H618" s="2">
        <v>2596.88</v>
      </c>
      <c r="I618" s="2">
        <v>70</v>
      </c>
      <c r="J618" s="2">
        <v>12612.87</v>
      </c>
      <c r="K618" s="4">
        <f t="shared" si="36"/>
        <v>1.6697650158483904E-2</v>
      </c>
      <c r="L618" s="6">
        <f t="shared" si="37"/>
        <v>1.04</v>
      </c>
      <c r="M618" s="6">
        <f t="shared" si="38"/>
        <v>37.098285714285716</v>
      </c>
      <c r="N618" s="8">
        <f t="shared" si="39"/>
        <v>4.856932164751548</v>
      </c>
    </row>
    <row r="619" spans="1:14" x14ac:dyDescent="0.45">
      <c r="A619" s="12">
        <v>45552</v>
      </c>
      <c r="B619" s="2" t="s">
        <v>35</v>
      </c>
      <c r="C619" s="2" t="s">
        <v>24</v>
      </c>
      <c r="D619" s="2" t="s">
        <v>25</v>
      </c>
      <c r="E619" s="2" t="s">
        <v>22</v>
      </c>
      <c r="F619" s="2">
        <v>20021</v>
      </c>
      <c r="G619" s="2">
        <v>462</v>
      </c>
      <c r="H619" s="2">
        <v>725.34</v>
      </c>
      <c r="I619" s="2">
        <v>20</v>
      </c>
      <c r="J619" s="2">
        <v>4554.08</v>
      </c>
      <c r="K619" s="4">
        <f t="shared" si="36"/>
        <v>2.3075770441036911E-2</v>
      </c>
      <c r="L619" s="6">
        <f t="shared" si="37"/>
        <v>1.57</v>
      </c>
      <c r="M619" s="6">
        <f t="shared" si="38"/>
        <v>36.267000000000003</v>
      </c>
      <c r="N619" s="8">
        <f t="shared" si="39"/>
        <v>6.278545233959246</v>
      </c>
    </row>
    <row r="620" spans="1:14" x14ac:dyDescent="0.45">
      <c r="A620" s="12">
        <v>45307</v>
      </c>
      <c r="B620" s="2" t="s">
        <v>15</v>
      </c>
      <c r="C620" s="2" t="s">
        <v>28</v>
      </c>
      <c r="D620" s="2" t="s">
        <v>29</v>
      </c>
      <c r="E620" s="2" t="s">
        <v>18</v>
      </c>
      <c r="F620" s="2">
        <v>31783</v>
      </c>
      <c r="G620" s="2">
        <v>781</v>
      </c>
      <c r="H620" s="2">
        <v>905.96</v>
      </c>
      <c r="I620" s="2">
        <v>49</v>
      </c>
      <c r="J620" s="2">
        <v>4886.84</v>
      </c>
      <c r="K620" s="4">
        <f t="shared" si="36"/>
        <v>2.4572884875562407E-2</v>
      </c>
      <c r="L620" s="6">
        <f t="shared" si="37"/>
        <v>1.1600000000000001</v>
      </c>
      <c r="M620" s="6">
        <f t="shared" si="38"/>
        <v>18.488979591836735</v>
      </c>
      <c r="N620" s="8">
        <f t="shared" si="39"/>
        <v>5.394101284824937</v>
      </c>
    </row>
    <row r="621" spans="1:14" x14ac:dyDescent="0.45">
      <c r="A621" s="12">
        <v>45305</v>
      </c>
      <c r="B621" s="2" t="s">
        <v>35</v>
      </c>
      <c r="C621" s="2" t="s">
        <v>38</v>
      </c>
      <c r="D621" s="2" t="s">
        <v>21</v>
      </c>
      <c r="E621" s="2" t="s">
        <v>51</v>
      </c>
      <c r="F621" s="2">
        <v>171020</v>
      </c>
      <c r="G621" s="2">
        <v>2616</v>
      </c>
      <c r="H621" s="2">
        <v>1151.04</v>
      </c>
      <c r="I621" s="2">
        <v>41</v>
      </c>
      <c r="J621" s="2">
        <v>9636.8799999999992</v>
      </c>
      <c r="K621" s="4">
        <f t="shared" si="36"/>
        <v>1.5296456554788914E-2</v>
      </c>
      <c r="L621" s="6">
        <f t="shared" si="37"/>
        <v>0.44</v>
      </c>
      <c r="M621" s="6">
        <f t="shared" si="38"/>
        <v>28.074146341463415</v>
      </c>
      <c r="N621" s="8">
        <f t="shared" si="39"/>
        <v>8.3723241590214066</v>
      </c>
    </row>
    <row r="622" spans="1:14" x14ac:dyDescent="0.45">
      <c r="A622" s="12">
        <v>45315</v>
      </c>
      <c r="B622" s="2" t="s">
        <v>15</v>
      </c>
      <c r="C622" s="2" t="s">
        <v>28</v>
      </c>
      <c r="D622" s="2" t="s">
        <v>17</v>
      </c>
      <c r="E622" s="2" t="s">
        <v>54</v>
      </c>
      <c r="F622" s="2">
        <v>31325</v>
      </c>
      <c r="G622" s="2">
        <v>858</v>
      </c>
      <c r="H622" s="2">
        <v>1818.96</v>
      </c>
      <c r="I622" s="2">
        <v>43</v>
      </c>
      <c r="J622" s="2">
        <v>2004.67</v>
      </c>
      <c r="K622" s="4">
        <f t="shared" si="36"/>
        <v>2.7390263367917E-2</v>
      </c>
      <c r="L622" s="6">
        <f t="shared" si="37"/>
        <v>2.12</v>
      </c>
      <c r="M622" s="6">
        <f t="shared" si="38"/>
        <v>42.301395348837211</v>
      </c>
      <c r="N622" s="8">
        <f t="shared" si="39"/>
        <v>1.1020968025685007</v>
      </c>
    </row>
    <row r="623" spans="1:14" x14ac:dyDescent="0.45">
      <c r="A623" s="12">
        <v>45656</v>
      </c>
      <c r="B623" s="2" t="s">
        <v>35</v>
      </c>
      <c r="C623" s="2" t="s">
        <v>38</v>
      </c>
      <c r="D623" s="2" t="s">
        <v>29</v>
      </c>
      <c r="E623" s="2" t="s">
        <v>54</v>
      </c>
      <c r="F623" s="2">
        <v>49134</v>
      </c>
      <c r="G623" s="2">
        <v>1026</v>
      </c>
      <c r="H623" s="2">
        <v>820.8</v>
      </c>
      <c r="I623" s="2">
        <v>16</v>
      </c>
      <c r="J623" s="2">
        <v>1025.05</v>
      </c>
      <c r="K623" s="4">
        <f t="shared" si="36"/>
        <v>2.0881670533642691E-2</v>
      </c>
      <c r="L623" s="6">
        <f t="shared" si="37"/>
        <v>0.79999999999999993</v>
      </c>
      <c r="M623" s="6">
        <f t="shared" si="38"/>
        <v>51.3</v>
      </c>
      <c r="N623" s="8">
        <f t="shared" si="39"/>
        <v>1.2488425925925926</v>
      </c>
    </row>
    <row r="624" spans="1:14" x14ac:dyDescent="0.45">
      <c r="A624" s="12">
        <v>45412</v>
      </c>
      <c r="B624" s="2" t="s">
        <v>15</v>
      </c>
      <c r="C624" s="2" t="s">
        <v>38</v>
      </c>
      <c r="D624" s="2" t="s">
        <v>29</v>
      </c>
      <c r="E624" s="2" t="s">
        <v>51</v>
      </c>
      <c r="F624" s="2">
        <v>114599</v>
      </c>
      <c r="G624" s="2">
        <v>2028</v>
      </c>
      <c r="H624" s="2">
        <v>4928.04</v>
      </c>
      <c r="I624" s="2">
        <v>29</v>
      </c>
      <c r="J624" s="2">
        <v>5366.72</v>
      </c>
      <c r="K624" s="4">
        <f t="shared" si="36"/>
        <v>1.7696489498163159E-2</v>
      </c>
      <c r="L624" s="6">
        <f t="shared" si="37"/>
        <v>2.4300000000000002</v>
      </c>
      <c r="M624" s="6">
        <f t="shared" si="38"/>
        <v>169.93241379310345</v>
      </c>
      <c r="N624" s="8">
        <f t="shared" si="39"/>
        <v>1.0890171346011803</v>
      </c>
    </row>
    <row r="625" spans="1:14" x14ac:dyDescent="0.45">
      <c r="A625" s="12">
        <v>45573</v>
      </c>
      <c r="B625" s="2" t="s">
        <v>35</v>
      </c>
      <c r="C625" s="2" t="s">
        <v>24</v>
      </c>
      <c r="D625" s="2" t="s">
        <v>17</v>
      </c>
      <c r="E625" s="2" t="s">
        <v>22</v>
      </c>
      <c r="F625" s="2">
        <v>198581</v>
      </c>
      <c r="G625" s="2">
        <v>1985</v>
      </c>
      <c r="H625" s="2">
        <v>3493.6</v>
      </c>
      <c r="I625" s="2">
        <v>38</v>
      </c>
      <c r="J625" s="2">
        <v>8029.71</v>
      </c>
      <c r="K625" s="4">
        <f t="shared" si="36"/>
        <v>9.9959210599201327E-3</v>
      </c>
      <c r="L625" s="6">
        <f t="shared" si="37"/>
        <v>1.76</v>
      </c>
      <c r="M625" s="6">
        <f t="shared" si="38"/>
        <v>91.936842105263153</v>
      </c>
      <c r="N625" s="8">
        <f t="shared" si="39"/>
        <v>2.2984056560567896</v>
      </c>
    </row>
    <row r="626" spans="1:14" x14ac:dyDescent="0.45">
      <c r="A626" s="12">
        <v>45494</v>
      </c>
      <c r="B626" s="2" t="s">
        <v>15</v>
      </c>
      <c r="C626" s="2" t="s">
        <v>24</v>
      </c>
      <c r="D626" s="2" t="s">
        <v>29</v>
      </c>
      <c r="E626" s="2" t="s">
        <v>33</v>
      </c>
      <c r="F626" s="2">
        <v>157890</v>
      </c>
      <c r="G626" s="2">
        <v>9204</v>
      </c>
      <c r="H626" s="2">
        <v>31017.48</v>
      </c>
      <c r="I626" s="2">
        <v>321</v>
      </c>
      <c r="J626" s="2">
        <v>10260.33</v>
      </c>
      <c r="K626" s="4">
        <f t="shared" si="36"/>
        <v>5.8293748812464373E-2</v>
      </c>
      <c r="L626" s="6">
        <f t="shared" si="37"/>
        <v>3.37</v>
      </c>
      <c r="M626" s="6">
        <f t="shared" si="38"/>
        <v>96.627663551401866</v>
      </c>
      <c r="N626" s="8">
        <f t="shared" si="39"/>
        <v>0.33079186316876807</v>
      </c>
    </row>
    <row r="627" spans="1:14" x14ac:dyDescent="0.45">
      <c r="A627" s="12">
        <v>45386</v>
      </c>
      <c r="B627" s="2" t="s">
        <v>15</v>
      </c>
      <c r="C627" s="2" t="s">
        <v>16</v>
      </c>
      <c r="D627" s="2" t="s">
        <v>21</v>
      </c>
      <c r="E627" s="2" t="s">
        <v>30</v>
      </c>
      <c r="F627" s="2">
        <v>161215</v>
      </c>
      <c r="G627" s="2">
        <v>5948</v>
      </c>
      <c r="H627" s="2">
        <v>13501.96</v>
      </c>
      <c r="I627" s="2">
        <v>439</v>
      </c>
      <c r="J627" s="2">
        <v>105685.25</v>
      </c>
      <c r="K627" s="4">
        <f t="shared" si="36"/>
        <v>3.6894829885556556E-2</v>
      </c>
      <c r="L627" s="6">
        <f t="shared" si="37"/>
        <v>2.27</v>
      </c>
      <c r="M627" s="6">
        <f t="shared" si="38"/>
        <v>30.756173120728928</v>
      </c>
      <c r="N627" s="8">
        <f t="shared" si="39"/>
        <v>7.8274006144293127</v>
      </c>
    </row>
    <row r="628" spans="1:14" x14ac:dyDescent="0.45">
      <c r="A628" s="12">
        <v>45321</v>
      </c>
      <c r="B628" s="2" t="s">
        <v>20</v>
      </c>
      <c r="C628" s="2" t="s">
        <v>24</v>
      </c>
      <c r="D628" s="2" t="s">
        <v>17</v>
      </c>
      <c r="E628" s="2" t="s">
        <v>51</v>
      </c>
      <c r="F628" s="2">
        <v>48147</v>
      </c>
      <c r="G628" s="2">
        <v>3562</v>
      </c>
      <c r="H628" s="2">
        <v>1496.04</v>
      </c>
      <c r="I628" s="2">
        <v>163</v>
      </c>
      <c r="J628" s="2">
        <v>41382.29</v>
      </c>
      <c r="K628" s="4">
        <f t="shared" si="36"/>
        <v>7.3981764180530457E-2</v>
      </c>
      <c r="L628" s="6">
        <f t="shared" si="37"/>
        <v>0.42</v>
      </c>
      <c r="M628" s="6">
        <f t="shared" si="38"/>
        <v>9.1781595092024535</v>
      </c>
      <c r="N628" s="8">
        <f t="shared" si="39"/>
        <v>27.661218951364937</v>
      </c>
    </row>
    <row r="629" spans="1:14" x14ac:dyDescent="0.45">
      <c r="A629" s="12">
        <v>45386</v>
      </c>
      <c r="B629" s="2" t="s">
        <v>35</v>
      </c>
      <c r="C629" s="2" t="s">
        <v>24</v>
      </c>
      <c r="D629" s="2" t="s">
        <v>21</v>
      </c>
      <c r="E629" s="2" t="s">
        <v>26</v>
      </c>
      <c r="F629" s="2">
        <v>90818</v>
      </c>
      <c r="G629" s="2">
        <v>3287</v>
      </c>
      <c r="H629" s="2">
        <v>2629.6</v>
      </c>
      <c r="I629" s="2">
        <v>123</v>
      </c>
      <c r="J629" s="2">
        <v>11242.68</v>
      </c>
      <c r="K629" s="4">
        <f t="shared" si="36"/>
        <v>3.619326565218349E-2</v>
      </c>
      <c r="L629" s="6">
        <f t="shared" si="37"/>
        <v>0.79999999999999993</v>
      </c>
      <c r="M629" s="6">
        <f t="shared" si="38"/>
        <v>21.378861788617886</v>
      </c>
      <c r="N629" s="8">
        <f t="shared" si="39"/>
        <v>4.275433526011561</v>
      </c>
    </row>
    <row r="630" spans="1:14" x14ac:dyDescent="0.45">
      <c r="A630" s="12">
        <v>45471</v>
      </c>
      <c r="B630" s="2" t="s">
        <v>15</v>
      </c>
      <c r="C630" s="2" t="s">
        <v>24</v>
      </c>
      <c r="D630" s="2" t="s">
        <v>29</v>
      </c>
      <c r="E630" s="2" t="s">
        <v>51</v>
      </c>
      <c r="F630" s="2">
        <v>118415</v>
      </c>
      <c r="G630" s="2">
        <v>6500</v>
      </c>
      <c r="H630" s="2">
        <v>11310</v>
      </c>
      <c r="I630" s="2">
        <v>458</v>
      </c>
      <c r="J630" s="2">
        <v>110383.15</v>
      </c>
      <c r="K630" s="4">
        <f t="shared" si="36"/>
        <v>5.4891694464383738E-2</v>
      </c>
      <c r="L630" s="6">
        <f t="shared" si="37"/>
        <v>1.74</v>
      </c>
      <c r="M630" s="6">
        <f t="shared" si="38"/>
        <v>24.694323144104803</v>
      </c>
      <c r="N630" s="8">
        <f t="shared" si="39"/>
        <v>9.7597833775419982</v>
      </c>
    </row>
    <row r="631" spans="1:14" x14ac:dyDescent="0.45">
      <c r="A631" s="12">
        <v>45609</v>
      </c>
      <c r="B631" s="2" t="s">
        <v>20</v>
      </c>
      <c r="C631" s="2" t="s">
        <v>28</v>
      </c>
      <c r="D631" s="2" t="s">
        <v>29</v>
      </c>
      <c r="E631" s="2" t="s">
        <v>30</v>
      </c>
      <c r="F631" s="2">
        <v>113886</v>
      </c>
      <c r="G631" s="2">
        <v>4965</v>
      </c>
      <c r="H631" s="2">
        <v>6653.1</v>
      </c>
      <c r="I631" s="2">
        <v>141</v>
      </c>
      <c r="J631" s="2">
        <v>24007.439999999999</v>
      </c>
      <c r="K631" s="4">
        <f t="shared" si="36"/>
        <v>4.3596227806754123E-2</v>
      </c>
      <c r="L631" s="6">
        <f t="shared" si="37"/>
        <v>1.34</v>
      </c>
      <c r="M631" s="6">
        <f t="shared" si="38"/>
        <v>47.185106382978724</v>
      </c>
      <c r="N631" s="8">
        <f t="shared" si="39"/>
        <v>3.6084592145015102</v>
      </c>
    </row>
    <row r="632" spans="1:14" x14ac:dyDescent="0.45">
      <c r="A632" s="12">
        <v>45380</v>
      </c>
      <c r="B632" s="2" t="s">
        <v>35</v>
      </c>
      <c r="C632" s="2" t="s">
        <v>38</v>
      </c>
      <c r="D632" s="2" t="s">
        <v>25</v>
      </c>
      <c r="E632" s="2" t="s">
        <v>26</v>
      </c>
      <c r="F632" s="2">
        <v>113668</v>
      </c>
      <c r="G632" s="2">
        <v>2864</v>
      </c>
      <c r="H632" s="2">
        <v>4496.4799999999996</v>
      </c>
      <c r="I632" s="2">
        <v>81</v>
      </c>
      <c r="J632" s="2">
        <v>6109.21</v>
      </c>
      <c r="K632" s="4">
        <f t="shared" si="36"/>
        <v>2.5196185381989655E-2</v>
      </c>
      <c r="L632" s="6">
        <f t="shared" si="37"/>
        <v>1.5699999999999998</v>
      </c>
      <c r="M632" s="6">
        <f t="shared" si="38"/>
        <v>55.512098765432093</v>
      </c>
      <c r="N632" s="8">
        <f t="shared" si="39"/>
        <v>1.358665000177917</v>
      </c>
    </row>
    <row r="633" spans="1:14" x14ac:dyDescent="0.45">
      <c r="A633" s="12">
        <v>45464</v>
      </c>
      <c r="B633" s="2" t="s">
        <v>35</v>
      </c>
      <c r="C633" s="2" t="s">
        <v>28</v>
      </c>
      <c r="D633" s="2" t="s">
        <v>25</v>
      </c>
      <c r="E633" s="2" t="s">
        <v>54</v>
      </c>
      <c r="F633" s="2">
        <v>76880</v>
      </c>
      <c r="G633" s="2">
        <v>1798</v>
      </c>
      <c r="H633" s="2">
        <v>2121.64</v>
      </c>
      <c r="I633" s="2">
        <v>91</v>
      </c>
      <c r="J633" s="2">
        <v>8926.11</v>
      </c>
      <c r="K633" s="4">
        <f t="shared" si="36"/>
        <v>2.3387096774193549E-2</v>
      </c>
      <c r="L633" s="6">
        <f t="shared" si="37"/>
        <v>1.18</v>
      </c>
      <c r="M633" s="6">
        <f t="shared" si="38"/>
        <v>23.314725274725273</v>
      </c>
      <c r="N633" s="8">
        <f t="shared" si="39"/>
        <v>4.2071746384872082</v>
      </c>
    </row>
    <row r="634" spans="1:14" x14ac:dyDescent="0.45">
      <c r="A634" s="12">
        <v>45563</v>
      </c>
      <c r="B634" s="2" t="s">
        <v>15</v>
      </c>
      <c r="C634" s="2" t="s">
        <v>16</v>
      </c>
      <c r="D634" s="2" t="s">
        <v>21</v>
      </c>
      <c r="E634" s="2" t="s">
        <v>54</v>
      </c>
      <c r="F634" s="2">
        <v>138438</v>
      </c>
      <c r="G634" s="2">
        <v>4734</v>
      </c>
      <c r="H634" s="2">
        <v>16758.36</v>
      </c>
      <c r="I634" s="2">
        <v>191</v>
      </c>
      <c r="J634" s="2">
        <v>38220.879999999997</v>
      </c>
      <c r="K634" s="4">
        <f t="shared" si="36"/>
        <v>3.4195813288259005E-2</v>
      </c>
      <c r="L634" s="6">
        <f t="shared" si="37"/>
        <v>3.54</v>
      </c>
      <c r="M634" s="6">
        <f t="shared" si="38"/>
        <v>87.740104712041884</v>
      </c>
      <c r="N634" s="8">
        <f t="shared" si="39"/>
        <v>2.2807052718762453</v>
      </c>
    </row>
    <row r="635" spans="1:14" x14ac:dyDescent="0.45">
      <c r="A635" s="12">
        <v>45606</v>
      </c>
      <c r="B635" s="2" t="s">
        <v>15</v>
      </c>
      <c r="C635" s="2" t="s">
        <v>16</v>
      </c>
      <c r="D635" s="2" t="s">
        <v>41</v>
      </c>
      <c r="E635" s="2" t="s">
        <v>30</v>
      </c>
      <c r="F635" s="2">
        <v>34764</v>
      </c>
      <c r="G635" s="2">
        <v>1251</v>
      </c>
      <c r="H635" s="2">
        <v>1038.33</v>
      </c>
      <c r="I635" s="2">
        <v>83</v>
      </c>
      <c r="J635" s="2">
        <v>3361.16</v>
      </c>
      <c r="K635" s="4">
        <f t="shared" si="36"/>
        <v>3.5985502243700382E-2</v>
      </c>
      <c r="L635" s="6">
        <f t="shared" si="37"/>
        <v>0.83</v>
      </c>
      <c r="M635" s="6">
        <f t="shared" si="38"/>
        <v>12.51</v>
      </c>
      <c r="N635" s="8">
        <f t="shared" si="39"/>
        <v>3.2370826230581802</v>
      </c>
    </row>
    <row r="636" spans="1:14" x14ac:dyDescent="0.45">
      <c r="A636" s="12">
        <v>45378</v>
      </c>
      <c r="B636" s="2" t="s">
        <v>35</v>
      </c>
      <c r="C636" s="2" t="s">
        <v>24</v>
      </c>
      <c r="D636" s="2" t="s">
        <v>17</v>
      </c>
      <c r="E636" s="2" t="s">
        <v>33</v>
      </c>
      <c r="F636" s="2">
        <v>61387</v>
      </c>
      <c r="G636" s="2">
        <v>1608</v>
      </c>
      <c r="H636" s="2">
        <v>3360.72</v>
      </c>
      <c r="I636" s="2">
        <v>96</v>
      </c>
      <c r="J636" s="2">
        <v>12312.27</v>
      </c>
      <c r="K636" s="4">
        <f t="shared" si="36"/>
        <v>2.619447114209849E-2</v>
      </c>
      <c r="L636" s="6">
        <f t="shared" si="37"/>
        <v>2.09</v>
      </c>
      <c r="M636" s="6">
        <f t="shared" si="38"/>
        <v>35.0075</v>
      </c>
      <c r="N636" s="8">
        <f t="shared" si="39"/>
        <v>3.6635810183532103</v>
      </c>
    </row>
    <row r="637" spans="1:14" x14ac:dyDescent="0.45">
      <c r="A637" s="12">
        <v>45597</v>
      </c>
      <c r="B637" s="2" t="s">
        <v>20</v>
      </c>
      <c r="C637" s="2" t="s">
        <v>28</v>
      </c>
      <c r="D637" s="2" t="s">
        <v>29</v>
      </c>
      <c r="E637" s="2" t="s">
        <v>18</v>
      </c>
      <c r="F637" s="2">
        <v>139607</v>
      </c>
      <c r="G637" s="2">
        <v>10289</v>
      </c>
      <c r="H637" s="2">
        <v>9362.99</v>
      </c>
      <c r="I637" s="2">
        <v>580</v>
      </c>
      <c r="J637" s="2">
        <v>94107.07</v>
      </c>
      <c r="K637" s="4">
        <f t="shared" si="36"/>
        <v>7.3699742849570579E-2</v>
      </c>
      <c r="L637" s="6">
        <f t="shared" si="37"/>
        <v>0.91</v>
      </c>
      <c r="M637" s="6">
        <f t="shared" si="38"/>
        <v>16.143086206896552</v>
      </c>
      <c r="N637" s="8">
        <f t="shared" si="39"/>
        <v>10.050963420873034</v>
      </c>
    </row>
    <row r="638" spans="1:14" x14ac:dyDescent="0.45">
      <c r="A638" s="12">
        <v>45325</v>
      </c>
      <c r="B638" s="2" t="s">
        <v>35</v>
      </c>
      <c r="C638" s="2" t="s">
        <v>28</v>
      </c>
      <c r="D638" s="2" t="s">
        <v>21</v>
      </c>
      <c r="E638" s="2" t="s">
        <v>22</v>
      </c>
      <c r="F638" s="2">
        <v>48271</v>
      </c>
      <c r="G638" s="2">
        <v>1182</v>
      </c>
      <c r="H638" s="2">
        <v>2293.08</v>
      </c>
      <c r="I638" s="2">
        <v>30</v>
      </c>
      <c r="J638" s="2">
        <v>2529.5</v>
      </c>
      <c r="K638" s="4">
        <f t="shared" si="36"/>
        <v>2.4486751880010774E-2</v>
      </c>
      <c r="L638" s="6">
        <f t="shared" si="37"/>
        <v>1.94</v>
      </c>
      <c r="M638" s="6">
        <f t="shared" si="38"/>
        <v>76.435999999999993</v>
      </c>
      <c r="N638" s="8">
        <f t="shared" si="39"/>
        <v>1.1031015053988522</v>
      </c>
    </row>
    <row r="639" spans="1:14" x14ac:dyDescent="0.45">
      <c r="A639" s="12">
        <v>45617</v>
      </c>
      <c r="B639" s="2" t="s">
        <v>20</v>
      </c>
      <c r="C639" s="2" t="s">
        <v>16</v>
      </c>
      <c r="D639" s="2" t="s">
        <v>21</v>
      </c>
      <c r="E639" s="2" t="s">
        <v>54</v>
      </c>
      <c r="F639" s="2">
        <v>181833</v>
      </c>
      <c r="G639" s="2">
        <v>10018</v>
      </c>
      <c r="H639" s="2">
        <v>4808.6400000000003</v>
      </c>
      <c r="I639" s="2">
        <v>686</v>
      </c>
      <c r="J639" s="2">
        <v>153650.81</v>
      </c>
      <c r="K639" s="4">
        <f t="shared" si="36"/>
        <v>5.5094509797451507E-2</v>
      </c>
      <c r="L639" s="6">
        <f t="shared" si="37"/>
        <v>0.48000000000000004</v>
      </c>
      <c r="M639" s="6">
        <f t="shared" si="38"/>
        <v>7.0096793002915456</v>
      </c>
      <c r="N639" s="8">
        <f t="shared" si="39"/>
        <v>31.953069890863109</v>
      </c>
    </row>
    <row r="640" spans="1:14" x14ac:dyDescent="0.45">
      <c r="A640" s="12">
        <v>45432</v>
      </c>
      <c r="B640" s="2" t="s">
        <v>35</v>
      </c>
      <c r="C640" s="2" t="s">
        <v>24</v>
      </c>
      <c r="D640" s="2" t="s">
        <v>41</v>
      </c>
      <c r="E640" s="2" t="s">
        <v>26</v>
      </c>
      <c r="F640" s="2">
        <v>83678</v>
      </c>
      <c r="G640" s="2">
        <v>2761</v>
      </c>
      <c r="H640" s="2">
        <v>4583.26</v>
      </c>
      <c r="I640" s="2">
        <v>35</v>
      </c>
      <c r="J640" s="2">
        <v>4630.4799999999996</v>
      </c>
      <c r="K640" s="4">
        <f t="shared" si="36"/>
        <v>3.2995530485910272E-2</v>
      </c>
      <c r="L640" s="6">
        <f t="shared" si="37"/>
        <v>1.6600000000000001</v>
      </c>
      <c r="M640" s="6">
        <f t="shared" si="38"/>
        <v>130.95028571428571</v>
      </c>
      <c r="N640" s="8">
        <f t="shared" si="39"/>
        <v>1.0103027102979101</v>
      </c>
    </row>
    <row r="641" spans="1:14" x14ac:dyDescent="0.45">
      <c r="A641" s="12">
        <v>45407</v>
      </c>
      <c r="B641" s="2" t="s">
        <v>15</v>
      </c>
      <c r="C641" s="2" t="s">
        <v>16</v>
      </c>
      <c r="D641" s="2" t="s">
        <v>29</v>
      </c>
      <c r="E641" s="2" t="s">
        <v>54</v>
      </c>
      <c r="F641" s="2">
        <v>32898</v>
      </c>
      <c r="G641" s="2">
        <v>1743</v>
      </c>
      <c r="H641" s="2">
        <v>2039.31</v>
      </c>
      <c r="I641" s="2">
        <v>130</v>
      </c>
      <c r="J641" s="2">
        <v>31968.71</v>
      </c>
      <c r="K641" s="4">
        <f t="shared" si="36"/>
        <v>5.2981944191136242E-2</v>
      </c>
      <c r="L641" s="6">
        <f t="shared" si="37"/>
        <v>1.17</v>
      </c>
      <c r="M641" s="6">
        <f t="shared" si="38"/>
        <v>15.686999999999999</v>
      </c>
      <c r="N641" s="8">
        <f t="shared" si="39"/>
        <v>15.676238531660218</v>
      </c>
    </row>
    <row r="642" spans="1:14" x14ac:dyDescent="0.45">
      <c r="A642" s="12">
        <v>45538</v>
      </c>
      <c r="B642" s="2" t="s">
        <v>35</v>
      </c>
      <c r="C642" s="2" t="s">
        <v>16</v>
      </c>
      <c r="D642" s="2" t="s">
        <v>25</v>
      </c>
      <c r="E642" s="2" t="s">
        <v>30</v>
      </c>
      <c r="F642" s="2">
        <v>36153</v>
      </c>
      <c r="G642" s="2">
        <v>882</v>
      </c>
      <c r="H642" s="2">
        <v>1481.76</v>
      </c>
      <c r="I642" s="2">
        <v>62</v>
      </c>
      <c r="J642" s="2">
        <v>16744.05</v>
      </c>
      <c r="K642" s="4">
        <f t="shared" si="36"/>
        <v>2.439631565845158E-2</v>
      </c>
      <c r="L642" s="6">
        <f t="shared" si="37"/>
        <v>1.68</v>
      </c>
      <c r="M642" s="6">
        <f t="shared" si="38"/>
        <v>23.899354838709677</v>
      </c>
      <c r="N642" s="8">
        <f t="shared" si="39"/>
        <v>11.300109329446064</v>
      </c>
    </row>
    <row r="643" spans="1:14" x14ac:dyDescent="0.45">
      <c r="A643" s="12">
        <v>45457</v>
      </c>
      <c r="B643" s="2" t="s">
        <v>35</v>
      </c>
      <c r="C643" s="2" t="s">
        <v>16</v>
      </c>
      <c r="D643" s="2" t="s">
        <v>25</v>
      </c>
      <c r="E643" s="2" t="s">
        <v>26</v>
      </c>
      <c r="F643" s="2">
        <v>140372</v>
      </c>
      <c r="G643" s="2">
        <v>4548</v>
      </c>
      <c r="H643" s="2">
        <v>6549.12</v>
      </c>
      <c r="I643" s="2">
        <v>125</v>
      </c>
      <c r="J643" s="2">
        <v>23552.19</v>
      </c>
      <c r="K643" s="4">
        <f t="shared" ref="K643:K706" si="40" xml:space="preserve"> G643 / F643</f>
        <v>3.2399623856609577E-2</v>
      </c>
      <c r="L643" s="6">
        <f t="shared" ref="L643:L706" si="41">H643/G643</f>
        <v>1.44</v>
      </c>
      <c r="M643" s="6">
        <f t="shared" ref="M643:M706" si="42">H643/I643</f>
        <v>52.392960000000002</v>
      </c>
      <c r="N643" s="8">
        <f t="shared" ref="N643:N706" si="43">J643/H643</f>
        <v>3.5962373570800352</v>
      </c>
    </row>
    <row r="644" spans="1:14" x14ac:dyDescent="0.45">
      <c r="A644" s="12">
        <v>45318</v>
      </c>
      <c r="B644" s="2" t="s">
        <v>20</v>
      </c>
      <c r="C644" s="2" t="s">
        <v>24</v>
      </c>
      <c r="D644" s="2" t="s">
        <v>29</v>
      </c>
      <c r="E644" s="2" t="s">
        <v>18</v>
      </c>
      <c r="F644" s="2">
        <v>196889</v>
      </c>
      <c r="G644" s="2">
        <v>9568</v>
      </c>
      <c r="H644" s="2">
        <v>8898.24</v>
      </c>
      <c r="I644" s="2">
        <v>137</v>
      </c>
      <c r="J644" s="2">
        <v>34964.660000000003</v>
      </c>
      <c r="K644" s="4">
        <f t="shared" si="40"/>
        <v>4.8595909370254306E-2</v>
      </c>
      <c r="L644" s="6">
        <f t="shared" si="41"/>
        <v>0.92999999999999994</v>
      </c>
      <c r="M644" s="6">
        <f t="shared" si="42"/>
        <v>64.950656934306565</v>
      </c>
      <c r="N644" s="8">
        <f t="shared" si="43"/>
        <v>3.9293905311612187</v>
      </c>
    </row>
    <row r="645" spans="1:14" x14ac:dyDescent="0.45">
      <c r="A645" s="12">
        <v>45333</v>
      </c>
      <c r="B645" s="2" t="s">
        <v>20</v>
      </c>
      <c r="C645" s="2" t="s">
        <v>38</v>
      </c>
      <c r="D645" s="2" t="s">
        <v>21</v>
      </c>
      <c r="E645" s="2" t="s">
        <v>22</v>
      </c>
      <c r="F645" s="2">
        <v>77467</v>
      </c>
      <c r="G645" s="2">
        <v>3300</v>
      </c>
      <c r="H645" s="2">
        <v>3333</v>
      </c>
      <c r="I645" s="2">
        <v>180</v>
      </c>
      <c r="J645" s="2">
        <v>42781.66</v>
      </c>
      <c r="K645" s="4">
        <f t="shared" si="40"/>
        <v>4.2598783998347683E-2</v>
      </c>
      <c r="L645" s="6">
        <f t="shared" si="41"/>
        <v>1.01</v>
      </c>
      <c r="M645" s="6">
        <f t="shared" si="42"/>
        <v>18.516666666666666</v>
      </c>
      <c r="N645" s="8">
        <f t="shared" si="43"/>
        <v>12.835781578157818</v>
      </c>
    </row>
    <row r="646" spans="1:14" x14ac:dyDescent="0.45">
      <c r="A646" s="12">
        <v>45333</v>
      </c>
      <c r="B646" s="2" t="s">
        <v>15</v>
      </c>
      <c r="C646" s="2" t="s">
        <v>28</v>
      </c>
      <c r="D646" s="2" t="s">
        <v>17</v>
      </c>
      <c r="E646" s="2" t="s">
        <v>18</v>
      </c>
      <c r="F646" s="2">
        <v>29016</v>
      </c>
      <c r="G646" s="2">
        <v>1088</v>
      </c>
      <c r="H646" s="2">
        <v>2241.2800000000002</v>
      </c>
      <c r="I646" s="2">
        <v>56</v>
      </c>
      <c r="J646" s="2">
        <v>9936.27</v>
      </c>
      <c r="K646" s="4">
        <f t="shared" si="40"/>
        <v>3.7496553625585884E-2</v>
      </c>
      <c r="L646" s="6">
        <f t="shared" si="41"/>
        <v>2.06</v>
      </c>
      <c r="M646" s="6">
        <f t="shared" si="42"/>
        <v>40.022857142857148</v>
      </c>
      <c r="N646" s="8">
        <f t="shared" si="43"/>
        <v>4.4333015062821239</v>
      </c>
    </row>
    <row r="647" spans="1:14" x14ac:dyDescent="0.45">
      <c r="A647" s="12">
        <v>45484</v>
      </c>
      <c r="B647" s="2" t="s">
        <v>35</v>
      </c>
      <c r="C647" s="2" t="s">
        <v>28</v>
      </c>
      <c r="D647" s="2" t="s">
        <v>25</v>
      </c>
      <c r="E647" s="2" t="s">
        <v>33</v>
      </c>
      <c r="F647" s="2">
        <v>117200</v>
      </c>
      <c r="G647" s="2">
        <v>1699</v>
      </c>
      <c r="H647" s="2">
        <v>3296.06</v>
      </c>
      <c r="I647" s="2">
        <v>113</v>
      </c>
      <c r="J647" s="2">
        <v>30970.48</v>
      </c>
      <c r="K647" s="4">
        <f t="shared" si="40"/>
        <v>1.4496587030716724E-2</v>
      </c>
      <c r="L647" s="6">
        <f t="shared" si="41"/>
        <v>1.94</v>
      </c>
      <c r="M647" s="6">
        <f t="shared" si="42"/>
        <v>29.168672566371679</v>
      </c>
      <c r="N647" s="8">
        <f t="shared" si="43"/>
        <v>9.3962124475889404</v>
      </c>
    </row>
    <row r="648" spans="1:14" x14ac:dyDescent="0.45">
      <c r="A648" s="12">
        <v>45417</v>
      </c>
      <c r="B648" s="2" t="s">
        <v>15</v>
      </c>
      <c r="C648" s="2" t="s">
        <v>28</v>
      </c>
      <c r="D648" s="2" t="s">
        <v>29</v>
      </c>
      <c r="E648" s="2" t="s">
        <v>30</v>
      </c>
      <c r="F648" s="2">
        <v>134157</v>
      </c>
      <c r="G648" s="2">
        <v>3407</v>
      </c>
      <c r="H648" s="2">
        <v>8210.8700000000008</v>
      </c>
      <c r="I648" s="2">
        <v>147</v>
      </c>
      <c r="J648" s="2">
        <v>41434.67</v>
      </c>
      <c r="K648" s="4">
        <f t="shared" si="40"/>
        <v>2.5395618566306642E-2</v>
      </c>
      <c r="L648" s="6">
        <f t="shared" si="41"/>
        <v>2.41</v>
      </c>
      <c r="M648" s="6">
        <f t="shared" si="42"/>
        <v>55.856258503401364</v>
      </c>
      <c r="N648" s="8">
        <f t="shared" si="43"/>
        <v>5.0463190867715593</v>
      </c>
    </row>
    <row r="649" spans="1:14" x14ac:dyDescent="0.45">
      <c r="A649" s="12">
        <v>45377</v>
      </c>
      <c r="B649" s="2" t="s">
        <v>15</v>
      </c>
      <c r="C649" s="2" t="s">
        <v>38</v>
      </c>
      <c r="D649" s="2" t="s">
        <v>17</v>
      </c>
      <c r="E649" s="2" t="s">
        <v>51</v>
      </c>
      <c r="F649" s="2">
        <v>161434</v>
      </c>
      <c r="G649" s="2">
        <v>6328</v>
      </c>
      <c r="H649" s="2">
        <v>4872.5600000000004</v>
      </c>
      <c r="I649" s="2">
        <v>263</v>
      </c>
      <c r="J649" s="2">
        <v>25426.86</v>
      </c>
      <c r="K649" s="4">
        <f t="shared" si="40"/>
        <v>3.9198681814239876E-2</v>
      </c>
      <c r="L649" s="6">
        <f t="shared" si="41"/>
        <v>0.77</v>
      </c>
      <c r="M649" s="6">
        <f t="shared" si="42"/>
        <v>18.52684410646388</v>
      </c>
      <c r="N649" s="8">
        <f t="shared" si="43"/>
        <v>5.2183780189469191</v>
      </c>
    </row>
    <row r="650" spans="1:14" x14ac:dyDescent="0.45">
      <c r="A650" s="12">
        <v>45487</v>
      </c>
      <c r="B650" s="2" t="s">
        <v>20</v>
      </c>
      <c r="C650" s="2" t="s">
        <v>28</v>
      </c>
      <c r="D650" s="2" t="s">
        <v>29</v>
      </c>
      <c r="E650" s="2" t="s">
        <v>33</v>
      </c>
      <c r="F650" s="2">
        <v>62888</v>
      </c>
      <c r="G650" s="2">
        <v>3307</v>
      </c>
      <c r="H650" s="2">
        <v>2017.27</v>
      </c>
      <c r="I650" s="2">
        <v>55</v>
      </c>
      <c r="J650" s="2">
        <v>12898.32</v>
      </c>
      <c r="K650" s="4">
        <f t="shared" si="40"/>
        <v>5.258554891235212E-2</v>
      </c>
      <c r="L650" s="6">
        <f t="shared" si="41"/>
        <v>0.61</v>
      </c>
      <c r="M650" s="6">
        <f t="shared" si="42"/>
        <v>36.67763636363636</v>
      </c>
      <c r="N650" s="8">
        <f t="shared" si="43"/>
        <v>6.3939482568025099</v>
      </c>
    </row>
    <row r="651" spans="1:14" x14ac:dyDescent="0.45">
      <c r="A651" s="12">
        <v>45425</v>
      </c>
      <c r="B651" s="2" t="s">
        <v>15</v>
      </c>
      <c r="C651" s="2" t="s">
        <v>24</v>
      </c>
      <c r="D651" s="2" t="s">
        <v>29</v>
      </c>
      <c r="E651" s="2" t="s">
        <v>33</v>
      </c>
      <c r="F651" s="2">
        <v>108187</v>
      </c>
      <c r="G651" s="2">
        <v>2423</v>
      </c>
      <c r="H651" s="2">
        <v>6469.41</v>
      </c>
      <c r="I651" s="2">
        <v>179</v>
      </c>
      <c r="J651" s="2">
        <v>29012.87</v>
      </c>
      <c r="K651" s="4">
        <f t="shared" si="40"/>
        <v>2.2396406222559086E-2</v>
      </c>
      <c r="L651" s="6">
        <f t="shared" si="41"/>
        <v>2.67</v>
      </c>
      <c r="M651" s="6">
        <f t="shared" si="42"/>
        <v>36.14195530726257</v>
      </c>
      <c r="N651" s="8">
        <f t="shared" si="43"/>
        <v>4.4846237910412228</v>
      </c>
    </row>
    <row r="652" spans="1:14" x14ac:dyDescent="0.45">
      <c r="A652" s="12">
        <v>45523</v>
      </c>
      <c r="B652" s="2" t="s">
        <v>35</v>
      </c>
      <c r="C652" s="2" t="s">
        <v>16</v>
      </c>
      <c r="D652" s="2" t="s">
        <v>41</v>
      </c>
      <c r="E652" s="2" t="s">
        <v>33</v>
      </c>
      <c r="F652" s="2">
        <v>199363</v>
      </c>
      <c r="G652" s="2">
        <v>3847</v>
      </c>
      <c r="H652" s="2">
        <v>3462.3</v>
      </c>
      <c r="I652" s="2">
        <v>73</v>
      </c>
      <c r="J652" s="2">
        <v>11133.49</v>
      </c>
      <c r="K652" s="4">
        <f t="shared" si="40"/>
        <v>1.9296459222624057E-2</v>
      </c>
      <c r="L652" s="6">
        <f t="shared" si="41"/>
        <v>0.9</v>
      </c>
      <c r="M652" s="6">
        <f t="shared" si="42"/>
        <v>47.42876712328767</v>
      </c>
      <c r="N652" s="8">
        <f t="shared" si="43"/>
        <v>3.2156341160500244</v>
      </c>
    </row>
    <row r="653" spans="1:14" x14ac:dyDescent="0.45">
      <c r="A653" s="12">
        <v>45411</v>
      </c>
      <c r="B653" s="2" t="s">
        <v>35</v>
      </c>
      <c r="C653" s="2" t="s">
        <v>24</v>
      </c>
      <c r="D653" s="2" t="s">
        <v>29</v>
      </c>
      <c r="E653" s="2" t="s">
        <v>54</v>
      </c>
      <c r="F653" s="2">
        <v>59160</v>
      </c>
      <c r="G653" s="2">
        <v>958</v>
      </c>
      <c r="H653" s="2">
        <v>958</v>
      </c>
      <c r="I653" s="2">
        <v>35</v>
      </c>
      <c r="J653" s="2">
        <v>7848.99</v>
      </c>
      <c r="K653" s="4">
        <f t="shared" si="40"/>
        <v>1.6193373901284652E-2</v>
      </c>
      <c r="L653" s="6">
        <f t="shared" si="41"/>
        <v>1</v>
      </c>
      <c r="M653" s="6">
        <f t="shared" si="42"/>
        <v>27.37142857142857</v>
      </c>
      <c r="N653" s="8">
        <f t="shared" si="43"/>
        <v>8.1931002087682678</v>
      </c>
    </row>
    <row r="654" spans="1:14" x14ac:dyDescent="0.45">
      <c r="A654" s="12">
        <v>45617</v>
      </c>
      <c r="B654" s="2" t="s">
        <v>15</v>
      </c>
      <c r="C654" s="2" t="s">
        <v>28</v>
      </c>
      <c r="D654" s="2" t="s">
        <v>41</v>
      </c>
      <c r="E654" s="2" t="s">
        <v>54</v>
      </c>
      <c r="F654" s="2">
        <v>78551</v>
      </c>
      <c r="G654" s="2">
        <v>2411</v>
      </c>
      <c r="H654" s="2">
        <v>8149.18</v>
      </c>
      <c r="I654" s="2">
        <v>92</v>
      </c>
      <c r="J654" s="2">
        <v>8262.09</v>
      </c>
      <c r="K654" s="4">
        <f t="shared" si="40"/>
        <v>3.069343483851256E-2</v>
      </c>
      <c r="L654" s="6">
        <f t="shared" si="41"/>
        <v>3.3800000000000003</v>
      </c>
      <c r="M654" s="6">
        <f t="shared" si="42"/>
        <v>88.578043478260867</v>
      </c>
      <c r="N654" s="8">
        <f t="shared" si="43"/>
        <v>1.0138553817684723</v>
      </c>
    </row>
    <row r="655" spans="1:14" x14ac:dyDescent="0.45">
      <c r="A655" s="12">
        <v>45568</v>
      </c>
      <c r="B655" s="2" t="s">
        <v>35</v>
      </c>
      <c r="C655" s="2" t="s">
        <v>38</v>
      </c>
      <c r="D655" s="2" t="s">
        <v>29</v>
      </c>
      <c r="E655" s="2" t="s">
        <v>26</v>
      </c>
      <c r="F655" s="2">
        <v>186711</v>
      </c>
      <c r="G655" s="2">
        <v>7748</v>
      </c>
      <c r="H655" s="2">
        <v>4493.84</v>
      </c>
      <c r="I655" s="2">
        <v>536</v>
      </c>
      <c r="J655" s="2">
        <v>89187.58</v>
      </c>
      <c r="K655" s="4">
        <f t="shared" si="40"/>
        <v>4.1497287251420642E-2</v>
      </c>
      <c r="L655" s="6">
        <f t="shared" si="41"/>
        <v>0.58000000000000007</v>
      </c>
      <c r="M655" s="6">
        <f t="shared" si="42"/>
        <v>8.3840298507462681</v>
      </c>
      <c r="N655" s="8">
        <f t="shared" si="43"/>
        <v>19.846630053584462</v>
      </c>
    </row>
    <row r="656" spans="1:14" x14ac:dyDescent="0.45">
      <c r="A656" s="12">
        <v>45569</v>
      </c>
      <c r="B656" s="2" t="s">
        <v>35</v>
      </c>
      <c r="C656" s="2" t="s">
        <v>28</v>
      </c>
      <c r="D656" s="2" t="s">
        <v>29</v>
      </c>
      <c r="E656" s="2" t="s">
        <v>22</v>
      </c>
      <c r="F656" s="2">
        <v>5528</v>
      </c>
      <c r="G656" s="2">
        <v>108</v>
      </c>
      <c r="H656" s="2">
        <v>218.16</v>
      </c>
      <c r="I656" s="2">
        <v>7</v>
      </c>
      <c r="J656" s="2">
        <v>2000.84</v>
      </c>
      <c r="K656" s="4">
        <f t="shared" si="40"/>
        <v>1.9536903039073805E-2</v>
      </c>
      <c r="L656" s="6">
        <f t="shared" si="41"/>
        <v>2.02</v>
      </c>
      <c r="M656" s="6">
        <f t="shared" si="42"/>
        <v>31.165714285714284</v>
      </c>
      <c r="N656" s="8">
        <f t="shared" si="43"/>
        <v>9.171433810047672</v>
      </c>
    </row>
    <row r="657" spans="1:14" x14ac:dyDescent="0.45">
      <c r="A657" s="12">
        <v>45633</v>
      </c>
      <c r="B657" s="2" t="s">
        <v>15</v>
      </c>
      <c r="C657" s="2" t="s">
        <v>28</v>
      </c>
      <c r="D657" s="2" t="s">
        <v>29</v>
      </c>
      <c r="E657" s="2" t="s">
        <v>33</v>
      </c>
      <c r="F657" s="2">
        <v>144535</v>
      </c>
      <c r="G657" s="2">
        <v>7588</v>
      </c>
      <c r="H657" s="2">
        <v>23522.799999999999</v>
      </c>
      <c r="I657" s="2">
        <v>445</v>
      </c>
      <c r="J657" s="2">
        <v>105358.98</v>
      </c>
      <c r="K657" s="4">
        <f t="shared" si="40"/>
        <v>5.2499394610302001E-2</v>
      </c>
      <c r="L657" s="6">
        <f t="shared" si="41"/>
        <v>3.1</v>
      </c>
      <c r="M657" s="6">
        <f t="shared" si="42"/>
        <v>52.860224719101119</v>
      </c>
      <c r="N657" s="8">
        <f t="shared" si="43"/>
        <v>4.4790152532861738</v>
      </c>
    </row>
    <row r="658" spans="1:14" x14ac:dyDescent="0.45">
      <c r="A658" s="12">
        <v>45512</v>
      </c>
      <c r="B658" s="2" t="s">
        <v>35</v>
      </c>
      <c r="C658" s="2" t="s">
        <v>16</v>
      </c>
      <c r="D658" s="2" t="s">
        <v>41</v>
      </c>
      <c r="E658" s="2" t="s">
        <v>18</v>
      </c>
      <c r="F658" s="2">
        <v>8188</v>
      </c>
      <c r="G658" s="2">
        <v>272</v>
      </c>
      <c r="H658" s="2">
        <v>315.52</v>
      </c>
      <c r="I658" s="2">
        <v>14</v>
      </c>
      <c r="J658" s="2">
        <v>3745.84</v>
      </c>
      <c r="K658" s="4">
        <f t="shared" si="40"/>
        <v>3.321934538348803E-2</v>
      </c>
      <c r="L658" s="6">
        <f t="shared" si="41"/>
        <v>1.1599999999999999</v>
      </c>
      <c r="M658" s="6">
        <f t="shared" si="42"/>
        <v>22.537142857142857</v>
      </c>
      <c r="N658" s="8">
        <f t="shared" si="43"/>
        <v>11.871957403651116</v>
      </c>
    </row>
    <row r="659" spans="1:14" x14ac:dyDescent="0.45">
      <c r="A659" s="12">
        <v>45509</v>
      </c>
      <c r="B659" s="2" t="s">
        <v>15</v>
      </c>
      <c r="C659" s="2" t="s">
        <v>38</v>
      </c>
      <c r="D659" s="2" t="s">
        <v>17</v>
      </c>
      <c r="E659" s="2" t="s">
        <v>33</v>
      </c>
      <c r="F659" s="2">
        <v>71151</v>
      </c>
      <c r="G659" s="2">
        <v>4368</v>
      </c>
      <c r="H659" s="2">
        <v>14108.64</v>
      </c>
      <c r="I659" s="2">
        <v>202</v>
      </c>
      <c r="J659" s="2">
        <v>51341.85</v>
      </c>
      <c r="K659" s="4">
        <f t="shared" si="40"/>
        <v>6.1390563730657335E-2</v>
      </c>
      <c r="L659" s="6">
        <f t="shared" si="41"/>
        <v>3.23</v>
      </c>
      <c r="M659" s="6">
        <f t="shared" si="42"/>
        <v>69.844752475247518</v>
      </c>
      <c r="N659" s="8">
        <f t="shared" si="43"/>
        <v>3.6390360800190522</v>
      </c>
    </row>
    <row r="660" spans="1:14" x14ac:dyDescent="0.45">
      <c r="A660" s="12">
        <v>45357</v>
      </c>
      <c r="B660" s="2" t="s">
        <v>35</v>
      </c>
      <c r="C660" s="2" t="s">
        <v>28</v>
      </c>
      <c r="D660" s="2" t="s">
        <v>21</v>
      </c>
      <c r="E660" s="2" t="s">
        <v>30</v>
      </c>
      <c r="F660" s="2">
        <v>171797</v>
      </c>
      <c r="G660" s="2">
        <v>5153</v>
      </c>
      <c r="H660" s="2">
        <v>2782.62</v>
      </c>
      <c r="I660" s="2">
        <v>255</v>
      </c>
      <c r="J660" s="2">
        <v>52673.17</v>
      </c>
      <c r="K660" s="4">
        <f t="shared" si="40"/>
        <v>2.9994703050693551E-2</v>
      </c>
      <c r="L660" s="6">
        <f t="shared" si="41"/>
        <v>0.53999999999999992</v>
      </c>
      <c r="M660" s="6">
        <f t="shared" si="42"/>
        <v>10.912235294117647</v>
      </c>
      <c r="N660" s="8">
        <f t="shared" si="43"/>
        <v>18.929343568291753</v>
      </c>
    </row>
    <row r="661" spans="1:14" x14ac:dyDescent="0.45">
      <c r="A661" s="12">
        <v>45340</v>
      </c>
      <c r="B661" s="2" t="s">
        <v>20</v>
      </c>
      <c r="C661" s="2" t="s">
        <v>16</v>
      </c>
      <c r="D661" s="2" t="s">
        <v>21</v>
      </c>
      <c r="E661" s="2" t="s">
        <v>54</v>
      </c>
      <c r="F661" s="2">
        <v>173050</v>
      </c>
      <c r="G661" s="2">
        <v>8565</v>
      </c>
      <c r="H661" s="2">
        <v>5909.85</v>
      </c>
      <c r="I661" s="2">
        <v>414</v>
      </c>
      <c r="J661" s="2">
        <v>118511.79</v>
      </c>
      <c r="K661" s="4">
        <f t="shared" si="40"/>
        <v>4.9494365790234036E-2</v>
      </c>
      <c r="L661" s="6">
        <f t="shared" si="41"/>
        <v>0.69000000000000006</v>
      </c>
      <c r="M661" s="6">
        <f t="shared" si="42"/>
        <v>14.275</v>
      </c>
      <c r="N661" s="8">
        <f t="shared" si="43"/>
        <v>20.053265311302315</v>
      </c>
    </row>
    <row r="662" spans="1:14" x14ac:dyDescent="0.45">
      <c r="A662" s="12">
        <v>45539</v>
      </c>
      <c r="B662" s="2" t="s">
        <v>20</v>
      </c>
      <c r="C662" s="2" t="s">
        <v>24</v>
      </c>
      <c r="D662" s="2" t="s">
        <v>41</v>
      </c>
      <c r="E662" s="2" t="s">
        <v>33</v>
      </c>
      <c r="F662" s="2">
        <v>178269</v>
      </c>
      <c r="G662" s="2">
        <v>8646</v>
      </c>
      <c r="H662" s="2">
        <v>5446.98</v>
      </c>
      <c r="I662" s="2">
        <v>93</v>
      </c>
      <c r="J662" s="2">
        <v>10627.54</v>
      </c>
      <c r="K662" s="4">
        <f t="shared" si="40"/>
        <v>4.8499739158238395E-2</v>
      </c>
      <c r="L662" s="6">
        <f t="shared" si="41"/>
        <v>0.63</v>
      </c>
      <c r="M662" s="6">
        <f t="shared" si="42"/>
        <v>58.569677419354832</v>
      </c>
      <c r="N662" s="8">
        <f t="shared" si="43"/>
        <v>1.9510884930732262</v>
      </c>
    </row>
    <row r="663" spans="1:14" x14ac:dyDescent="0.45">
      <c r="A663" s="12">
        <v>45647</v>
      </c>
      <c r="B663" s="2" t="s">
        <v>15</v>
      </c>
      <c r="C663" s="2" t="s">
        <v>38</v>
      </c>
      <c r="D663" s="2" t="s">
        <v>41</v>
      </c>
      <c r="E663" s="2" t="s">
        <v>18</v>
      </c>
      <c r="F663" s="2">
        <v>164028</v>
      </c>
      <c r="G663" s="2">
        <v>5905</v>
      </c>
      <c r="H663" s="2">
        <v>5905</v>
      </c>
      <c r="I663" s="2">
        <v>377</v>
      </c>
      <c r="J663" s="2">
        <v>25718.59</v>
      </c>
      <c r="K663" s="4">
        <f t="shared" si="40"/>
        <v>3.5999951227839153E-2</v>
      </c>
      <c r="L663" s="6">
        <f t="shared" si="41"/>
        <v>1</v>
      </c>
      <c r="M663" s="6">
        <f t="shared" si="42"/>
        <v>15.663129973474801</v>
      </c>
      <c r="N663" s="8">
        <f t="shared" si="43"/>
        <v>4.3553920406435225</v>
      </c>
    </row>
    <row r="664" spans="1:14" x14ac:dyDescent="0.45">
      <c r="A664" s="12">
        <v>45323</v>
      </c>
      <c r="B664" s="2" t="s">
        <v>20</v>
      </c>
      <c r="C664" s="2" t="s">
        <v>24</v>
      </c>
      <c r="D664" s="2" t="s">
        <v>25</v>
      </c>
      <c r="E664" s="2" t="s">
        <v>54</v>
      </c>
      <c r="F664" s="2">
        <v>184504</v>
      </c>
      <c r="G664" s="2">
        <v>15479</v>
      </c>
      <c r="H664" s="2">
        <v>12383.2</v>
      </c>
      <c r="I664" s="2">
        <v>538</v>
      </c>
      <c r="J664" s="2">
        <v>112251.74</v>
      </c>
      <c r="K664" s="4">
        <f t="shared" si="40"/>
        <v>8.3895200104062789E-2</v>
      </c>
      <c r="L664" s="6">
        <f t="shared" si="41"/>
        <v>0.8</v>
      </c>
      <c r="M664" s="6">
        <f t="shared" si="42"/>
        <v>23.017100371747212</v>
      </c>
      <c r="N664" s="8">
        <f t="shared" si="43"/>
        <v>9.0648410750048445</v>
      </c>
    </row>
    <row r="665" spans="1:14" x14ac:dyDescent="0.45">
      <c r="A665" s="12">
        <v>45584</v>
      </c>
      <c r="B665" s="2" t="s">
        <v>20</v>
      </c>
      <c r="C665" s="2" t="s">
        <v>28</v>
      </c>
      <c r="D665" s="2" t="s">
        <v>25</v>
      </c>
      <c r="E665" s="2" t="s">
        <v>51</v>
      </c>
      <c r="F665" s="2">
        <v>119515</v>
      </c>
      <c r="G665" s="2">
        <v>6824</v>
      </c>
      <c r="H665" s="2">
        <v>5868.64</v>
      </c>
      <c r="I665" s="2">
        <v>89</v>
      </c>
      <c r="J665" s="2">
        <v>25992.880000000001</v>
      </c>
      <c r="K665" s="4">
        <f t="shared" si="40"/>
        <v>5.7097435468351256E-2</v>
      </c>
      <c r="L665" s="6">
        <f t="shared" si="41"/>
        <v>0.8600000000000001</v>
      </c>
      <c r="M665" s="6">
        <f t="shared" si="42"/>
        <v>65.939775280898886</v>
      </c>
      <c r="N665" s="8">
        <f t="shared" si="43"/>
        <v>4.4291147523105865</v>
      </c>
    </row>
    <row r="666" spans="1:14" x14ac:dyDescent="0.45">
      <c r="A666" s="12">
        <v>45583</v>
      </c>
      <c r="B666" s="2" t="s">
        <v>35</v>
      </c>
      <c r="C666" s="2" t="s">
        <v>16</v>
      </c>
      <c r="D666" s="2" t="s">
        <v>21</v>
      </c>
      <c r="E666" s="2" t="s">
        <v>26</v>
      </c>
      <c r="F666" s="2">
        <v>108591</v>
      </c>
      <c r="G666" s="2">
        <v>2084</v>
      </c>
      <c r="H666" s="2">
        <v>4501.4399999999996</v>
      </c>
      <c r="I666" s="2">
        <v>31</v>
      </c>
      <c r="J666" s="2">
        <v>6469.19</v>
      </c>
      <c r="K666" s="4">
        <f t="shared" si="40"/>
        <v>1.9191277361843985E-2</v>
      </c>
      <c r="L666" s="6">
        <f t="shared" si="41"/>
        <v>2.1599999999999997</v>
      </c>
      <c r="M666" s="6">
        <f t="shared" si="42"/>
        <v>145.20774193548385</v>
      </c>
      <c r="N666" s="8">
        <f t="shared" si="43"/>
        <v>1.4371378936518093</v>
      </c>
    </row>
    <row r="667" spans="1:14" x14ac:dyDescent="0.45">
      <c r="A667" s="12">
        <v>45423</v>
      </c>
      <c r="B667" s="2" t="s">
        <v>35</v>
      </c>
      <c r="C667" s="2" t="s">
        <v>28</v>
      </c>
      <c r="D667" s="2" t="s">
        <v>21</v>
      </c>
      <c r="E667" s="2" t="s">
        <v>22</v>
      </c>
      <c r="F667" s="2">
        <v>68472</v>
      </c>
      <c r="G667" s="2">
        <v>2601</v>
      </c>
      <c r="H667" s="2">
        <v>3589.38</v>
      </c>
      <c r="I667" s="2">
        <v>63</v>
      </c>
      <c r="J667" s="2">
        <v>17508.47</v>
      </c>
      <c r="K667" s="4">
        <f t="shared" si="40"/>
        <v>3.7986330178759201E-2</v>
      </c>
      <c r="L667" s="6">
        <f t="shared" si="41"/>
        <v>1.3800000000000001</v>
      </c>
      <c r="M667" s="6">
        <f t="shared" si="42"/>
        <v>56.974285714285713</v>
      </c>
      <c r="N667" s="8">
        <f t="shared" si="43"/>
        <v>4.8778535568816901</v>
      </c>
    </row>
    <row r="668" spans="1:14" x14ac:dyDescent="0.45">
      <c r="A668" s="12">
        <v>45556</v>
      </c>
      <c r="B668" s="2" t="s">
        <v>20</v>
      </c>
      <c r="C668" s="2" t="s">
        <v>28</v>
      </c>
      <c r="D668" s="2" t="s">
        <v>17</v>
      </c>
      <c r="E668" s="2" t="s">
        <v>26</v>
      </c>
      <c r="F668" s="2">
        <v>170201</v>
      </c>
      <c r="G668" s="2">
        <v>7931</v>
      </c>
      <c r="H668" s="2">
        <v>8327.5499999999993</v>
      </c>
      <c r="I668" s="2">
        <v>182</v>
      </c>
      <c r="J668" s="2">
        <v>10360.549999999999</v>
      </c>
      <c r="K668" s="4">
        <f t="shared" si="40"/>
        <v>4.6597846076110012E-2</v>
      </c>
      <c r="L668" s="6">
        <f t="shared" si="41"/>
        <v>1.0499999999999998</v>
      </c>
      <c r="M668" s="6">
        <f t="shared" si="42"/>
        <v>45.755769230769225</v>
      </c>
      <c r="N668" s="8">
        <f t="shared" si="43"/>
        <v>1.2441294258215201</v>
      </c>
    </row>
    <row r="669" spans="1:14" x14ac:dyDescent="0.45">
      <c r="A669" s="12">
        <v>45360</v>
      </c>
      <c r="B669" s="2" t="s">
        <v>15</v>
      </c>
      <c r="C669" s="2" t="s">
        <v>24</v>
      </c>
      <c r="D669" s="2" t="s">
        <v>21</v>
      </c>
      <c r="E669" s="2" t="s">
        <v>54</v>
      </c>
      <c r="F669" s="2">
        <v>92340</v>
      </c>
      <c r="G669" s="2">
        <v>2502</v>
      </c>
      <c r="H669" s="2">
        <v>4903.92</v>
      </c>
      <c r="I669" s="2">
        <v>153</v>
      </c>
      <c r="J669" s="2">
        <v>27593.24</v>
      </c>
      <c r="K669" s="4">
        <f t="shared" si="40"/>
        <v>2.709551656920078E-2</v>
      </c>
      <c r="L669" s="6">
        <f t="shared" si="41"/>
        <v>1.96</v>
      </c>
      <c r="M669" s="6">
        <f t="shared" si="42"/>
        <v>32.051764705882356</v>
      </c>
      <c r="N669" s="8">
        <f t="shared" si="43"/>
        <v>5.6267720517463582</v>
      </c>
    </row>
    <row r="670" spans="1:14" x14ac:dyDescent="0.45">
      <c r="A670" s="12">
        <v>45393</v>
      </c>
      <c r="B670" s="2" t="s">
        <v>20</v>
      </c>
      <c r="C670" s="2" t="s">
        <v>16</v>
      </c>
      <c r="D670" s="2" t="s">
        <v>29</v>
      </c>
      <c r="E670" s="2" t="s">
        <v>26</v>
      </c>
      <c r="F670" s="2">
        <v>136940</v>
      </c>
      <c r="G670" s="2">
        <v>4683</v>
      </c>
      <c r="H670" s="2">
        <v>3231.27</v>
      </c>
      <c r="I670" s="2">
        <v>137</v>
      </c>
      <c r="J670" s="2">
        <v>12153.39</v>
      </c>
      <c r="K670" s="4">
        <f t="shared" si="40"/>
        <v>3.4197458741054475E-2</v>
      </c>
      <c r="L670" s="6">
        <f t="shared" si="41"/>
        <v>0.69</v>
      </c>
      <c r="M670" s="6">
        <f t="shared" si="42"/>
        <v>23.585912408759125</v>
      </c>
      <c r="N670" s="8">
        <f t="shared" si="43"/>
        <v>3.7611805884373637</v>
      </c>
    </row>
    <row r="671" spans="1:14" x14ac:dyDescent="0.45">
      <c r="A671" s="12">
        <v>45650</v>
      </c>
      <c r="B671" s="2" t="s">
        <v>15</v>
      </c>
      <c r="C671" s="2" t="s">
        <v>16</v>
      </c>
      <c r="D671" s="2" t="s">
        <v>21</v>
      </c>
      <c r="E671" s="2" t="s">
        <v>54</v>
      </c>
      <c r="F671" s="2">
        <v>106311</v>
      </c>
      <c r="G671" s="2">
        <v>5762</v>
      </c>
      <c r="H671" s="2">
        <v>5301.04</v>
      </c>
      <c r="I671" s="2">
        <v>434</v>
      </c>
      <c r="J671" s="2">
        <v>55571.88</v>
      </c>
      <c r="K671" s="4">
        <f t="shared" si="40"/>
        <v>5.4199471362323746E-2</v>
      </c>
      <c r="L671" s="6">
        <f t="shared" si="41"/>
        <v>0.92</v>
      </c>
      <c r="M671" s="6">
        <f t="shared" si="42"/>
        <v>12.214377880184331</v>
      </c>
      <c r="N671" s="8">
        <f t="shared" si="43"/>
        <v>10.483203295957018</v>
      </c>
    </row>
    <row r="672" spans="1:14" x14ac:dyDescent="0.45">
      <c r="A672" s="12">
        <v>45366</v>
      </c>
      <c r="B672" s="2" t="s">
        <v>20</v>
      </c>
      <c r="C672" s="2" t="s">
        <v>28</v>
      </c>
      <c r="D672" s="2" t="s">
        <v>41</v>
      </c>
      <c r="E672" s="2" t="s">
        <v>33</v>
      </c>
      <c r="F672" s="2">
        <v>120016</v>
      </c>
      <c r="G672" s="2">
        <v>3336</v>
      </c>
      <c r="H672" s="2">
        <v>4436.88</v>
      </c>
      <c r="I672" s="2">
        <v>43</v>
      </c>
      <c r="J672" s="2">
        <v>5864.19</v>
      </c>
      <c r="K672" s="4">
        <f t="shared" si="40"/>
        <v>2.7796293827489667E-2</v>
      </c>
      <c r="L672" s="6">
        <f t="shared" si="41"/>
        <v>1.33</v>
      </c>
      <c r="M672" s="6">
        <f t="shared" si="42"/>
        <v>103.18325581395349</v>
      </c>
      <c r="N672" s="8">
        <f t="shared" si="43"/>
        <v>1.3216922702439551</v>
      </c>
    </row>
    <row r="673" spans="1:14" x14ac:dyDescent="0.45">
      <c r="A673" s="12">
        <v>45587</v>
      </c>
      <c r="B673" s="2" t="s">
        <v>35</v>
      </c>
      <c r="C673" s="2" t="s">
        <v>38</v>
      </c>
      <c r="D673" s="2" t="s">
        <v>29</v>
      </c>
      <c r="E673" s="2" t="s">
        <v>30</v>
      </c>
      <c r="F673" s="2">
        <v>193946</v>
      </c>
      <c r="G673" s="2">
        <v>7854</v>
      </c>
      <c r="H673" s="2">
        <v>14844.06</v>
      </c>
      <c r="I673" s="2">
        <v>461</v>
      </c>
      <c r="J673" s="2">
        <v>86871.54</v>
      </c>
      <c r="K673" s="4">
        <f t="shared" si="40"/>
        <v>4.0495808111536198E-2</v>
      </c>
      <c r="L673" s="6">
        <f t="shared" si="41"/>
        <v>1.89</v>
      </c>
      <c r="M673" s="6">
        <f t="shared" si="42"/>
        <v>32.199696312364424</v>
      </c>
      <c r="N673" s="8">
        <f t="shared" si="43"/>
        <v>5.8522762640409693</v>
      </c>
    </row>
    <row r="674" spans="1:14" x14ac:dyDescent="0.45">
      <c r="A674" s="12">
        <v>45559</v>
      </c>
      <c r="B674" s="2" t="s">
        <v>20</v>
      </c>
      <c r="C674" s="2" t="s">
        <v>28</v>
      </c>
      <c r="D674" s="2" t="s">
        <v>41</v>
      </c>
      <c r="E674" s="2" t="s">
        <v>54</v>
      </c>
      <c r="F674" s="2">
        <v>138780</v>
      </c>
      <c r="G674" s="2">
        <v>4135</v>
      </c>
      <c r="H674" s="2">
        <v>3514.75</v>
      </c>
      <c r="I674" s="2">
        <v>86</v>
      </c>
      <c r="J674" s="2">
        <v>7373.66</v>
      </c>
      <c r="K674" s="4">
        <f t="shared" si="40"/>
        <v>2.9795359561896526E-2</v>
      </c>
      <c r="L674" s="6">
        <f t="shared" si="41"/>
        <v>0.85</v>
      </c>
      <c r="M674" s="6">
        <f t="shared" si="42"/>
        <v>40.869186046511629</v>
      </c>
      <c r="N674" s="8">
        <f t="shared" si="43"/>
        <v>2.097918770894089</v>
      </c>
    </row>
    <row r="675" spans="1:14" x14ac:dyDescent="0.45">
      <c r="A675" s="12">
        <v>45500</v>
      </c>
      <c r="B675" s="2" t="s">
        <v>35</v>
      </c>
      <c r="C675" s="2" t="s">
        <v>38</v>
      </c>
      <c r="D675" s="2" t="s">
        <v>29</v>
      </c>
      <c r="E675" s="2" t="s">
        <v>22</v>
      </c>
      <c r="F675" s="2">
        <v>51365</v>
      </c>
      <c r="G675" s="2">
        <v>873</v>
      </c>
      <c r="H675" s="2">
        <v>611.1</v>
      </c>
      <c r="I675" s="2">
        <v>19</v>
      </c>
      <c r="J675" s="2">
        <v>2655.69</v>
      </c>
      <c r="K675" s="4">
        <f t="shared" si="40"/>
        <v>1.6996008955514456E-2</v>
      </c>
      <c r="L675" s="6">
        <f t="shared" si="41"/>
        <v>0.70000000000000007</v>
      </c>
      <c r="M675" s="6">
        <f t="shared" si="42"/>
        <v>32.163157894736841</v>
      </c>
      <c r="N675" s="8">
        <f t="shared" si="43"/>
        <v>4.3457535591556207</v>
      </c>
    </row>
    <row r="676" spans="1:14" x14ac:dyDescent="0.45">
      <c r="A676" s="12">
        <v>45357</v>
      </c>
      <c r="B676" s="2" t="s">
        <v>15</v>
      </c>
      <c r="C676" s="2" t="s">
        <v>28</v>
      </c>
      <c r="D676" s="2" t="s">
        <v>25</v>
      </c>
      <c r="E676" s="2" t="s">
        <v>22</v>
      </c>
      <c r="F676" s="2">
        <v>185903</v>
      </c>
      <c r="G676" s="2">
        <v>4647</v>
      </c>
      <c r="H676" s="2">
        <v>13755.12</v>
      </c>
      <c r="I676" s="2">
        <v>342</v>
      </c>
      <c r="J676" s="2">
        <v>58276.63</v>
      </c>
      <c r="K676" s="4">
        <f t="shared" si="40"/>
        <v>2.499690698912874E-2</v>
      </c>
      <c r="L676" s="6">
        <f t="shared" si="41"/>
        <v>2.96</v>
      </c>
      <c r="M676" s="6">
        <f t="shared" si="42"/>
        <v>40.21964912280702</v>
      </c>
      <c r="N676" s="8">
        <f t="shared" si="43"/>
        <v>4.2367227621423869</v>
      </c>
    </row>
    <row r="677" spans="1:14" x14ac:dyDescent="0.45">
      <c r="A677" s="12">
        <v>45352</v>
      </c>
      <c r="B677" s="2" t="s">
        <v>20</v>
      </c>
      <c r="C677" s="2" t="s">
        <v>38</v>
      </c>
      <c r="D677" s="2" t="s">
        <v>29</v>
      </c>
      <c r="E677" s="2" t="s">
        <v>54</v>
      </c>
      <c r="F677" s="2">
        <v>61232</v>
      </c>
      <c r="G677" s="2">
        <v>2951</v>
      </c>
      <c r="H677" s="2">
        <v>2213.25</v>
      </c>
      <c r="I677" s="2">
        <v>51</v>
      </c>
      <c r="J677" s="2">
        <v>15061.62</v>
      </c>
      <c r="K677" s="4">
        <f t="shared" si="40"/>
        <v>4.8193754899399005E-2</v>
      </c>
      <c r="L677" s="6">
        <f t="shared" si="41"/>
        <v>0.75</v>
      </c>
      <c r="M677" s="6">
        <f t="shared" si="42"/>
        <v>43.397058823529413</v>
      </c>
      <c r="N677" s="8">
        <f t="shared" si="43"/>
        <v>6.8052050152490686</v>
      </c>
    </row>
    <row r="678" spans="1:14" x14ac:dyDescent="0.45">
      <c r="A678" s="12">
        <v>45571</v>
      </c>
      <c r="B678" s="2" t="s">
        <v>20</v>
      </c>
      <c r="C678" s="2" t="s">
        <v>38</v>
      </c>
      <c r="D678" s="2" t="s">
        <v>29</v>
      </c>
      <c r="E678" s="2" t="s">
        <v>26</v>
      </c>
      <c r="F678" s="2">
        <v>122286</v>
      </c>
      <c r="G678" s="2">
        <v>7642</v>
      </c>
      <c r="H678" s="2">
        <v>11233.74</v>
      </c>
      <c r="I678" s="2">
        <v>201</v>
      </c>
      <c r="J678" s="2">
        <v>60002.91</v>
      </c>
      <c r="K678" s="4">
        <f t="shared" si="40"/>
        <v>6.2492844642886347E-2</v>
      </c>
      <c r="L678" s="6">
        <f t="shared" si="41"/>
        <v>1.47</v>
      </c>
      <c r="M678" s="6">
        <f t="shared" si="42"/>
        <v>55.889253731343281</v>
      </c>
      <c r="N678" s="8">
        <f t="shared" si="43"/>
        <v>5.3413119762429968</v>
      </c>
    </row>
    <row r="679" spans="1:14" x14ac:dyDescent="0.45">
      <c r="A679" s="12">
        <v>45357</v>
      </c>
      <c r="B679" s="2" t="s">
        <v>20</v>
      </c>
      <c r="C679" s="2" t="s">
        <v>28</v>
      </c>
      <c r="D679" s="2" t="s">
        <v>25</v>
      </c>
      <c r="E679" s="2" t="s">
        <v>22</v>
      </c>
      <c r="F679" s="2">
        <v>60114</v>
      </c>
      <c r="G679" s="2">
        <v>4917</v>
      </c>
      <c r="H679" s="2">
        <v>6637.95</v>
      </c>
      <c r="I679" s="2">
        <v>279</v>
      </c>
      <c r="J679" s="2">
        <v>15410.94</v>
      </c>
      <c r="K679" s="4">
        <f t="shared" si="40"/>
        <v>8.1794590278470899E-2</v>
      </c>
      <c r="L679" s="6">
        <f t="shared" si="41"/>
        <v>1.3499999999999999</v>
      </c>
      <c r="M679" s="6">
        <f t="shared" si="42"/>
        <v>23.791935483870969</v>
      </c>
      <c r="N679" s="8">
        <f t="shared" si="43"/>
        <v>2.3216414706347592</v>
      </c>
    </row>
    <row r="680" spans="1:14" x14ac:dyDescent="0.45">
      <c r="A680" s="12">
        <v>45326</v>
      </c>
      <c r="B680" s="2" t="s">
        <v>35</v>
      </c>
      <c r="C680" s="2" t="s">
        <v>38</v>
      </c>
      <c r="D680" s="2" t="s">
        <v>25</v>
      </c>
      <c r="E680" s="2" t="s">
        <v>54</v>
      </c>
      <c r="F680" s="2">
        <v>124004</v>
      </c>
      <c r="G680" s="2">
        <v>2083</v>
      </c>
      <c r="H680" s="2">
        <v>3145.33</v>
      </c>
      <c r="I680" s="2">
        <v>49</v>
      </c>
      <c r="J680" s="2">
        <v>9959.3700000000008</v>
      </c>
      <c r="K680" s="4">
        <f t="shared" si="40"/>
        <v>1.6797845230799007E-2</v>
      </c>
      <c r="L680" s="6">
        <f t="shared" si="41"/>
        <v>1.51</v>
      </c>
      <c r="M680" s="6">
        <f t="shared" si="42"/>
        <v>64.190408163265303</v>
      </c>
      <c r="N680" s="8">
        <f t="shared" si="43"/>
        <v>3.1663990741829955</v>
      </c>
    </row>
    <row r="681" spans="1:14" x14ac:dyDescent="0.45">
      <c r="A681" s="12">
        <v>45327</v>
      </c>
      <c r="B681" s="2" t="s">
        <v>20</v>
      </c>
      <c r="C681" s="2" t="s">
        <v>16</v>
      </c>
      <c r="D681" s="2" t="s">
        <v>41</v>
      </c>
      <c r="E681" s="2" t="s">
        <v>22</v>
      </c>
      <c r="F681" s="2">
        <v>168322</v>
      </c>
      <c r="G681" s="2">
        <v>4965</v>
      </c>
      <c r="H681" s="2">
        <v>4518.1499999999996</v>
      </c>
      <c r="I681" s="2">
        <v>228</v>
      </c>
      <c r="J681" s="2">
        <v>49052.14</v>
      </c>
      <c r="K681" s="4">
        <f t="shared" si="40"/>
        <v>2.9497035443970487E-2</v>
      </c>
      <c r="L681" s="6">
        <f t="shared" si="41"/>
        <v>0.90999999999999992</v>
      </c>
      <c r="M681" s="6">
        <f t="shared" si="42"/>
        <v>19.816447368421052</v>
      </c>
      <c r="N681" s="8">
        <f t="shared" si="43"/>
        <v>10.856686918318339</v>
      </c>
    </row>
    <row r="682" spans="1:14" x14ac:dyDescent="0.45">
      <c r="A682" s="12">
        <v>45421</v>
      </c>
      <c r="B682" s="2" t="s">
        <v>35</v>
      </c>
      <c r="C682" s="2" t="s">
        <v>38</v>
      </c>
      <c r="D682" s="2" t="s">
        <v>25</v>
      </c>
      <c r="E682" s="2" t="s">
        <v>30</v>
      </c>
      <c r="F682" s="2">
        <v>113957</v>
      </c>
      <c r="G682" s="2">
        <v>3008</v>
      </c>
      <c r="H682" s="2">
        <v>7008.64</v>
      </c>
      <c r="I682" s="2">
        <v>127</v>
      </c>
      <c r="J682" s="2">
        <v>17960.45</v>
      </c>
      <c r="K682" s="4">
        <f t="shared" si="40"/>
        <v>2.6395921268548662E-2</v>
      </c>
      <c r="L682" s="6">
        <f t="shared" si="41"/>
        <v>2.33</v>
      </c>
      <c r="M682" s="6">
        <f t="shared" si="42"/>
        <v>55.186141732283467</v>
      </c>
      <c r="N682" s="8">
        <f t="shared" si="43"/>
        <v>2.5626155716372936</v>
      </c>
    </row>
    <row r="683" spans="1:14" x14ac:dyDescent="0.45">
      <c r="A683" s="12">
        <v>45326</v>
      </c>
      <c r="B683" s="2" t="s">
        <v>15</v>
      </c>
      <c r="C683" s="2" t="s">
        <v>16</v>
      </c>
      <c r="D683" s="2" t="s">
        <v>29</v>
      </c>
      <c r="E683" s="2" t="s">
        <v>26</v>
      </c>
      <c r="F683" s="2">
        <v>137290</v>
      </c>
      <c r="G683" s="2">
        <v>5011</v>
      </c>
      <c r="H683" s="2">
        <v>7817.16</v>
      </c>
      <c r="I683" s="2">
        <v>323</v>
      </c>
      <c r="J683" s="2">
        <v>28440.57</v>
      </c>
      <c r="K683" s="4">
        <f t="shared" si="40"/>
        <v>3.649938087260543E-2</v>
      </c>
      <c r="L683" s="6">
        <f t="shared" si="41"/>
        <v>1.56</v>
      </c>
      <c r="M683" s="6">
        <f t="shared" si="42"/>
        <v>24.201733746130031</v>
      </c>
      <c r="N683" s="8">
        <f t="shared" si="43"/>
        <v>3.6382228328446646</v>
      </c>
    </row>
    <row r="684" spans="1:14" x14ac:dyDescent="0.45">
      <c r="A684" s="12">
        <v>45433</v>
      </c>
      <c r="B684" s="2" t="s">
        <v>35</v>
      </c>
      <c r="C684" s="2" t="s">
        <v>24</v>
      </c>
      <c r="D684" s="2" t="s">
        <v>17</v>
      </c>
      <c r="E684" s="2" t="s">
        <v>18</v>
      </c>
      <c r="F684" s="2">
        <v>12253</v>
      </c>
      <c r="G684" s="2">
        <v>468</v>
      </c>
      <c r="H684" s="2">
        <v>360.36</v>
      </c>
      <c r="I684" s="2">
        <v>9</v>
      </c>
      <c r="J684" s="2">
        <v>1433.96</v>
      </c>
      <c r="K684" s="4">
        <f t="shared" si="40"/>
        <v>3.8194727821757937E-2</v>
      </c>
      <c r="L684" s="6">
        <f t="shared" si="41"/>
        <v>0.77</v>
      </c>
      <c r="M684" s="6">
        <f t="shared" si="42"/>
        <v>40.04</v>
      </c>
      <c r="N684" s="8">
        <f t="shared" si="43"/>
        <v>3.9792429792429793</v>
      </c>
    </row>
    <row r="685" spans="1:14" x14ac:dyDescent="0.45">
      <c r="A685" s="12">
        <v>45647</v>
      </c>
      <c r="B685" s="2" t="s">
        <v>15</v>
      </c>
      <c r="C685" s="2" t="s">
        <v>24</v>
      </c>
      <c r="D685" s="2" t="s">
        <v>21</v>
      </c>
      <c r="E685" s="2" t="s">
        <v>54</v>
      </c>
      <c r="F685" s="2">
        <v>109216</v>
      </c>
      <c r="G685" s="2">
        <v>5777</v>
      </c>
      <c r="H685" s="2">
        <v>17677.62</v>
      </c>
      <c r="I685" s="2">
        <v>140</v>
      </c>
      <c r="J685" s="2">
        <v>11237.04</v>
      </c>
      <c r="K685" s="4">
        <f t="shared" si="40"/>
        <v>5.2895180193378258E-2</v>
      </c>
      <c r="L685" s="6">
        <f t="shared" si="41"/>
        <v>3.0599999999999996</v>
      </c>
      <c r="M685" s="6">
        <f t="shared" si="42"/>
        <v>126.26871428571428</v>
      </c>
      <c r="N685" s="8">
        <f t="shared" si="43"/>
        <v>0.63566475577594728</v>
      </c>
    </row>
    <row r="686" spans="1:14" x14ac:dyDescent="0.45">
      <c r="A686" s="12">
        <v>45354</v>
      </c>
      <c r="B686" s="2" t="s">
        <v>15</v>
      </c>
      <c r="C686" s="2" t="s">
        <v>28</v>
      </c>
      <c r="D686" s="2" t="s">
        <v>17</v>
      </c>
      <c r="E686" s="2" t="s">
        <v>33</v>
      </c>
      <c r="F686" s="2">
        <v>166215</v>
      </c>
      <c r="G686" s="2">
        <v>9158</v>
      </c>
      <c r="H686" s="2">
        <v>6593.76</v>
      </c>
      <c r="I686" s="2">
        <v>112</v>
      </c>
      <c r="J686" s="2">
        <v>29121.09</v>
      </c>
      <c r="K686" s="4">
        <f t="shared" si="40"/>
        <v>5.5097313720181694E-2</v>
      </c>
      <c r="L686" s="6">
        <f t="shared" si="41"/>
        <v>0.72</v>
      </c>
      <c r="M686" s="6">
        <f t="shared" si="42"/>
        <v>58.872857142857143</v>
      </c>
      <c r="N686" s="8">
        <f t="shared" si="43"/>
        <v>4.416461927640678</v>
      </c>
    </row>
    <row r="687" spans="1:14" x14ac:dyDescent="0.45">
      <c r="A687" s="12">
        <v>45625</v>
      </c>
      <c r="B687" s="2" t="s">
        <v>35</v>
      </c>
      <c r="C687" s="2" t="s">
        <v>28</v>
      </c>
      <c r="D687" s="2" t="s">
        <v>29</v>
      </c>
      <c r="E687" s="2" t="s">
        <v>51</v>
      </c>
      <c r="F687" s="2">
        <v>140678</v>
      </c>
      <c r="G687" s="2">
        <v>5655</v>
      </c>
      <c r="H687" s="2">
        <v>11705.85</v>
      </c>
      <c r="I687" s="2">
        <v>154</v>
      </c>
      <c r="J687" s="2">
        <v>7932.09</v>
      </c>
      <c r="K687" s="4">
        <f t="shared" si="40"/>
        <v>4.0198183084775158E-2</v>
      </c>
      <c r="L687" s="6">
        <f t="shared" si="41"/>
        <v>2.0700000000000003</v>
      </c>
      <c r="M687" s="6">
        <f t="shared" si="42"/>
        <v>76.012012987012994</v>
      </c>
      <c r="N687" s="8">
        <f t="shared" si="43"/>
        <v>0.67761760145568239</v>
      </c>
    </row>
    <row r="688" spans="1:14" x14ac:dyDescent="0.45">
      <c r="A688" s="12">
        <v>45492</v>
      </c>
      <c r="B688" s="2" t="s">
        <v>15</v>
      </c>
      <c r="C688" s="2" t="s">
        <v>16</v>
      </c>
      <c r="D688" s="2" t="s">
        <v>41</v>
      </c>
      <c r="E688" s="2" t="s">
        <v>18</v>
      </c>
      <c r="F688" s="2">
        <v>176066</v>
      </c>
      <c r="G688" s="2">
        <v>5264</v>
      </c>
      <c r="H688" s="2">
        <v>8317.1200000000008</v>
      </c>
      <c r="I688" s="2">
        <v>119</v>
      </c>
      <c r="J688" s="2">
        <v>28182.41</v>
      </c>
      <c r="K688" s="4">
        <f t="shared" si="40"/>
        <v>2.9897879204389265E-2</v>
      </c>
      <c r="L688" s="6">
        <f t="shared" si="41"/>
        <v>1.58</v>
      </c>
      <c r="M688" s="6">
        <f t="shared" si="42"/>
        <v>69.891764705882366</v>
      </c>
      <c r="N688" s="8">
        <f t="shared" si="43"/>
        <v>3.3884818302489319</v>
      </c>
    </row>
    <row r="689" spans="1:14" x14ac:dyDescent="0.45">
      <c r="A689" s="12">
        <v>45411</v>
      </c>
      <c r="B689" s="2" t="s">
        <v>15</v>
      </c>
      <c r="C689" s="2" t="s">
        <v>16</v>
      </c>
      <c r="D689" s="2" t="s">
        <v>25</v>
      </c>
      <c r="E689" s="2" t="s">
        <v>33</v>
      </c>
      <c r="F689" s="2">
        <v>59418</v>
      </c>
      <c r="G689" s="2">
        <v>1996</v>
      </c>
      <c r="H689" s="2">
        <v>3293.4</v>
      </c>
      <c r="I689" s="2">
        <v>80</v>
      </c>
      <c r="J689" s="2">
        <v>3528.5</v>
      </c>
      <c r="K689" s="4">
        <f t="shared" si="40"/>
        <v>3.3592514052980575E-2</v>
      </c>
      <c r="L689" s="6">
        <f t="shared" si="41"/>
        <v>1.6500000000000001</v>
      </c>
      <c r="M689" s="6">
        <f t="shared" si="42"/>
        <v>41.167500000000004</v>
      </c>
      <c r="N689" s="8">
        <f t="shared" si="43"/>
        <v>1.0713851946316877</v>
      </c>
    </row>
    <row r="690" spans="1:14" x14ac:dyDescent="0.45">
      <c r="A690" s="12">
        <v>45318</v>
      </c>
      <c r="B690" s="2" t="s">
        <v>15</v>
      </c>
      <c r="C690" s="2" t="s">
        <v>16</v>
      </c>
      <c r="D690" s="2" t="s">
        <v>21</v>
      </c>
      <c r="E690" s="2" t="s">
        <v>18</v>
      </c>
      <c r="F690" s="2">
        <v>143183</v>
      </c>
      <c r="G690" s="2">
        <v>5784</v>
      </c>
      <c r="H690" s="2">
        <v>4974.24</v>
      </c>
      <c r="I690" s="2">
        <v>432</v>
      </c>
      <c r="J690" s="2">
        <v>88233.11</v>
      </c>
      <c r="K690" s="4">
        <f t="shared" si="40"/>
        <v>4.039585705006879E-2</v>
      </c>
      <c r="L690" s="6">
        <f t="shared" si="41"/>
        <v>0.86</v>
      </c>
      <c r="M690" s="6">
        <f t="shared" si="42"/>
        <v>11.514444444444443</v>
      </c>
      <c r="N690" s="8">
        <f t="shared" si="43"/>
        <v>17.738008218340894</v>
      </c>
    </row>
    <row r="691" spans="1:14" x14ac:dyDescent="0.45">
      <c r="A691" s="12">
        <v>45492</v>
      </c>
      <c r="B691" s="2" t="s">
        <v>35</v>
      </c>
      <c r="C691" s="2" t="s">
        <v>28</v>
      </c>
      <c r="D691" s="2" t="s">
        <v>41</v>
      </c>
      <c r="E691" s="2" t="s">
        <v>51</v>
      </c>
      <c r="F691" s="2">
        <v>194059</v>
      </c>
      <c r="G691" s="2">
        <v>3434</v>
      </c>
      <c r="H691" s="2">
        <v>4670.24</v>
      </c>
      <c r="I691" s="2">
        <v>193</v>
      </c>
      <c r="J691" s="2">
        <v>7460.79</v>
      </c>
      <c r="K691" s="4">
        <f t="shared" si="40"/>
        <v>1.769564926130713E-2</v>
      </c>
      <c r="L691" s="6">
        <f t="shared" si="41"/>
        <v>1.3599999999999999</v>
      </c>
      <c r="M691" s="6">
        <f t="shared" si="42"/>
        <v>24.198134715025905</v>
      </c>
      <c r="N691" s="8">
        <f t="shared" si="43"/>
        <v>1.5975174723354688</v>
      </c>
    </row>
    <row r="692" spans="1:14" x14ac:dyDescent="0.45">
      <c r="A692" s="12">
        <v>45506</v>
      </c>
      <c r="B692" s="2" t="s">
        <v>15</v>
      </c>
      <c r="C692" s="2" t="s">
        <v>28</v>
      </c>
      <c r="D692" s="2" t="s">
        <v>29</v>
      </c>
      <c r="E692" s="2" t="s">
        <v>18</v>
      </c>
      <c r="F692" s="2">
        <v>98899</v>
      </c>
      <c r="G692" s="2">
        <v>2185</v>
      </c>
      <c r="H692" s="2">
        <v>6904.6</v>
      </c>
      <c r="I692" s="2">
        <v>171</v>
      </c>
      <c r="J692" s="2">
        <v>45859.64</v>
      </c>
      <c r="K692" s="4">
        <f t="shared" si="40"/>
        <v>2.20932466455677E-2</v>
      </c>
      <c r="L692" s="6">
        <f t="shared" si="41"/>
        <v>3.16</v>
      </c>
      <c r="M692" s="6">
        <f t="shared" si="42"/>
        <v>40.37777777777778</v>
      </c>
      <c r="N692" s="8">
        <f t="shared" si="43"/>
        <v>6.6418967065434638</v>
      </c>
    </row>
    <row r="693" spans="1:14" x14ac:dyDescent="0.45">
      <c r="A693" s="12">
        <v>45347</v>
      </c>
      <c r="B693" s="2" t="s">
        <v>35</v>
      </c>
      <c r="C693" s="2" t="s">
        <v>16</v>
      </c>
      <c r="D693" s="2" t="s">
        <v>41</v>
      </c>
      <c r="E693" s="2" t="s">
        <v>22</v>
      </c>
      <c r="F693" s="2">
        <v>129494</v>
      </c>
      <c r="G693" s="2">
        <v>1631</v>
      </c>
      <c r="H693" s="2">
        <v>3490.34</v>
      </c>
      <c r="I693" s="2">
        <v>108</v>
      </c>
      <c r="J693" s="2">
        <v>28288.04</v>
      </c>
      <c r="K693" s="4">
        <f t="shared" si="40"/>
        <v>1.2595178154972431E-2</v>
      </c>
      <c r="L693" s="6">
        <f t="shared" si="41"/>
        <v>2.14</v>
      </c>
      <c r="M693" s="6">
        <f t="shared" si="42"/>
        <v>32.317962962962966</v>
      </c>
      <c r="N693" s="8">
        <f t="shared" si="43"/>
        <v>8.1046660210753103</v>
      </c>
    </row>
    <row r="694" spans="1:14" x14ac:dyDescent="0.45">
      <c r="A694" s="12">
        <v>45354</v>
      </c>
      <c r="B694" s="2" t="s">
        <v>20</v>
      </c>
      <c r="C694" s="2" t="s">
        <v>28</v>
      </c>
      <c r="D694" s="2" t="s">
        <v>29</v>
      </c>
      <c r="E694" s="2" t="s">
        <v>18</v>
      </c>
      <c r="F694" s="2">
        <v>191443</v>
      </c>
      <c r="G694" s="2">
        <v>6872</v>
      </c>
      <c r="H694" s="2">
        <v>11476.24</v>
      </c>
      <c r="I694" s="2">
        <v>422</v>
      </c>
      <c r="J694" s="2">
        <v>108198.8</v>
      </c>
      <c r="K694" s="4">
        <f t="shared" si="40"/>
        <v>3.5895801883589373E-2</v>
      </c>
      <c r="L694" s="6">
        <f t="shared" si="41"/>
        <v>1.67</v>
      </c>
      <c r="M694" s="6">
        <f t="shared" si="42"/>
        <v>27.194881516587678</v>
      </c>
      <c r="N694" s="8">
        <f t="shared" si="43"/>
        <v>9.4280705178699655</v>
      </c>
    </row>
    <row r="695" spans="1:14" x14ac:dyDescent="0.45">
      <c r="A695" s="12">
        <v>45656</v>
      </c>
      <c r="B695" s="2" t="s">
        <v>20</v>
      </c>
      <c r="C695" s="2" t="s">
        <v>16</v>
      </c>
      <c r="D695" s="2" t="s">
        <v>29</v>
      </c>
      <c r="E695" s="2" t="s">
        <v>54</v>
      </c>
      <c r="F695" s="2">
        <v>61950</v>
      </c>
      <c r="G695" s="2">
        <v>4076</v>
      </c>
      <c r="H695" s="2">
        <v>1222.8</v>
      </c>
      <c r="I695" s="2">
        <v>97</v>
      </c>
      <c r="J695" s="2">
        <v>26763.8</v>
      </c>
      <c r="K695" s="4">
        <f t="shared" si="40"/>
        <v>6.5794995964487485E-2</v>
      </c>
      <c r="L695" s="6">
        <f t="shared" si="41"/>
        <v>0.3</v>
      </c>
      <c r="M695" s="6">
        <f t="shared" si="42"/>
        <v>12.606185567010309</v>
      </c>
      <c r="N695" s="8">
        <f t="shared" si="43"/>
        <v>21.887307818122341</v>
      </c>
    </row>
    <row r="696" spans="1:14" x14ac:dyDescent="0.45">
      <c r="A696" s="12">
        <v>45604</v>
      </c>
      <c r="B696" s="2" t="s">
        <v>15</v>
      </c>
      <c r="C696" s="2" t="s">
        <v>28</v>
      </c>
      <c r="D696" s="2" t="s">
        <v>29</v>
      </c>
      <c r="E696" s="2" t="s">
        <v>22</v>
      </c>
      <c r="F696" s="2">
        <v>34605</v>
      </c>
      <c r="G696" s="2">
        <v>809</v>
      </c>
      <c r="H696" s="2">
        <v>1423.84</v>
      </c>
      <c r="I696" s="2">
        <v>40</v>
      </c>
      <c r="J696" s="2">
        <v>5146.88</v>
      </c>
      <c r="K696" s="4">
        <f t="shared" si="40"/>
        <v>2.3378124548475654E-2</v>
      </c>
      <c r="L696" s="6">
        <f t="shared" si="41"/>
        <v>1.76</v>
      </c>
      <c r="M696" s="6">
        <f t="shared" si="42"/>
        <v>35.595999999999997</v>
      </c>
      <c r="N696" s="8">
        <f t="shared" si="43"/>
        <v>3.6147881784470166</v>
      </c>
    </row>
    <row r="697" spans="1:14" x14ac:dyDescent="0.45">
      <c r="A697" s="12">
        <v>45322</v>
      </c>
      <c r="B697" s="2" t="s">
        <v>20</v>
      </c>
      <c r="C697" s="2" t="s">
        <v>28</v>
      </c>
      <c r="D697" s="2" t="s">
        <v>17</v>
      </c>
      <c r="E697" s="2" t="s">
        <v>18</v>
      </c>
      <c r="F697" s="2">
        <v>127790</v>
      </c>
      <c r="G697" s="2">
        <v>7015</v>
      </c>
      <c r="H697" s="2">
        <v>8628.4500000000007</v>
      </c>
      <c r="I697" s="2">
        <v>422</v>
      </c>
      <c r="J697" s="2">
        <v>90118.48</v>
      </c>
      <c r="K697" s="4">
        <f t="shared" si="40"/>
        <v>5.4894749197902812E-2</v>
      </c>
      <c r="L697" s="6">
        <f t="shared" si="41"/>
        <v>1.2300000000000002</v>
      </c>
      <c r="M697" s="6">
        <f t="shared" si="42"/>
        <v>20.446563981042654</v>
      </c>
      <c r="N697" s="8">
        <f t="shared" si="43"/>
        <v>10.444341683616408</v>
      </c>
    </row>
    <row r="698" spans="1:14" x14ac:dyDescent="0.45">
      <c r="A698" s="12">
        <v>45300</v>
      </c>
      <c r="B698" s="2" t="s">
        <v>20</v>
      </c>
      <c r="C698" s="2" t="s">
        <v>16</v>
      </c>
      <c r="D698" s="2" t="s">
        <v>25</v>
      </c>
      <c r="E698" s="2" t="s">
        <v>30</v>
      </c>
      <c r="F698" s="2">
        <v>96310</v>
      </c>
      <c r="G698" s="2">
        <v>6905</v>
      </c>
      <c r="H698" s="2">
        <v>8838.4</v>
      </c>
      <c r="I698" s="2">
        <v>247</v>
      </c>
      <c r="J698" s="2">
        <v>8632.99</v>
      </c>
      <c r="K698" s="4">
        <f t="shared" si="40"/>
        <v>7.1695566400166125E-2</v>
      </c>
      <c r="L698" s="6">
        <f t="shared" si="41"/>
        <v>1.28</v>
      </c>
      <c r="M698" s="6">
        <f t="shared" si="42"/>
        <v>35.782995951417</v>
      </c>
      <c r="N698" s="8">
        <f t="shared" si="43"/>
        <v>0.97675936821144105</v>
      </c>
    </row>
    <row r="699" spans="1:14" x14ac:dyDescent="0.45">
      <c r="A699" s="12">
        <v>45540</v>
      </c>
      <c r="B699" s="2" t="s">
        <v>15</v>
      </c>
      <c r="C699" s="2" t="s">
        <v>28</v>
      </c>
      <c r="D699" s="2" t="s">
        <v>17</v>
      </c>
      <c r="E699" s="2" t="s">
        <v>51</v>
      </c>
      <c r="F699" s="2">
        <v>197589</v>
      </c>
      <c r="G699" s="2">
        <v>4781</v>
      </c>
      <c r="H699" s="2">
        <v>7649.6</v>
      </c>
      <c r="I699" s="2">
        <v>225</v>
      </c>
      <c r="J699" s="2">
        <v>12329.91</v>
      </c>
      <c r="K699" s="4">
        <f t="shared" si="40"/>
        <v>2.4196691111347292E-2</v>
      </c>
      <c r="L699" s="6">
        <f t="shared" si="41"/>
        <v>1.6</v>
      </c>
      <c r="M699" s="6">
        <f t="shared" si="42"/>
        <v>33.998222222222225</v>
      </c>
      <c r="N699" s="8">
        <f t="shared" si="43"/>
        <v>1.6118372202468101</v>
      </c>
    </row>
    <row r="700" spans="1:14" x14ac:dyDescent="0.45">
      <c r="A700" s="12">
        <v>45339</v>
      </c>
      <c r="B700" s="2" t="s">
        <v>35</v>
      </c>
      <c r="C700" s="2" t="s">
        <v>24</v>
      </c>
      <c r="D700" s="2" t="s">
        <v>41</v>
      </c>
      <c r="E700" s="2" t="s">
        <v>26</v>
      </c>
      <c r="F700" s="2">
        <v>118566</v>
      </c>
      <c r="G700" s="2">
        <v>3711</v>
      </c>
      <c r="H700" s="2">
        <v>4193.43</v>
      </c>
      <c r="I700" s="2">
        <v>58</v>
      </c>
      <c r="J700" s="2">
        <v>14643.53</v>
      </c>
      <c r="K700" s="4">
        <f t="shared" si="40"/>
        <v>3.1299023328778909E-2</v>
      </c>
      <c r="L700" s="6">
        <f t="shared" si="41"/>
        <v>1.1300000000000001</v>
      </c>
      <c r="M700" s="6">
        <f t="shared" si="42"/>
        <v>72.30051724137931</v>
      </c>
      <c r="N700" s="8">
        <f t="shared" si="43"/>
        <v>3.4920172746415226</v>
      </c>
    </row>
    <row r="701" spans="1:14" x14ac:dyDescent="0.45">
      <c r="A701" s="12">
        <v>45560</v>
      </c>
      <c r="B701" s="2" t="s">
        <v>35</v>
      </c>
      <c r="C701" s="2" t="s">
        <v>28</v>
      </c>
      <c r="D701" s="2" t="s">
        <v>25</v>
      </c>
      <c r="E701" s="2" t="s">
        <v>30</v>
      </c>
      <c r="F701" s="2">
        <v>199451</v>
      </c>
      <c r="G701" s="2">
        <v>3989</v>
      </c>
      <c r="H701" s="2">
        <v>5105.92</v>
      </c>
      <c r="I701" s="2">
        <v>110</v>
      </c>
      <c r="J701" s="2">
        <v>8236.16</v>
      </c>
      <c r="K701" s="4">
        <f t="shared" si="40"/>
        <v>1.9999899724744422E-2</v>
      </c>
      <c r="L701" s="6">
        <f t="shared" si="41"/>
        <v>1.28</v>
      </c>
      <c r="M701" s="6">
        <f t="shared" si="42"/>
        <v>46.417454545454547</v>
      </c>
      <c r="N701" s="8">
        <f t="shared" si="43"/>
        <v>1.6130609175231887</v>
      </c>
    </row>
    <row r="702" spans="1:14" x14ac:dyDescent="0.45">
      <c r="A702" s="12">
        <v>45588</v>
      </c>
      <c r="B702" s="2" t="s">
        <v>15</v>
      </c>
      <c r="C702" s="2" t="s">
        <v>38</v>
      </c>
      <c r="D702" s="2" t="s">
        <v>29</v>
      </c>
      <c r="E702" s="2" t="s">
        <v>18</v>
      </c>
      <c r="F702" s="2">
        <v>88251</v>
      </c>
      <c r="G702" s="2">
        <v>5965</v>
      </c>
      <c r="H702" s="2">
        <v>4891.3</v>
      </c>
      <c r="I702" s="2">
        <v>133</v>
      </c>
      <c r="J702" s="2">
        <v>14897.06</v>
      </c>
      <c r="K702" s="4">
        <f t="shared" si="40"/>
        <v>6.7591302081562818E-2</v>
      </c>
      <c r="L702" s="6">
        <f t="shared" si="41"/>
        <v>0.82000000000000006</v>
      </c>
      <c r="M702" s="6">
        <f t="shared" si="42"/>
        <v>36.776691729323311</v>
      </c>
      <c r="N702" s="8">
        <f t="shared" si="43"/>
        <v>3.0456238627767669</v>
      </c>
    </row>
    <row r="703" spans="1:14" x14ac:dyDescent="0.45">
      <c r="A703" s="12">
        <v>45306</v>
      </c>
      <c r="B703" s="2" t="s">
        <v>15</v>
      </c>
      <c r="C703" s="2" t="s">
        <v>38</v>
      </c>
      <c r="D703" s="2" t="s">
        <v>17</v>
      </c>
      <c r="E703" s="2" t="s">
        <v>33</v>
      </c>
      <c r="F703" s="2">
        <v>55406</v>
      </c>
      <c r="G703" s="2">
        <v>2648</v>
      </c>
      <c r="H703" s="2">
        <v>5031.2</v>
      </c>
      <c r="I703" s="2">
        <v>149</v>
      </c>
      <c r="J703" s="2">
        <v>22127.3</v>
      </c>
      <c r="K703" s="4">
        <f t="shared" si="40"/>
        <v>4.7792657834891526E-2</v>
      </c>
      <c r="L703" s="6">
        <f t="shared" si="41"/>
        <v>1.9</v>
      </c>
      <c r="M703" s="6">
        <f t="shared" si="42"/>
        <v>33.766442953020132</v>
      </c>
      <c r="N703" s="8">
        <f t="shared" si="43"/>
        <v>4.3980163778025121</v>
      </c>
    </row>
    <row r="704" spans="1:14" x14ac:dyDescent="0.45">
      <c r="A704" s="12">
        <v>45338</v>
      </c>
      <c r="B704" s="2" t="s">
        <v>20</v>
      </c>
      <c r="C704" s="2" t="s">
        <v>38</v>
      </c>
      <c r="D704" s="2" t="s">
        <v>17</v>
      </c>
      <c r="E704" s="2" t="s">
        <v>54</v>
      </c>
      <c r="F704" s="2">
        <v>141447</v>
      </c>
      <c r="G704" s="2">
        <v>9873</v>
      </c>
      <c r="H704" s="2">
        <v>13723.47</v>
      </c>
      <c r="I704" s="2">
        <v>588</v>
      </c>
      <c r="J704" s="2">
        <v>86774.51</v>
      </c>
      <c r="K704" s="4">
        <f t="shared" si="40"/>
        <v>6.979999575812848E-2</v>
      </c>
      <c r="L704" s="6">
        <f t="shared" si="41"/>
        <v>1.39</v>
      </c>
      <c r="M704" s="6">
        <f t="shared" si="42"/>
        <v>23.33923469387755</v>
      </c>
      <c r="N704" s="8">
        <f t="shared" si="43"/>
        <v>6.3230735375236726</v>
      </c>
    </row>
    <row r="705" spans="1:14" x14ac:dyDescent="0.45">
      <c r="A705" s="12">
        <v>45328</v>
      </c>
      <c r="B705" s="2" t="s">
        <v>15</v>
      </c>
      <c r="C705" s="2" t="s">
        <v>24</v>
      </c>
      <c r="D705" s="2" t="s">
        <v>21</v>
      </c>
      <c r="E705" s="2" t="s">
        <v>22</v>
      </c>
      <c r="F705" s="2">
        <v>73591</v>
      </c>
      <c r="G705" s="2">
        <v>2649</v>
      </c>
      <c r="H705" s="2">
        <v>7496.67</v>
      </c>
      <c r="I705" s="2">
        <v>161</v>
      </c>
      <c r="J705" s="2">
        <v>45161.9</v>
      </c>
      <c r="K705" s="4">
        <f t="shared" si="40"/>
        <v>3.599624954138414E-2</v>
      </c>
      <c r="L705" s="6">
        <f t="shared" si="41"/>
        <v>2.83</v>
      </c>
      <c r="M705" s="6">
        <f t="shared" si="42"/>
        <v>46.563167701863357</v>
      </c>
      <c r="N705" s="8">
        <f t="shared" si="43"/>
        <v>6.0242614387454694</v>
      </c>
    </row>
    <row r="706" spans="1:14" x14ac:dyDescent="0.45">
      <c r="A706" s="12">
        <v>45347</v>
      </c>
      <c r="B706" s="2" t="s">
        <v>15</v>
      </c>
      <c r="C706" s="2" t="s">
        <v>24</v>
      </c>
      <c r="D706" s="2" t="s">
        <v>17</v>
      </c>
      <c r="E706" s="2" t="s">
        <v>51</v>
      </c>
      <c r="F706" s="2">
        <v>66477</v>
      </c>
      <c r="G706" s="2">
        <v>2718</v>
      </c>
      <c r="H706" s="2">
        <v>7773.48</v>
      </c>
      <c r="I706" s="2">
        <v>160</v>
      </c>
      <c r="J706" s="2">
        <v>16856.48</v>
      </c>
      <c r="K706" s="4">
        <f t="shared" si="40"/>
        <v>4.0886321584909069E-2</v>
      </c>
      <c r="L706" s="6">
        <f t="shared" si="41"/>
        <v>2.86</v>
      </c>
      <c r="M706" s="6">
        <f t="shared" si="42"/>
        <v>48.584249999999997</v>
      </c>
      <c r="N706" s="8">
        <f t="shared" si="43"/>
        <v>2.1684599432943803</v>
      </c>
    </row>
    <row r="707" spans="1:14" x14ac:dyDescent="0.45">
      <c r="A707" s="12">
        <v>45532</v>
      </c>
      <c r="B707" s="2" t="s">
        <v>35</v>
      </c>
      <c r="C707" s="2" t="s">
        <v>24</v>
      </c>
      <c r="D707" s="2" t="s">
        <v>41</v>
      </c>
      <c r="E707" s="2" t="s">
        <v>18</v>
      </c>
      <c r="F707" s="2">
        <v>196386</v>
      </c>
      <c r="G707" s="2">
        <v>6794</v>
      </c>
      <c r="H707" s="2">
        <v>5503.14</v>
      </c>
      <c r="I707" s="2">
        <v>506</v>
      </c>
      <c r="J707" s="2">
        <v>34412.06</v>
      </c>
      <c r="K707" s="4">
        <f t="shared" ref="K707:K770" si="44" xml:space="preserve"> G707 / F707</f>
        <v>3.4595134072693573E-2</v>
      </c>
      <c r="L707" s="6">
        <f t="shared" ref="L707:L770" si="45">H707/G707</f>
        <v>0.81</v>
      </c>
      <c r="M707" s="6">
        <f t="shared" ref="M707:M770" si="46">H707/I707</f>
        <v>10.875770750988142</v>
      </c>
      <c r="N707" s="8">
        <f t="shared" ref="N707:N770" si="47">J707/H707</f>
        <v>6.2531681912508121</v>
      </c>
    </row>
    <row r="708" spans="1:14" x14ac:dyDescent="0.45">
      <c r="A708" s="12">
        <v>45593</v>
      </c>
      <c r="B708" s="2" t="s">
        <v>15</v>
      </c>
      <c r="C708" s="2" t="s">
        <v>38</v>
      </c>
      <c r="D708" s="2" t="s">
        <v>17</v>
      </c>
      <c r="E708" s="2" t="s">
        <v>33</v>
      </c>
      <c r="F708" s="2">
        <v>78927</v>
      </c>
      <c r="G708" s="2">
        <v>3172</v>
      </c>
      <c r="H708" s="2">
        <v>10150.4</v>
      </c>
      <c r="I708" s="2">
        <v>62</v>
      </c>
      <c r="J708" s="2">
        <v>7568.63</v>
      </c>
      <c r="K708" s="4">
        <f t="shared" si="44"/>
        <v>4.018903543780962E-2</v>
      </c>
      <c r="L708" s="6">
        <f t="shared" si="45"/>
        <v>3.1999999999999997</v>
      </c>
      <c r="M708" s="6">
        <f t="shared" si="46"/>
        <v>163.71612903225807</v>
      </c>
      <c r="N708" s="8">
        <f t="shared" si="47"/>
        <v>0.74564844735182856</v>
      </c>
    </row>
    <row r="709" spans="1:14" x14ac:dyDescent="0.45">
      <c r="A709" s="12">
        <v>45636</v>
      </c>
      <c r="B709" s="2" t="s">
        <v>15</v>
      </c>
      <c r="C709" s="2" t="s">
        <v>38</v>
      </c>
      <c r="D709" s="2" t="s">
        <v>29</v>
      </c>
      <c r="E709" s="2" t="s">
        <v>33</v>
      </c>
      <c r="F709" s="2">
        <v>184857</v>
      </c>
      <c r="G709" s="2">
        <v>3419</v>
      </c>
      <c r="H709" s="2">
        <v>8786.83</v>
      </c>
      <c r="I709" s="2">
        <v>248</v>
      </c>
      <c r="J709" s="2">
        <v>70137.509999999995</v>
      </c>
      <c r="K709" s="4">
        <f t="shared" si="44"/>
        <v>1.8495377508019713E-2</v>
      </c>
      <c r="L709" s="6">
        <f t="shared" si="45"/>
        <v>2.57</v>
      </c>
      <c r="M709" s="6">
        <f t="shared" si="46"/>
        <v>35.430766129032257</v>
      </c>
      <c r="N709" s="8">
        <f t="shared" si="47"/>
        <v>7.982117555477914</v>
      </c>
    </row>
    <row r="710" spans="1:14" x14ac:dyDescent="0.45">
      <c r="A710" s="12">
        <v>45534</v>
      </c>
      <c r="B710" s="2" t="s">
        <v>20</v>
      </c>
      <c r="C710" s="2" t="s">
        <v>38</v>
      </c>
      <c r="D710" s="2" t="s">
        <v>21</v>
      </c>
      <c r="E710" s="2" t="s">
        <v>51</v>
      </c>
      <c r="F710" s="2">
        <v>122174</v>
      </c>
      <c r="G710" s="2">
        <v>6499</v>
      </c>
      <c r="H710" s="2">
        <v>5719.12</v>
      </c>
      <c r="I710" s="2">
        <v>413</v>
      </c>
      <c r="J710" s="2">
        <v>58791.38</v>
      </c>
      <c r="K710" s="4">
        <f t="shared" si="44"/>
        <v>5.3194624060765791E-2</v>
      </c>
      <c r="L710" s="6">
        <f t="shared" si="45"/>
        <v>0.88</v>
      </c>
      <c r="M710" s="6">
        <f t="shared" si="46"/>
        <v>13.84774818401937</v>
      </c>
      <c r="N710" s="8">
        <f t="shared" si="47"/>
        <v>10.27979479360461</v>
      </c>
    </row>
    <row r="711" spans="1:14" x14ac:dyDescent="0.45">
      <c r="A711" s="12">
        <v>45499</v>
      </c>
      <c r="B711" s="2" t="s">
        <v>15</v>
      </c>
      <c r="C711" s="2" t="s">
        <v>16</v>
      </c>
      <c r="D711" s="2" t="s">
        <v>29</v>
      </c>
      <c r="E711" s="2" t="s">
        <v>30</v>
      </c>
      <c r="F711" s="2">
        <v>108719</v>
      </c>
      <c r="G711" s="2">
        <v>4207</v>
      </c>
      <c r="H711" s="2">
        <v>13462.4</v>
      </c>
      <c r="I711" s="2">
        <v>121</v>
      </c>
      <c r="J711" s="2">
        <v>21018.47</v>
      </c>
      <c r="K711" s="4">
        <f t="shared" si="44"/>
        <v>3.8696088080280355E-2</v>
      </c>
      <c r="L711" s="6">
        <f t="shared" si="45"/>
        <v>3.1999999999999997</v>
      </c>
      <c r="M711" s="6">
        <f t="shared" si="46"/>
        <v>111.2595041322314</v>
      </c>
      <c r="N711" s="8">
        <f t="shared" si="47"/>
        <v>1.5612721357261707</v>
      </c>
    </row>
    <row r="712" spans="1:14" x14ac:dyDescent="0.45">
      <c r="A712" s="12">
        <v>45604</v>
      </c>
      <c r="B712" s="2" t="s">
        <v>35</v>
      </c>
      <c r="C712" s="2" t="s">
        <v>28</v>
      </c>
      <c r="D712" s="2" t="s">
        <v>25</v>
      </c>
      <c r="E712" s="2" t="s">
        <v>54</v>
      </c>
      <c r="F712" s="2">
        <v>186949</v>
      </c>
      <c r="G712" s="2">
        <v>3140</v>
      </c>
      <c r="H712" s="2">
        <v>1884</v>
      </c>
      <c r="I712" s="2">
        <v>186</v>
      </c>
      <c r="J712" s="2">
        <v>30294.1</v>
      </c>
      <c r="K712" s="4">
        <f t="shared" si="44"/>
        <v>1.6796024584244902E-2</v>
      </c>
      <c r="L712" s="6">
        <f t="shared" si="45"/>
        <v>0.6</v>
      </c>
      <c r="M712" s="6">
        <f t="shared" si="46"/>
        <v>10.129032258064516</v>
      </c>
      <c r="N712" s="8">
        <f t="shared" si="47"/>
        <v>16.079670912951165</v>
      </c>
    </row>
    <row r="713" spans="1:14" x14ac:dyDescent="0.45">
      <c r="A713" s="12">
        <v>45547</v>
      </c>
      <c r="B713" s="2" t="s">
        <v>15</v>
      </c>
      <c r="C713" s="2" t="s">
        <v>24</v>
      </c>
      <c r="D713" s="2" t="s">
        <v>41</v>
      </c>
      <c r="E713" s="2" t="s">
        <v>22</v>
      </c>
      <c r="F713" s="2">
        <v>193869</v>
      </c>
      <c r="G713" s="2">
        <v>13124</v>
      </c>
      <c r="H713" s="2">
        <v>38453.32</v>
      </c>
      <c r="I713" s="2">
        <v>264</v>
      </c>
      <c r="J713" s="2">
        <v>67604.89</v>
      </c>
      <c r="K713" s="4">
        <f t="shared" si="44"/>
        <v>6.7695196240760508E-2</v>
      </c>
      <c r="L713" s="6">
        <f t="shared" si="45"/>
        <v>2.93</v>
      </c>
      <c r="M713" s="6">
        <f t="shared" si="46"/>
        <v>145.65651515151515</v>
      </c>
      <c r="N713" s="8">
        <f t="shared" si="47"/>
        <v>1.7581028114087418</v>
      </c>
    </row>
    <row r="714" spans="1:14" x14ac:dyDescent="0.45">
      <c r="A714" s="12">
        <v>45501</v>
      </c>
      <c r="B714" s="2" t="s">
        <v>15</v>
      </c>
      <c r="C714" s="2" t="s">
        <v>16</v>
      </c>
      <c r="D714" s="2" t="s">
        <v>21</v>
      </c>
      <c r="E714" s="2" t="s">
        <v>54</v>
      </c>
      <c r="F714" s="2">
        <v>158535</v>
      </c>
      <c r="G714" s="2">
        <v>3836</v>
      </c>
      <c r="H714" s="2">
        <v>8285.76</v>
      </c>
      <c r="I714" s="2">
        <v>120</v>
      </c>
      <c r="J714" s="2">
        <v>12930.51</v>
      </c>
      <c r="K714" s="4">
        <f t="shared" si="44"/>
        <v>2.4196549657804271E-2</v>
      </c>
      <c r="L714" s="6">
        <f t="shared" si="45"/>
        <v>2.16</v>
      </c>
      <c r="M714" s="6">
        <f t="shared" si="46"/>
        <v>69.048000000000002</v>
      </c>
      <c r="N714" s="8">
        <f t="shared" si="47"/>
        <v>1.560570183061059</v>
      </c>
    </row>
    <row r="715" spans="1:14" x14ac:dyDescent="0.45">
      <c r="A715" s="12">
        <v>45640</v>
      </c>
      <c r="B715" s="2" t="s">
        <v>20</v>
      </c>
      <c r="C715" s="2" t="s">
        <v>16</v>
      </c>
      <c r="D715" s="2" t="s">
        <v>21</v>
      </c>
      <c r="E715" s="2" t="s">
        <v>18</v>
      </c>
      <c r="F715" s="2">
        <v>148949</v>
      </c>
      <c r="G715" s="2">
        <v>12332</v>
      </c>
      <c r="H715" s="2">
        <v>12455.32</v>
      </c>
      <c r="I715" s="2">
        <v>546</v>
      </c>
      <c r="J715" s="2">
        <v>95805.85</v>
      </c>
      <c r="K715" s="4">
        <f t="shared" si="44"/>
        <v>8.2793439365151836E-2</v>
      </c>
      <c r="L715" s="6">
        <f t="shared" si="45"/>
        <v>1.01</v>
      </c>
      <c r="M715" s="6">
        <f t="shared" si="46"/>
        <v>22.811941391941392</v>
      </c>
      <c r="N715" s="8">
        <f t="shared" si="47"/>
        <v>7.6919621495071988</v>
      </c>
    </row>
    <row r="716" spans="1:14" x14ac:dyDescent="0.45">
      <c r="A716" s="12">
        <v>45492</v>
      </c>
      <c r="B716" s="2" t="s">
        <v>15</v>
      </c>
      <c r="C716" s="2" t="s">
        <v>38</v>
      </c>
      <c r="D716" s="2" t="s">
        <v>17</v>
      </c>
      <c r="E716" s="2" t="s">
        <v>26</v>
      </c>
      <c r="F716" s="2">
        <v>184810</v>
      </c>
      <c r="G716" s="2">
        <v>7447</v>
      </c>
      <c r="H716" s="2">
        <v>23234.639999999999</v>
      </c>
      <c r="I716" s="2">
        <v>334</v>
      </c>
      <c r="J716" s="2">
        <v>51289.24</v>
      </c>
      <c r="K716" s="4">
        <f t="shared" si="44"/>
        <v>4.029543855851956E-2</v>
      </c>
      <c r="L716" s="6">
        <f t="shared" si="45"/>
        <v>3.12</v>
      </c>
      <c r="M716" s="6">
        <f t="shared" si="46"/>
        <v>69.564790419161682</v>
      </c>
      <c r="N716" s="8">
        <f t="shared" si="47"/>
        <v>2.2074471564870382</v>
      </c>
    </row>
    <row r="717" spans="1:14" x14ac:dyDescent="0.45">
      <c r="A717" s="12">
        <v>45489</v>
      </c>
      <c r="B717" s="2" t="s">
        <v>35</v>
      </c>
      <c r="C717" s="2" t="s">
        <v>24</v>
      </c>
      <c r="D717" s="2" t="s">
        <v>41</v>
      </c>
      <c r="E717" s="2" t="s">
        <v>26</v>
      </c>
      <c r="F717" s="2">
        <v>85989</v>
      </c>
      <c r="G717" s="2">
        <v>997</v>
      </c>
      <c r="H717" s="2">
        <v>1684.93</v>
      </c>
      <c r="I717" s="2">
        <v>37</v>
      </c>
      <c r="J717" s="2">
        <v>4865.84</v>
      </c>
      <c r="K717" s="4">
        <f t="shared" si="44"/>
        <v>1.159450627405831E-2</v>
      </c>
      <c r="L717" s="6">
        <f t="shared" si="45"/>
        <v>1.6900000000000002</v>
      </c>
      <c r="M717" s="6">
        <f t="shared" si="46"/>
        <v>45.538648648648653</v>
      </c>
      <c r="N717" s="8">
        <f t="shared" si="47"/>
        <v>2.8878588428005911</v>
      </c>
    </row>
    <row r="718" spans="1:14" x14ac:dyDescent="0.45">
      <c r="A718" s="12">
        <v>45338</v>
      </c>
      <c r="B718" s="2" t="s">
        <v>35</v>
      </c>
      <c r="C718" s="2" t="s">
        <v>28</v>
      </c>
      <c r="D718" s="2" t="s">
        <v>17</v>
      </c>
      <c r="E718" s="2" t="s">
        <v>33</v>
      </c>
      <c r="F718" s="2">
        <v>35755</v>
      </c>
      <c r="G718" s="2">
        <v>654</v>
      </c>
      <c r="H718" s="2">
        <v>1046.4000000000001</v>
      </c>
      <c r="I718" s="2">
        <v>40</v>
      </c>
      <c r="J718" s="2">
        <v>11846.71</v>
      </c>
      <c r="K718" s="4">
        <f t="shared" si="44"/>
        <v>1.829114809117606E-2</v>
      </c>
      <c r="L718" s="6">
        <f t="shared" si="45"/>
        <v>1.6</v>
      </c>
      <c r="M718" s="6">
        <f t="shared" si="46"/>
        <v>26.160000000000004</v>
      </c>
      <c r="N718" s="8">
        <f t="shared" si="47"/>
        <v>11.321397171253821</v>
      </c>
    </row>
    <row r="719" spans="1:14" x14ac:dyDescent="0.45">
      <c r="A719" s="12">
        <v>45590</v>
      </c>
      <c r="B719" s="2" t="s">
        <v>35</v>
      </c>
      <c r="C719" s="2" t="s">
        <v>24</v>
      </c>
      <c r="D719" s="2" t="s">
        <v>17</v>
      </c>
      <c r="E719" s="2" t="s">
        <v>22</v>
      </c>
      <c r="F719" s="2">
        <v>184298</v>
      </c>
      <c r="G719" s="2">
        <v>7758</v>
      </c>
      <c r="H719" s="2">
        <v>12024.9</v>
      </c>
      <c r="I719" s="2">
        <v>351</v>
      </c>
      <c r="J719" s="2">
        <v>91198.92</v>
      </c>
      <c r="K719" s="4">
        <f t="shared" si="44"/>
        <v>4.2094868094065048E-2</v>
      </c>
      <c r="L719" s="6">
        <f t="shared" si="45"/>
        <v>1.55</v>
      </c>
      <c r="M719" s="6">
        <f t="shared" si="46"/>
        <v>34.258974358974356</v>
      </c>
      <c r="N719" s="8">
        <f t="shared" si="47"/>
        <v>7.5841728413541905</v>
      </c>
    </row>
    <row r="720" spans="1:14" x14ac:dyDescent="0.45">
      <c r="A720" s="12">
        <v>45368</v>
      </c>
      <c r="B720" s="2" t="s">
        <v>35</v>
      </c>
      <c r="C720" s="2" t="s">
        <v>24</v>
      </c>
      <c r="D720" s="2" t="s">
        <v>29</v>
      </c>
      <c r="E720" s="2" t="s">
        <v>51</v>
      </c>
      <c r="F720" s="2">
        <v>22878</v>
      </c>
      <c r="G720" s="2">
        <v>619</v>
      </c>
      <c r="H720" s="2">
        <v>625.19000000000005</v>
      </c>
      <c r="I720" s="2">
        <v>43</v>
      </c>
      <c r="J720" s="2">
        <v>8615.57</v>
      </c>
      <c r="K720" s="4">
        <f t="shared" si="44"/>
        <v>2.7056560888189526E-2</v>
      </c>
      <c r="L720" s="6">
        <f t="shared" si="45"/>
        <v>1.01</v>
      </c>
      <c r="M720" s="6">
        <f t="shared" si="46"/>
        <v>14.539302325581396</v>
      </c>
      <c r="N720" s="8">
        <f t="shared" si="47"/>
        <v>13.780722660311264</v>
      </c>
    </row>
    <row r="721" spans="1:14" x14ac:dyDescent="0.45">
      <c r="A721" s="12">
        <v>45612</v>
      </c>
      <c r="B721" s="2" t="s">
        <v>35</v>
      </c>
      <c r="C721" s="2" t="s">
        <v>16</v>
      </c>
      <c r="D721" s="2" t="s">
        <v>17</v>
      </c>
      <c r="E721" s="2" t="s">
        <v>22</v>
      </c>
      <c r="F721" s="2">
        <v>151539</v>
      </c>
      <c r="G721" s="2">
        <v>3455</v>
      </c>
      <c r="H721" s="2">
        <v>7082.75</v>
      </c>
      <c r="I721" s="2">
        <v>135</v>
      </c>
      <c r="J721" s="2">
        <v>4666.78</v>
      </c>
      <c r="K721" s="4">
        <f t="shared" si="44"/>
        <v>2.2799411372649944E-2</v>
      </c>
      <c r="L721" s="6">
        <f t="shared" si="45"/>
        <v>2.0499999999999998</v>
      </c>
      <c r="M721" s="6">
        <f t="shared" si="46"/>
        <v>52.464814814814815</v>
      </c>
      <c r="N721" s="8">
        <f t="shared" si="47"/>
        <v>0.65889379125339731</v>
      </c>
    </row>
    <row r="722" spans="1:14" x14ac:dyDescent="0.45">
      <c r="A722" s="12">
        <v>45591</v>
      </c>
      <c r="B722" s="2" t="s">
        <v>15</v>
      </c>
      <c r="C722" s="2" t="s">
        <v>38</v>
      </c>
      <c r="D722" s="2" t="s">
        <v>25</v>
      </c>
      <c r="E722" s="2" t="s">
        <v>54</v>
      </c>
      <c r="F722" s="2">
        <v>180365</v>
      </c>
      <c r="G722" s="2">
        <v>6114</v>
      </c>
      <c r="H722" s="2">
        <v>21154.44</v>
      </c>
      <c r="I722" s="2">
        <v>400</v>
      </c>
      <c r="J722" s="2">
        <v>111623.05</v>
      </c>
      <c r="K722" s="4">
        <f t="shared" si="44"/>
        <v>3.3897929199123995E-2</v>
      </c>
      <c r="L722" s="6">
        <f t="shared" si="45"/>
        <v>3.46</v>
      </c>
      <c r="M722" s="6">
        <f t="shared" si="46"/>
        <v>52.886099999999999</v>
      </c>
      <c r="N722" s="8">
        <f t="shared" si="47"/>
        <v>5.2765778720684642</v>
      </c>
    </row>
    <row r="723" spans="1:14" x14ac:dyDescent="0.45">
      <c r="A723" s="12">
        <v>45526</v>
      </c>
      <c r="B723" s="2" t="s">
        <v>35</v>
      </c>
      <c r="C723" s="2" t="s">
        <v>24</v>
      </c>
      <c r="D723" s="2" t="s">
        <v>17</v>
      </c>
      <c r="E723" s="2" t="s">
        <v>54</v>
      </c>
      <c r="F723" s="2">
        <v>30168</v>
      </c>
      <c r="G723" s="2">
        <v>1080</v>
      </c>
      <c r="H723" s="2">
        <v>496.8</v>
      </c>
      <c r="I723" s="2">
        <v>34</v>
      </c>
      <c r="J723" s="2">
        <v>5163.2700000000004</v>
      </c>
      <c r="K723" s="4">
        <f t="shared" si="44"/>
        <v>3.5799522673031027E-2</v>
      </c>
      <c r="L723" s="6">
        <f t="shared" si="45"/>
        <v>0.46</v>
      </c>
      <c r="M723" s="6">
        <f t="shared" si="46"/>
        <v>14.611764705882353</v>
      </c>
      <c r="N723" s="8">
        <f t="shared" si="47"/>
        <v>10.393055555555556</v>
      </c>
    </row>
    <row r="724" spans="1:14" x14ac:dyDescent="0.45">
      <c r="A724" s="12">
        <v>45424</v>
      </c>
      <c r="B724" s="2" t="s">
        <v>15</v>
      </c>
      <c r="C724" s="2" t="s">
        <v>38</v>
      </c>
      <c r="D724" s="2" t="s">
        <v>17</v>
      </c>
      <c r="E724" s="2" t="s">
        <v>18</v>
      </c>
      <c r="F724" s="2">
        <v>26352</v>
      </c>
      <c r="G724" s="2">
        <v>1697</v>
      </c>
      <c r="H724" s="2">
        <v>2901.87</v>
      </c>
      <c r="I724" s="2">
        <v>126</v>
      </c>
      <c r="J724" s="2">
        <v>31980.19</v>
      </c>
      <c r="K724" s="4">
        <f t="shared" si="44"/>
        <v>6.4397389192471163E-2</v>
      </c>
      <c r="L724" s="6">
        <f t="shared" si="45"/>
        <v>1.71</v>
      </c>
      <c r="M724" s="6">
        <f t="shared" si="46"/>
        <v>23.030714285714286</v>
      </c>
      <c r="N724" s="8">
        <f t="shared" si="47"/>
        <v>11.020545372466719</v>
      </c>
    </row>
    <row r="725" spans="1:14" x14ac:dyDescent="0.45">
      <c r="A725" s="12">
        <v>45314</v>
      </c>
      <c r="B725" s="2" t="s">
        <v>15</v>
      </c>
      <c r="C725" s="2" t="s">
        <v>16</v>
      </c>
      <c r="D725" s="2" t="s">
        <v>25</v>
      </c>
      <c r="E725" s="2" t="s">
        <v>51</v>
      </c>
      <c r="F725" s="2">
        <v>57979</v>
      </c>
      <c r="G725" s="2">
        <v>2081</v>
      </c>
      <c r="H725" s="2">
        <v>3933.09</v>
      </c>
      <c r="I725" s="2">
        <v>148</v>
      </c>
      <c r="J725" s="2">
        <v>18788.47</v>
      </c>
      <c r="K725" s="4">
        <f t="shared" si="44"/>
        <v>3.5892305834871248E-2</v>
      </c>
      <c r="L725" s="6">
        <f t="shared" si="45"/>
        <v>1.8900000000000001</v>
      </c>
      <c r="M725" s="6">
        <f t="shared" si="46"/>
        <v>26.574932432432433</v>
      </c>
      <c r="N725" s="8">
        <f t="shared" si="47"/>
        <v>4.7770251888464283</v>
      </c>
    </row>
    <row r="726" spans="1:14" x14ac:dyDescent="0.45">
      <c r="A726" s="12">
        <v>45577</v>
      </c>
      <c r="B726" s="2" t="s">
        <v>15</v>
      </c>
      <c r="C726" s="2" t="s">
        <v>24</v>
      </c>
      <c r="D726" s="2" t="s">
        <v>17</v>
      </c>
      <c r="E726" s="2" t="s">
        <v>54</v>
      </c>
      <c r="F726" s="2">
        <v>173769</v>
      </c>
      <c r="G726" s="2">
        <v>6759</v>
      </c>
      <c r="H726" s="2">
        <v>19330.740000000002</v>
      </c>
      <c r="I726" s="2">
        <v>158</v>
      </c>
      <c r="J726" s="2">
        <v>21350.44</v>
      </c>
      <c r="K726" s="4">
        <f t="shared" si="44"/>
        <v>3.8896465997962815E-2</v>
      </c>
      <c r="L726" s="6">
        <f t="shared" si="45"/>
        <v>2.8600000000000003</v>
      </c>
      <c r="M726" s="6">
        <f t="shared" si="46"/>
        <v>122.34645569620254</v>
      </c>
      <c r="N726" s="8">
        <f t="shared" si="47"/>
        <v>1.1044812562788593</v>
      </c>
    </row>
    <row r="727" spans="1:14" x14ac:dyDescent="0.45">
      <c r="A727" s="12">
        <v>45536</v>
      </c>
      <c r="B727" s="2" t="s">
        <v>20</v>
      </c>
      <c r="C727" s="2" t="s">
        <v>28</v>
      </c>
      <c r="D727" s="2" t="s">
        <v>29</v>
      </c>
      <c r="E727" s="2" t="s">
        <v>30</v>
      </c>
      <c r="F727" s="2">
        <v>131206</v>
      </c>
      <c r="G727" s="2">
        <v>8279</v>
      </c>
      <c r="H727" s="2">
        <v>12666.87</v>
      </c>
      <c r="I727" s="2">
        <v>553</v>
      </c>
      <c r="J727" s="2">
        <v>61485.88</v>
      </c>
      <c r="K727" s="4">
        <f t="shared" si="44"/>
        <v>6.3099248509976683E-2</v>
      </c>
      <c r="L727" s="6">
        <f t="shared" si="45"/>
        <v>1.53</v>
      </c>
      <c r="M727" s="6">
        <f t="shared" si="46"/>
        <v>22.905732368896928</v>
      </c>
      <c r="N727" s="8">
        <f t="shared" si="47"/>
        <v>4.8540705004472295</v>
      </c>
    </row>
    <row r="728" spans="1:14" x14ac:dyDescent="0.45">
      <c r="A728" s="12">
        <v>45432</v>
      </c>
      <c r="B728" s="2" t="s">
        <v>35</v>
      </c>
      <c r="C728" s="2" t="s">
        <v>38</v>
      </c>
      <c r="D728" s="2" t="s">
        <v>21</v>
      </c>
      <c r="E728" s="2" t="s">
        <v>22</v>
      </c>
      <c r="F728" s="2">
        <v>64799</v>
      </c>
      <c r="G728" s="2">
        <v>842</v>
      </c>
      <c r="H728" s="2">
        <v>1473.5</v>
      </c>
      <c r="I728" s="2">
        <v>52</v>
      </c>
      <c r="J728" s="2">
        <v>15157.93</v>
      </c>
      <c r="K728" s="4">
        <f t="shared" si="44"/>
        <v>1.2994027685612433E-2</v>
      </c>
      <c r="L728" s="6">
        <f t="shared" si="45"/>
        <v>1.75</v>
      </c>
      <c r="M728" s="6">
        <f t="shared" si="46"/>
        <v>28.33653846153846</v>
      </c>
      <c r="N728" s="8">
        <f t="shared" si="47"/>
        <v>10.287024092297251</v>
      </c>
    </row>
    <row r="729" spans="1:14" x14ac:dyDescent="0.45">
      <c r="A729" s="12">
        <v>45307</v>
      </c>
      <c r="B729" s="2" t="s">
        <v>35</v>
      </c>
      <c r="C729" s="2" t="s">
        <v>28</v>
      </c>
      <c r="D729" s="2" t="s">
        <v>41</v>
      </c>
      <c r="E729" s="2" t="s">
        <v>22</v>
      </c>
      <c r="F729" s="2">
        <v>167893</v>
      </c>
      <c r="G729" s="2">
        <v>4432</v>
      </c>
      <c r="H729" s="2">
        <v>2570.56</v>
      </c>
      <c r="I729" s="2">
        <v>66</v>
      </c>
      <c r="J729" s="2">
        <v>15989.78</v>
      </c>
      <c r="K729" s="4">
        <f t="shared" si="44"/>
        <v>2.6397765243339508E-2</v>
      </c>
      <c r="L729" s="6">
        <f t="shared" si="45"/>
        <v>0.57999999999999996</v>
      </c>
      <c r="M729" s="6">
        <f t="shared" si="46"/>
        <v>38.947878787878786</v>
      </c>
      <c r="N729" s="8">
        <f t="shared" si="47"/>
        <v>6.2203488733972367</v>
      </c>
    </row>
    <row r="730" spans="1:14" x14ac:dyDescent="0.45">
      <c r="A730" s="12">
        <v>45411</v>
      </c>
      <c r="B730" s="2" t="s">
        <v>15</v>
      </c>
      <c r="C730" s="2" t="s">
        <v>38</v>
      </c>
      <c r="D730" s="2" t="s">
        <v>21</v>
      </c>
      <c r="E730" s="2" t="s">
        <v>54</v>
      </c>
      <c r="F730" s="2">
        <v>72474</v>
      </c>
      <c r="G730" s="2">
        <v>4022</v>
      </c>
      <c r="H730" s="2">
        <v>12508.42</v>
      </c>
      <c r="I730" s="2">
        <v>142</v>
      </c>
      <c r="J730" s="2">
        <v>38937.53</v>
      </c>
      <c r="K730" s="4">
        <f t="shared" si="44"/>
        <v>5.5495763998123462E-2</v>
      </c>
      <c r="L730" s="6">
        <f t="shared" si="45"/>
        <v>3.11</v>
      </c>
      <c r="M730" s="6">
        <f t="shared" si="46"/>
        <v>88.08746478873239</v>
      </c>
      <c r="N730" s="8">
        <f t="shared" si="47"/>
        <v>3.1129055468236593</v>
      </c>
    </row>
    <row r="731" spans="1:14" x14ac:dyDescent="0.45">
      <c r="A731" s="12">
        <v>45590</v>
      </c>
      <c r="B731" s="2" t="s">
        <v>35</v>
      </c>
      <c r="C731" s="2" t="s">
        <v>24</v>
      </c>
      <c r="D731" s="2" t="s">
        <v>21</v>
      </c>
      <c r="E731" s="2" t="s">
        <v>33</v>
      </c>
      <c r="F731" s="2">
        <v>138678</v>
      </c>
      <c r="G731" s="2">
        <v>1802</v>
      </c>
      <c r="H731" s="2">
        <v>3423.8</v>
      </c>
      <c r="I731" s="2">
        <v>61</v>
      </c>
      <c r="J731" s="2">
        <v>2147.0300000000002</v>
      </c>
      <c r="K731" s="4">
        <f t="shared" si="44"/>
        <v>1.2994130287428431E-2</v>
      </c>
      <c r="L731" s="6">
        <f t="shared" si="45"/>
        <v>1.9000000000000001</v>
      </c>
      <c r="M731" s="6">
        <f t="shared" si="46"/>
        <v>56.127868852459017</v>
      </c>
      <c r="N731" s="8">
        <f t="shared" si="47"/>
        <v>0.62708978328173381</v>
      </c>
    </row>
    <row r="732" spans="1:14" x14ac:dyDescent="0.45">
      <c r="A732" s="12">
        <v>45479</v>
      </c>
      <c r="B732" s="2" t="s">
        <v>20</v>
      </c>
      <c r="C732" s="2" t="s">
        <v>16</v>
      </c>
      <c r="D732" s="2" t="s">
        <v>25</v>
      </c>
      <c r="E732" s="2" t="s">
        <v>18</v>
      </c>
      <c r="F732" s="2">
        <v>70195</v>
      </c>
      <c r="G732" s="2">
        <v>4239</v>
      </c>
      <c r="H732" s="2">
        <v>6019.38</v>
      </c>
      <c r="I732" s="2">
        <v>234</v>
      </c>
      <c r="J732" s="2">
        <v>38776.78</v>
      </c>
      <c r="K732" s="4">
        <f t="shared" si="44"/>
        <v>6.0388916589500678E-2</v>
      </c>
      <c r="L732" s="6">
        <f t="shared" si="45"/>
        <v>1.42</v>
      </c>
      <c r="M732" s="6">
        <f t="shared" si="46"/>
        <v>25.723846153846154</v>
      </c>
      <c r="N732" s="8">
        <f t="shared" si="47"/>
        <v>6.4419890420608104</v>
      </c>
    </row>
    <row r="733" spans="1:14" x14ac:dyDescent="0.45">
      <c r="A733" s="12">
        <v>45532</v>
      </c>
      <c r="B733" s="2" t="s">
        <v>35</v>
      </c>
      <c r="C733" s="2" t="s">
        <v>16</v>
      </c>
      <c r="D733" s="2" t="s">
        <v>21</v>
      </c>
      <c r="E733" s="2" t="s">
        <v>26</v>
      </c>
      <c r="F733" s="2">
        <v>73513</v>
      </c>
      <c r="G733" s="2">
        <v>2073</v>
      </c>
      <c r="H733" s="2">
        <v>4602.0600000000004</v>
      </c>
      <c r="I733" s="2">
        <v>31</v>
      </c>
      <c r="J733" s="2">
        <v>3401.33</v>
      </c>
      <c r="K733" s="4">
        <f t="shared" si="44"/>
        <v>2.8199094037789234E-2</v>
      </c>
      <c r="L733" s="6">
        <f t="shared" si="45"/>
        <v>2.2200000000000002</v>
      </c>
      <c r="M733" s="6">
        <f t="shared" si="46"/>
        <v>148.45354838709679</v>
      </c>
      <c r="N733" s="8">
        <f t="shared" si="47"/>
        <v>0.73908858206976868</v>
      </c>
    </row>
    <row r="734" spans="1:14" x14ac:dyDescent="0.45">
      <c r="A734" s="12">
        <v>45445</v>
      </c>
      <c r="B734" s="2" t="s">
        <v>15</v>
      </c>
      <c r="C734" s="2" t="s">
        <v>16</v>
      </c>
      <c r="D734" s="2" t="s">
        <v>29</v>
      </c>
      <c r="E734" s="2" t="s">
        <v>30</v>
      </c>
      <c r="F734" s="2">
        <v>162786</v>
      </c>
      <c r="G734" s="2">
        <v>7406</v>
      </c>
      <c r="H734" s="2">
        <v>10738.7</v>
      </c>
      <c r="I734" s="2">
        <v>513</v>
      </c>
      <c r="J734" s="2">
        <v>67523.570000000007</v>
      </c>
      <c r="K734" s="4">
        <f t="shared" si="44"/>
        <v>4.5495312864742669E-2</v>
      </c>
      <c r="L734" s="6">
        <f t="shared" si="45"/>
        <v>1.4500000000000002</v>
      </c>
      <c r="M734" s="6">
        <f t="shared" si="46"/>
        <v>20.933138401559457</v>
      </c>
      <c r="N734" s="8">
        <f t="shared" si="47"/>
        <v>6.2878719025580381</v>
      </c>
    </row>
    <row r="735" spans="1:14" x14ac:dyDescent="0.45">
      <c r="A735" s="12">
        <v>45558</v>
      </c>
      <c r="B735" s="2" t="s">
        <v>15</v>
      </c>
      <c r="C735" s="2" t="s">
        <v>24</v>
      </c>
      <c r="D735" s="2" t="s">
        <v>25</v>
      </c>
      <c r="E735" s="2" t="s">
        <v>26</v>
      </c>
      <c r="F735" s="2">
        <v>133909</v>
      </c>
      <c r="G735" s="2">
        <v>5664</v>
      </c>
      <c r="H735" s="2">
        <v>16312.32</v>
      </c>
      <c r="I735" s="2">
        <v>117</v>
      </c>
      <c r="J735" s="2">
        <v>11886.29</v>
      </c>
      <c r="K735" s="4">
        <f t="shared" si="44"/>
        <v>4.2297381057285172E-2</v>
      </c>
      <c r="L735" s="6">
        <f t="shared" si="45"/>
        <v>2.88</v>
      </c>
      <c r="M735" s="6">
        <f t="shared" si="46"/>
        <v>139.42153846153846</v>
      </c>
      <c r="N735" s="8">
        <f t="shared" si="47"/>
        <v>0.72866949642969248</v>
      </c>
    </row>
    <row r="736" spans="1:14" x14ac:dyDescent="0.45">
      <c r="A736" s="12">
        <v>45316</v>
      </c>
      <c r="B736" s="2" t="s">
        <v>15</v>
      </c>
      <c r="C736" s="2" t="s">
        <v>16</v>
      </c>
      <c r="D736" s="2" t="s">
        <v>41</v>
      </c>
      <c r="E736" s="2" t="s">
        <v>54</v>
      </c>
      <c r="F736" s="2">
        <v>92185</v>
      </c>
      <c r="G736" s="2">
        <v>3779</v>
      </c>
      <c r="H736" s="2">
        <v>6121.98</v>
      </c>
      <c r="I736" s="2">
        <v>82</v>
      </c>
      <c r="J736" s="2">
        <v>11861.33</v>
      </c>
      <c r="K736" s="4">
        <f t="shared" si="44"/>
        <v>4.0993654065194986E-2</v>
      </c>
      <c r="L736" s="6">
        <f t="shared" si="45"/>
        <v>1.6199999999999999</v>
      </c>
      <c r="M736" s="6">
        <f t="shared" si="46"/>
        <v>74.658292682926827</v>
      </c>
      <c r="N736" s="8">
        <f t="shared" si="47"/>
        <v>1.9374989790884649</v>
      </c>
    </row>
    <row r="737" spans="1:14" x14ac:dyDescent="0.45">
      <c r="A737" s="12">
        <v>45459</v>
      </c>
      <c r="B737" s="2" t="s">
        <v>35</v>
      </c>
      <c r="C737" s="2" t="s">
        <v>16</v>
      </c>
      <c r="D737" s="2" t="s">
        <v>41</v>
      </c>
      <c r="E737" s="2" t="s">
        <v>54</v>
      </c>
      <c r="F737" s="2">
        <v>136637</v>
      </c>
      <c r="G737" s="2">
        <v>4399</v>
      </c>
      <c r="H737" s="2">
        <v>5762.69</v>
      </c>
      <c r="I737" s="2">
        <v>254</v>
      </c>
      <c r="J737" s="2">
        <v>21909.38</v>
      </c>
      <c r="K737" s="4">
        <f t="shared" si="44"/>
        <v>3.2194793503955738E-2</v>
      </c>
      <c r="L737" s="6">
        <f t="shared" si="45"/>
        <v>1.3099999999999998</v>
      </c>
      <c r="M737" s="6">
        <f t="shared" si="46"/>
        <v>22.687755905511811</v>
      </c>
      <c r="N737" s="8">
        <f t="shared" si="47"/>
        <v>3.8019362485228259</v>
      </c>
    </row>
    <row r="738" spans="1:14" x14ac:dyDescent="0.45">
      <c r="A738" s="12">
        <v>45447</v>
      </c>
      <c r="B738" s="2" t="s">
        <v>35</v>
      </c>
      <c r="C738" s="2" t="s">
        <v>38</v>
      </c>
      <c r="D738" s="2" t="s">
        <v>41</v>
      </c>
      <c r="E738" s="2" t="s">
        <v>51</v>
      </c>
      <c r="F738" s="2">
        <v>56986</v>
      </c>
      <c r="G738" s="2">
        <v>1270</v>
      </c>
      <c r="H738" s="2">
        <v>1181.0999999999999</v>
      </c>
      <c r="I738" s="2">
        <v>13</v>
      </c>
      <c r="J738" s="2">
        <v>3679.26</v>
      </c>
      <c r="K738" s="4">
        <f t="shared" si="44"/>
        <v>2.2286175551889938E-2</v>
      </c>
      <c r="L738" s="6">
        <f t="shared" si="45"/>
        <v>0.92999999999999994</v>
      </c>
      <c r="M738" s="6">
        <f t="shared" si="46"/>
        <v>90.853846153846149</v>
      </c>
      <c r="N738" s="8">
        <f t="shared" si="47"/>
        <v>3.1151130302260608</v>
      </c>
    </row>
    <row r="739" spans="1:14" x14ac:dyDescent="0.45">
      <c r="A739" s="12">
        <v>45342</v>
      </c>
      <c r="B739" s="2" t="s">
        <v>35</v>
      </c>
      <c r="C739" s="2" t="s">
        <v>38</v>
      </c>
      <c r="D739" s="2" t="s">
        <v>29</v>
      </c>
      <c r="E739" s="2" t="s">
        <v>22</v>
      </c>
      <c r="F739" s="2">
        <v>148859</v>
      </c>
      <c r="G739" s="2">
        <v>3840</v>
      </c>
      <c r="H739" s="2">
        <v>6912</v>
      </c>
      <c r="I739" s="2">
        <v>250</v>
      </c>
      <c r="J739" s="2">
        <v>22027.39</v>
      </c>
      <c r="K739" s="4">
        <f t="shared" si="44"/>
        <v>2.5796223271686628E-2</v>
      </c>
      <c r="L739" s="6">
        <f t="shared" si="45"/>
        <v>1.8</v>
      </c>
      <c r="M739" s="6">
        <f t="shared" si="46"/>
        <v>27.648</v>
      </c>
      <c r="N739" s="8">
        <f t="shared" si="47"/>
        <v>3.1868330439814816</v>
      </c>
    </row>
    <row r="740" spans="1:14" x14ac:dyDescent="0.45">
      <c r="A740" s="12">
        <v>45507</v>
      </c>
      <c r="B740" s="2" t="s">
        <v>15</v>
      </c>
      <c r="C740" s="2" t="s">
        <v>16</v>
      </c>
      <c r="D740" s="2" t="s">
        <v>21</v>
      </c>
      <c r="E740" s="2" t="s">
        <v>26</v>
      </c>
      <c r="F740" s="2">
        <v>151900</v>
      </c>
      <c r="G740" s="2">
        <v>5270</v>
      </c>
      <c r="H740" s="2">
        <v>5849.7</v>
      </c>
      <c r="I740" s="2">
        <v>291</v>
      </c>
      <c r="J740" s="2">
        <v>47553.46</v>
      </c>
      <c r="K740" s="4">
        <f t="shared" si="44"/>
        <v>3.4693877551020408E-2</v>
      </c>
      <c r="L740" s="6">
        <f t="shared" si="45"/>
        <v>1.1099999999999999</v>
      </c>
      <c r="M740" s="6">
        <f t="shared" si="46"/>
        <v>20.102061855670101</v>
      </c>
      <c r="N740" s="8">
        <f t="shared" si="47"/>
        <v>8.1292134639383224</v>
      </c>
    </row>
    <row r="741" spans="1:14" x14ac:dyDescent="0.45">
      <c r="A741" s="12">
        <v>45573</v>
      </c>
      <c r="B741" s="2" t="s">
        <v>35</v>
      </c>
      <c r="C741" s="2" t="s">
        <v>28</v>
      </c>
      <c r="D741" s="2" t="s">
        <v>21</v>
      </c>
      <c r="E741" s="2" t="s">
        <v>18</v>
      </c>
      <c r="F741" s="2">
        <v>155555</v>
      </c>
      <c r="G741" s="2">
        <v>4588</v>
      </c>
      <c r="H741" s="2">
        <v>7111.4</v>
      </c>
      <c r="I741" s="2">
        <v>332</v>
      </c>
      <c r="J741" s="2">
        <v>12719.4</v>
      </c>
      <c r="K741" s="4">
        <f t="shared" si="44"/>
        <v>2.9494391051396611E-2</v>
      </c>
      <c r="L741" s="6">
        <f t="shared" si="45"/>
        <v>1.5499999999999998</v>
      </c>
      <c r="M741" s="6">
        <f t="shared" si="46"/>
        <v>21.419879518072289</v>
      </c>
      <c r="N741" s="8">
        <f t="shared" si="47"/>
        <v>1.7885929634108615</v>
      </c>
    </row>
    <row r="742" spans="1:14" x14ac:dyDescent="0.45">
      <c r="A742" s="12">
        <v>45576</v>
      </c>
      <c r="B742" s="2" t="s">
        <v>35</v>
      </c>
      <c r="C742" s="2" t="s">
        <v>38</v>
      </c>
      <c r="D742" s="2" t="s">
        <v>29</v>
      </c>
      <c r="E742" s="2" t="s">
        <v>30</v>
      </c>
      <c r="F742" s="2">
        <v>198979</v>
      </c>
      <c r="G742" s="2">
        <v>2089</v>
      </c>
      <c r="H742" s="2">
        <v>3551.3</v>
      </c>
      <c r="I742" s="2">
        <v>66</v>
      </c>
      <c r="J742" s="2">
        <v>7694.86</v>
      </c>
      <c r="K742" s="4">
        <f t="shared" si="44"/>
        <v>1.0498595329155338E-2</v>
      </c>
      <c r="L742" s="6">
        <f t="shared" si="45"/>
        <v>1.7000000000000002</v>
      </c>
      <c r="M742" s="6">
        <f t="shared" si="46"/>
        <v>53.807575757575762</v>
      </c>
      <c r="N742" s="8">
        <f t="shared" si="47"/>
        <v>2.16677273111255</v>
      </c>
    </row>
    <row r="743" spans="1:14" x14ac:dyDescent="0.45">
      <c r="A743" s="12">
        <v>45630</v>
      </c>
      <c r="B743" s="2" t="s">
        <v>35</v>
      </c>
      <c r="C743" s="2" t="s">
        <v>16</v>
      </c>
      <c r="D743" s="2" t="s">
        <v>41</v>
      </c>
      <c r="E743" s="2" t="s">
        <v>51</v>
      </c>
      <c r="F743" s="2">
        <v>186740</v>
      </c>
      <c r="G743" s="2">
        <v>4182</v>
      </c>
      <c r="H743" s="2">
        <v>2341.92</v>
      </c>
      <c r="I743" s="2">
        <v>47</v>
      </c>
      <c r="J743" s="2">
        <v>8643.08</v>
      </c>
      <c r="K743" s="4">
        <f t="shared" si="44"/>
        <v>2.2394773481846417E-2</v>
      </c>
      <c r="L743" s="6">
        <f t="shared" si="45"/>
        <v>0.56000000000000005</v>
      </c>
      <c r="M743" s="6">
        <f t="shared" si="46"/>
        <v>49.828085106382979</v>
      </c>
      <c r="N743" s="8">
        <f t="shared" si="47"/>
        <v>3.6905957504953197</v>
      </c>
    </row>
    <row r="744" spans="1:14" x14ac:dyDescent="0.45">
      <c r="A744" s="12">
        <v>45477</v>
      </c>
      <c r="B744" s="2" t="s">
        <v>15</v>
      </c>
      <c r="C744" s="2" t="s">
        <v>28</v>
      </c>
      <c r="D744" s="2" t="s">
        <v>17</v>
      </c>
      <c r="E744" s="2" t="s">
        <v>54</v>
      </c>
      <c r="F744" s="2">
        <v>126246</v>
      </c>
      <c r="G744" s="2">
        <v>4203</v>
      </c>
      <c r="H744" s="2">
        <v>8616.15</v>
      </c>
      <c r="I744" s="2">
        <v>290</v>
      </c>
      <c r="J744" s="2">
        <v>31939.46</v>
      </c>
      <c r="K744" s="4">
        <f t="shared" si="44"/>
        <v>3.3292143909510005E-2</v>
      </c>
      <c r="L744" s="6">
        <f t="shared" si="45"/>
        <v>2.0499999999999998</v>
      </c>
      <c r="M744" s="6">
        <f t="shared" si="46"/>
        <v>29.710862068965515</v>
      </c>
      <c r="N744" s="8">
        <f t="shared" si="47"/>
        <v>3.7069294290373311</v>
      </c>
    </row>
    <row r="745" spans="1:14" x14ac:dyDescent="0.45">
      <c r="A745" s="12">
        <v>45337</v>
      </c>
      <c r="B745" s="2" t="s">
        <v>15</v>
      </c>
      <c r="C745" s="2" t="s">
        <v>16</v>
      </c>
      <c r="D745" s="2" t="s">
        <v>17</v>
      </c>
      <c r="E745" s="2" t="s">
        <v>30</v>
      </c>
      <c r="F745" s="2">
        <v>30835</v>
      </c>
      <c r="G745" s="2">
        <v>925</v>
      </c>
      <c r="H745" s="2">
        <v>1813</v>
      </c>
      <c r="I745" s="2">
        <v>14</v>
      </c>
      <c r="J745" s="2">
        <v>3805.56</v>
      </c>
      <c r="K745" s="4">
        <f t="shared" si="44"/>
        <v>2.9998378466028864E-2</v>
      </c>
      <c r="L745" s="6">
        <f t="shared" si="45"/>
        <v>1.96</v>
      </c>
      <c r="M745" s="6">
        <f t="shared" si="46"/>
        <v>129.5</v>
      </c>
      <c r="N745" s="8">
        <f t="shared" si="47"/>
        <v>2.0990402647545503</v>
      </c>
    </row>
    <row r="746" spans="1:14" x14ac:dyDescent="0.45">
      <c r="A746" s="12">
        <v>45648</v>
      </c>
      <c r="B746" s="2" t="s">
        <v>20</v>
      </c>
      <c r="C746" s="2" t="s">
        <v>24</v>
      </c>
      <c r="D746" s="2" t="s">
        <v>21</v>
      </c>
      <c r="E746" s="2" t="s">
        <v>33</v>
      </c>
      <c r="F746" s="2">
        <v>112938</v>
      </c>
      <c r="G746" s="2">
        <v>3263</v>
      </c>
      <c r="H746" s="2">
        <v>1272.57</v>
      </c>
      <c r="I746" s="2">
        <v>80</v>
      </c>
      <c r="J746" s="2">
        <v>22895.07</v>
      </c>
      <c r="K746" s="4">
        <f t="shared" si="44"/>
        <v>2.8891958419663886E-2</v>
      </c>
      <c r="L746" s="6">
        <f t="shared" si="45"/>
        <v>0.38999999999999996</v>
      </c>
      <c r="M746" s="6">
        <f t="shared" si="46"/>
        <v>15.907124999999999</v>
      </c>
      <c r="N746" s="8">
        <f t="shared" si="47"/>
        <v>17.991206770550932</v>
      </c>
    </row>
    <row r="747" spans="1:14" x14ac:dyDescent="0.45">
      <c r="A747" s="12">
        <v>45642</v>
      </c>
      <c r="B747" s="2" t="s">
        <v>15</v>
      </c>
      <c r="C747" s="2" t="s">
        <v>38</v>
      </c>
      <c r="D747" s="2" t="s">
        <v>29</v>
      </c>
      <c r="E747" s="2" t="s">
        <v>33</v>
      </c>
      <c r="F747" s="2">
        <v>143573</v>
      </c>
      <c r="G747" s="2">
        <v>3474</v>
      </c>
      <c r="H747" s="2">
        <v>5662.62</v>
      </c>
      <c r="I747" s="2">
        <v>131</v>
      </c>
      <c r="J747" s="2">
        <v>11434.82</v>
      </c>
      <c r="K747" s="4">
        <f t="shared" si="44"/>
        <v>2.419675008532245E-2</v>
      </c>
      <c r="L747" s="6">
        <f t="shared" si="45"/>
        <v>1.63</v>
      </c>
      <c r="M747" s="6">
        <f t="shared" si="46"/>
        <v>43.22610687022901</v>
      </c>
      <c r="N747" s="8">
        <f t="shared" si="47"/>
        <v>2.0193514662823921</v>
      </c>
    </row>
    <row r="748" spans="1:14" x14ac:dyDescent="0.45">
      <c r="A748" s="12">
        <v>45487</v>
      </c>
      <c r="B748" s="2" t="s">
        <v>20</v>
      </c>
      <c r="C748" s="2" t="s">
        <v>38</v>
      </c>
      <c r="D748" s="2" t="s">
        <v>41</v>
      </c>
      <c r="E748" s="2" t="s">
        <v>33</v>
      </c>
      <c r="F748" s="2">
        <v>113621</v>
      </c>
      <c r="G748" s="2">
        <v>10112</v>
      </c>
      <c r="H748" s="2">
        <v>10010.879999999999</v>
      </c>
      <c r="I748" s="2">
        <v>472</v>
      </c>
      <c r="J748" s="2">
        <v>84899.73</v>
      </c>
      <c r="K748" s="4">
        <f t="shared" si="44"/>
        <v>8.8997632479911284E-2</v>
      </c>
      <c r="L748" s="6">
        <f t="shared" si="45"/>
        <v>0.98999999999999988</v>
      </c>
      <c r="M748" s="6">
        <f t="shared" si="46"/>
        <v>21.209491525423726</v>
      </c>
      <c r="N748" s="8">
        <f t="shared" si="47"/>
        <v>8.4807459484081313</v>
      </c>
    </row>
    <row r="749" spans="1:14" x14ac:dyDescent="0.45">
      <c r="A749" s="12">
        <v>45535</v>
      </c>
      <c r="B749" s="2" t="s">
        <v>35</v>
      </c>
      <c r="C749" s="2" t="s">
        <v>16</v>
      </c>
      <c r="D749" s="2" t="s">
        <v>25</v>
      </c>
      <c r="E749" s="2" t="s">
        <v>22</v>
      </c>
      <c r="F749" s="2">
        <v>125155</v>
      </c>
      <c r="G749" s="2">
        <v>5256</v>
      </c>
      <c r="H749" s="2">
        <v>5623.92</v>
      </c>
      <c r="I749" s="2">
        <v>247</v>
      </c>
      <c r="J749" s="2">
        <v>26802.91</v>
      </c>
      <c r="K749" s="4">
        <f t="shared" si="44"/>
        <v>4.1995925052934362E-2</v>
      </c>
      <c r="L749" s="6">
        <f t="shared" si="45"/>
        <v>1.07</v>
      </c>
      <c r="M749" s="6">
        <f t="shared" si="46"/>
        <v>22.768906882591093</v>
      </c>
      <c r="N749" s="8">
        <f t="shared" si="47"/>
        <v>4.7658768261283946</v>
      </c>
    </row>
    <row r="750" spans="1:14" x14ac:dyDescent="0.45">
      <c r="A750" s="12">
        <v>45469</v>
      </c>
      <c r="B750" s="2" t="s">
        <v>35</v>
      </c>
      <c r="C750" s="2" t="s">
        <v>28</v>
      </c>
      <c r="D750" s="2" t="s">
        <v>17</v>
      </c>
      <c r="E750" s="2" t="s">
        <v>26</v>
      </c>
      <c r="F750" s="2">
        <v>52940</v>
      </c>
      <c r="G750" s="2">
        <v>1281</v>
      </c>
      <c r="H750" s="2">
        <v>1921.5</v>
      </c>
      <c r="I750" s="2">
        <v>37</v>
      </c>
      <c r="J750" s="2">
        <v>8409.06</v>
      </c>
      <c r="K750" s="4">
        <f t="shared" si="44"/>
        <v>2.4197204382319606E-2</v>
      </c>
      <c r="L750" s="6">
        <f t="shared" si="45"/>
        <v>1.5</v>
      </c>
      <c r="M750" s="6">
        <f t="shared" si="46"/>
        <v>51.932432432432435</v>
      </c>
      <c r="N750" s="8">
        <f t="shared" si="47"/>
        <v>4.3762997658079623</v>
      </c>
    </row>
    <row r="751" spans="1:14" x14ac:dyDescent="0.45">
      <c r="A751" s="12">
        <v>45536</v>
      </c>
      <c r="B751" s="2" t="s">
        <v>20</v>
      </c>
      <c r="C751" s="2" t="s">
        <v>38</v>
      </c>
      <c r="D751" s="2" t="s">
        <v>29</v>
      </c>
      <c r="E751" s="2" t="s">
        <v>26</v>
      </c>
      <c r="F751" s="2">
        <v>106069</v>
      </c>
      <c r="G751" s="2">
        <v>3139</v>
      </c>
      <c r="H751" s="2">
        <v>1569.5</v>
      </c>
      <c r="I751" s="2">
        <v>78</v>
      </c>
      <c r="J751" s="2">
        <v>6648.74</v>
      </c>
      <c r="K751" s="4">
        <f t="shared" si="44"/>
        <v>2.9593943565037854E-2</v>
      </c>
      <c r="L751" s="6">
        <f t="shared" si="45"/>
        <v>0.5</v>
      </c>
      <c r="M751" s="6">
        <f t="shared" si="46"/>
        <v>20.121794871794872</v>
      </c>
      <c r="N751" s="8">
        <f t="shared" si="47"/>
        <v>4.2362153552086648</v>
      </c>
    </row>
    <row r="752" spans="1:14" x14ac:dyDescent="0.45">
      <c r="A752" s="12">
        <v>45375</v>
      </c>
      <c r="B752" s="2" t="s">
        <v>15</v>
      </c>
      <c r="C752" s="2" t="s">
        <v>24</v>
      </c>
      <c r="D752" s="2" t="s">
        <v>21</v>
      </c>
      <c r="E752" s="2" t="s">
        <v>33</v>
      </c>
      <c r="F752" s="2">
        <v>185523</v>
      </c>
      <c r="G752" s="2">
        <v>6029</v>
      </c>
      <c r="H752" s="2">
        <v>8320.02</v>
      </c>
      <c r="I752" s="2">
        <v>252</v>
      </c>
      <c r="J752" s="2">
        <v>12404.91</v>
      </c>
      <c r="K752" s="4">
        <f t="shared" si="44"/>
        <v>3.2497318391789695E-2</v>
      </c>
      <c r="L752" s="6">
        <f t="shared" si="45"/>
        <v>1.3800000000000001</v>
      </c>
      <c r="M752" s="6">
        <f t="shared" si="46"/>
        <v>33.015952380952385</v>
      </c>
      <c r="N752" s="8">
        <f t="shared" si="47"/>
        <v>1.4909711755500588</v>
      </c>
    </row>
    <row r="753" spans="1:14" x14ac:dyDescent="0.45">
      <c r="A753" s="12">
        <v>45607</v>
      </c>
      <c r="B753" s="2" t="s">
        <v>20</v>
      </c>
      <c r="C753" s="2" t="s">
        <v>28</v>
      </c>
      <c r="D753" s="2" t="s">
        <v>21</v>
      </c>
      <c r="E753" s="2" t="s">
        <v>51</v>
      </c>
      <c r="F753" s="2">
        <v>184969</v>
      </c>
      <c r="G753" s="2">
        <v>15407</v>
      </c>
      <c r="H753" s="2">
        <v>20645.38</v>
      </c>
      <c r="I753" s="2">
        <v>352</v>
      </c>
      <c r="J753" s="2">
        <v>52669.94</v>
      </c>
      <c r="K753" s="4">
        <f t="shared" si="44"/>
        <v>8.3295038628094439E-2</v>
      </c>
      <c r="L753" s="6">
        <f t="shared" si="45"/>
        <v>1.34</v>
      </c>
      <c r="M753" s="6">
        <f t="shared" si="46"/>
        <v>58.651647727272731</v>
      </c>
      <c r="N753" s="8">
        <f t="shared" si="47"/>
        <v>2.5511731922589944</v>
      </c>
    </row>
    <row r="754" spans="1:14" x14ac:dyDescent="0.45">
      <c r="A754" s="12">
        <v>45650</v>
      </c>
      <c r="B754" s="2" t="s">
        <v>15</v>
      </c>
      <c r="C754" s="2" t="s">
        <v>24</v>
      </c>
      <c r="D754" s="2" t="s">
        <v>25</v>
      </c>
      <c r="E754" s="2" t="s">
        <v>33</v>
      </c>
      <c r="F754" s="2">
        <v>118005</v>
      </c>
      <c r="G754" s="2">
        <v>5003</v>
      </c>
      <c r="H754" s="2">
        <v>9005.4</v>
      </c>
      <c r="I754" s="2">
        <v>63</v>
      </c>
      <c r="J754" s="2">
        <v>6740.12</v>
      </c>
      <c r="K754" s="4">
        <f t="shared" si="44"/>
        <v>4.2396508622515997E-2</v>
      </c>
      <c r="L754" s="6">
        <f t="shared" si="45"/>
        <v>1.7999999999999998</v>
      </c>
      <c r="M754" s="6">
        <f t="shared" si="46"/>
        <v>142.94285714285715</v>
      </c>
      <c r="N754" s="8">
        <f t="shared" si="47"/>
        <v>0.74845315033202298</v>
      </c>
    </row>
    <row r="755" spans="1:14" x14ac:dyDescent="0.45">
      <c r="A755" s="12">
        <v>45541</v>
      </c>
      <c r="B755" s="2" t="s">
        <v>15</v>
      </c>
      <c r="C755" s="2" t="s">
        <v>24</v>
      </c>
      <c r="D755" s="2" t="s">
        <v>29</v>
      </c>
      <c r="E755" s="2" t="s">
        <v>51</v>
      </c>
      <c r="F755" s="2">
        <v>47176</v>
      </c>
      <c r="G755" s="2">
        <v>1278</v>
      </c>
      <c r="H755" s="2">
        <v>1827.54</v>
      </c>
      <c r="I755" s="2">
        <v>62</v>
      </c>
      <c r="J755" s="2">
        <v>2278.75</v>
      </c>
      <c r="K755" s="4">
        <f t="shared" si="44"/>
        <v>2.7090045785992879E-2</v>
      </c>
      <c r="L755" s="6">
        <f t="shared" si="45"/>
        <v>1.43</v>
      </c>
      <c r="M755" s="6">
        <f t="shared" si="46"/>
        <v>29.476451612903226</v>
      </c>
      <c r="N755" s="8">
        <f t="shared" si="47"/>
        <v>1.2468947328102258</v>
      </c>
    </row>
    <row r="756" spans="1:14" x14ac:dyDescent="0.45">
      <c r="A756" s="12">
        <v>45636</v>
      </c>
      <c r="B756" s="2" t="s">
        <v>35</v>
      </c>
      <c r="C756" s="2" t="s">
        <v>24</v>
      </c>
      <c r="D756" s="2" t="s">
        <v>17</v>
      </c>
      <c r="E756" s="2" t="s">
        <v>22</v>
      </c>
      <c r="F756" s="2">
        <v>8512</v>
      </c>
      <c r="G756" s="2">
        <v>251</v>
      </c>
      <c r="H756" s="2">
        <v>160.63999999999999</v>
      </c>
      <c r="I756" s="2">
        <v>11</v>
      </c>
      <c r="J756" s="2">
        <v>1671.09</v>
      </c>
      <c r="K756" s="4">
        <f t="shared" si="44"/>
        <v>2.9487781954887219E-2</v>
      </c>
      <c r="L756" s="6">
        <f t="shared" si="45"/>
        <v>0.6399999999999999</v>
      </c>
      <c r="M756" s="6">
        <f t="shared" si="46"/>
        <v>14.603636363636362</v>
      </c>
      <c r="N756" s="8">
        <f t="shared" si="47"/>
        <v>10.402701693227092</v>
      </c>
    </row>
    <row r="757" spans="1:14" x14ac:dyDescent="0.45">
      <c r="A757" s="12">
        <v>45460</v>
      </c>
      <c r="B757" s="2" t="s">
        <v>35</v>
      </c>
      <c r="C757" s="2" t="s">
        <v>28</v>
      </c>
      <c r="D757" s="2" t="s">
        <v>21</v>
      </c>
      <c r="E757" s="2" t="s">
        <v>54</v>
      </c>
      <c r="F757" s="2">
        <v>83591</v>
      </c>
      <c r="G757" s="2">
        <v>2499</v>
      </c>
      <c r="H757" s="2">
        <v>4198.32</v>
      </c>
      <c r="I757" s="2">
        <v>84</v>
      </c>
      <c r="J757" s="2">
        <v>18620.43</v>
      </c>
      <c r="K757" s="4">
        <f t="shared" si="44"/>
        <v>2.9895562919453052E-2</v>
      </c>
      <c r="L757" s="6">
        <f t="shared" si="45"/>
        <v>1.68</v>
      </c>
      <c r="M757" s="6">
        <f t="shared" si="46"/>
        <v>49.98</v>
      </c>
      <c r="N757" s="8">
        <f t="shared" si="47"/>
        <v>4.4352097982049967</v>
      </c>
    </row>
    <row r="758" spans="1:14" x14ac:dyDescent="0.45">
      <c r="A758" s="12">
        <v>45468</v>
      </c>
      <c r="B758" s="2" t="s">
        <v>15</v>
      </c>
      <c r="C758" s="2" t="s">
        <v>16</v>
      </c>
      <c r="D758" s="2" t="s">
        <v>41</v>
      </c>
      <c r="E758" s="2" t="s">
        <v>18</v>
      </c>
      <c r="F758" s="2">
        <v>88323</v>
      </c>
      <c r="G758" s="2">
        <v>3965</v>
      </c>
      <c r="H758" s="2">
        <v>9357.4</v>
      </c>
      <c r="I758" s="2">
        <v>95</v>
      </c>
      <c r="J758" s="2">
        <v>8337.4</v>
      </c>
      <c r="K758" s="4">
        <f t="shared" si="44"/>
        <v>4.489204397495556E-2</v>
      </c>
      <c r="L758" s="6">
        <f t="shared" si="45"/>
        <v>2.36</v>
      </c>
      <c r="M758" s="6">
        <f t="shared" si="46"/>
        <v>98.498947368421042</v>
      </c>
      <c r="N758" s="8">
        <f t="shared" si="47"/>
        <v>0.89099536195951867</v>
      </c>
    </row>
    <row r="759" spans="1:14" x14ac:dyDescent="0.45">
      <c r="A759" s="12">
        <v>45624</v>
      </c>
      <c r="B759" s="2" t="s">
        <v>15</v>
      </c>
      <c r="C759" s="2" t="s">
        <v>24</v>
      </c>
      <c r="D759" s="2" t="s">
        <v>25</v>
      </c>
      <c r="E759" s="2" t="s">
        <v>30</v>
      </c>
      <c r="F759" s="2">
        <v>24755</v>
      </c>
      <c r="G759" s="2">
        <v>811</v>
      </c>
      <c r="H759" s="2">
        <v>2011.28</v>
      </c>
      <c r="I759" s="2">
        <v>8</v>
      </c>
      <c r="J759" s="2">
        <v>1786.84</v>
      </c>
      <c r="K759" s="4">
        <f t="shared" si="44"/>
        <v>3.2761058372046049E-2</v>
      </c>
      <c r="L759" s="6">
        <f t="shared" si="45"/>
        <v>2.48</v>
      </c>
      <c r="M759" s="6">
        <f t="shared" si="46"/>
        <v>251.41</v>
      </c>
      <c r="N759" s="8">
        <f t="shared" si="47"/>
        <v>0.88840937114673235</v>
      </c>
    </row>
    <row r="760" spans="1:14" x14ac:dyDescent="0.45">
      <c r="A760" s="12">
        <v>45355</v>
      </c>
      <c r="B760" s="2" t="s">
        <v>15</v>
      </c>
      <c r="C760" s="2" t="s">
        <v>24</v>
      </c>
      <c r="D760" s="2" t="s">
        <v>41</v>
      </c>
      <c r="E760" s="2" t="s">
        <v>18</v>
      </c>
      <c r="F760" s="2">
        <v>99410</v>
      </c>
      <c r="G760" s="2">
        <v>4195</v>
      </c>
      <c r="H760" s="2">
        <v>3481.85</v>
      </c>
      <c r="I760" s="2">
        <v>196</v>
      </c>
      <c r="J760" s="2">
        <v>56004.19</v>
      </c>
      <c r="K760" s="4">
        <f t="shared" si="44"/>
        <v>4.2198973946283073E-2</v>
      </c>
      <c r="L760" s="6">
        <f t="shared" si="45"/>
        <v>0.83</v>
      </c>
      <c r="M760" s="6">
        <f t="shared" si="46"/>
        <v>17.76454081632653</v>
      </c>
      <c r="N760" s="8">
        <f t="shared" si="47"/>
        <v>16.08460732082083</v>
      </c>
    </row>
    <row r="761" spans="1:14" x14ac:dyDescent="0.45">
      <c r="A761" s="12">
        <v>45303</v>
      </c>
      <c r="B761" s="2" t="s">
        <v>35</v>
      </c>
      <c r="C761" s="2" t="s">
        <v>24</v>
      </c>
      <c r="D761" s="2" t="s">
        <v>29</v>
      </c>
      <c r="E761" s="2" t="s">
        <v>54</v>
      </c>
      <c r="F761" s="2">
        <v>176250</v>
      </c>
      <c r="G761" s="2">
        <v>6204</v>
      </c>
      <c r="H761" s="2">
        <v>4032.6</v>
      </c>
      <c r="I761" s="2">
        <v>312</v>
      </c>
      <c r="J761" s="2">
        <v>84311.3</v>
      </c>
      <c r="K761" s="4">
        <f t="shared" si="44"/>
        <v>3.5200000000000002E-2</v>
      </c>
      <c r="L761" s="6">
        <f t="shared" si="45"/>
        <v>0.65</v>
      </c>
      <c r="M761" s="6">
        <f t="shared" si="46"/>
        <v>12.924999999999999</v>
      </c>
      <c r="N761" s="8">
        <f t="shared" si="47"/>
        <v>20.907429449982644</v>
      </c>
    </row>
    <row r="762" spans="1:14" x14ac:dyDescent="0.45">
      <c r="A762" s="12">
        <v>45295</v>
      </c>
      <c r="B762" s="2" t="s">
        <v>35</v>
      </c>
      <c r="C762" s="2" t="s">
        <v>28</v>
      </c>
      <c r="D762" s="2" t="s">
        <v>21</v>
      </c>
      <c r="E762" s="2" t="s">
        <v>22</v>
      </c>
      <c r="F762" s="2">
        <v>184729</v>
      </c>
      <c r="G762" s="2">
        <v>2586</v>
      </c>
      <c r="H762" s="2">
        <v>2327.4</v>
      </c>
      <c r="I762" s="2">
        <v>201</v>
      </c>
      <c r="J762" s="2">
        <v>16864.93</v>
      </c>
      <c r="K762" s="4">
        <f t="shared" si="44"/>
        <v>1.3998884852946749E-2</v>
      </c>
      <c r="L762" s="6">
        <f t="shared" si="45"/>
        <v>0.9</v>
      </c>
      <c r="M762" s="6">
        <f t="shared" si="46"/>
        <v>11.57910447761194</v>
      </c>
      <c r="N762" s="8">
        <f t="shared" si="47"/>
        <v>7.246253329896021</v>
      </c>
    </row>
    <row r="763" spans="1:14" x14ac:dyDescent="0.45">
      <c r="A763" s="12">
        <v>45307</v>
      </c>
      <c r="B763" s="2" t="s">
        <v>15</v>
      </c>
      <c r="C763" s="2" t="s">
        <v>16</v>
      </c>
      <c r="D763" s="2" t="s">
        <v>25</v>
      </c>
      <c r="E763" s="2" t="s">
        <v>22</v>
      </c>
      <c r="F763" s="2">
        <v>175381</v>
      </c>
      <c r="G763" s="2">
        <v>4226</v>
      </c>
      <c r="H763" s="2">
        <v>3845.66</v>
      </c>
      <c r="I763" s="2">
        <v>204</v>
      </c>
      <c r="J763" s="2">
        <v>11471.83</v>
      </c>
      <c r="K763" s="4">
        <f t="shared" si="44"/>
        <v>2.4096110753160264E-2</v>
      </c>
      <c r="L763" s="6">
        <f t="shared" si="45"/>
        <v>0.90999999999999992</v>
      </c>
      <c r="M763" s="6">
        <f t="shared" si="46"/>
        <v>18.851274509803922</v>
      </c>
      <c r="N763" s="8">
        <f t="shared" si="47"/>
        <v>2.9830588247530985</v>
      </c>
    </row>
    <row r="764" spans="1:14" x14ac:dyDescent="0.45">
      <c r="A764" s="12">
        <v>45594</v>
      </c>
      <c r="B764" s="2" t="s">
        <v>15</v>
      </c>
      <c r="C764" s="2" t="s">
        <v>24</v>
      </c>
      <c r="D764" s="2" t="s">
        <v>29</v>
      </c>
      <c r="E764" s="2" t="s">
        <v>22</v>
      </c>
      <c r="F764" s="2">
        <v>174741</v>
      </c>
      <c r="G764" s="2">
        <v>7129</v>
      </c>
      <c r="H764" s="2">
        <v>15469.93</v>
      </c>
      <c r="I764" s="2">
        <v>326</v>
      </c>
      <c r="J764" s="2">
        <v>58786.78</v>
      </c>
      <c r="K764" s="4">
        <f t="shared" si="44"/>
        <v>4.0797523191466227E-2</v>
      </c>
      <c r="L764" s="6">
        <f t="shared" si="45"/>
        <v>2.17</v>
      </c>
      <c r="M764" s="6">
        <f t="shared" si="46"/>
        <v>47.453773006134973</v>
      </c>
      <c r="N764" s="8">
        <f t="shared" si="47"/>
        <v>3.8000676150441532</v>
      </c>
    </row>
    <row r="765" spans="1:14" x14ac:dyDescent="0.45">
      <c r="A765" s="12">
        <v>45308</v>
      </c>
      <c r="B765" s="2" t="s">
        <v>35</v>
      </c>
      <c r="C765" s="2" t="s">
        <v>28</v>
      </c>
      <c r="D765" s="2" t="s">
        <v>41</v>
      </c>
      <c r="E765" s="2" t="s">
        <v>30</v>
      </c>
      <c r="F765" s="2">
        <v>62033</v>
      </c>
      <c r="G765" s="2">
        <v>2667</v>
      </c>
      <c r="H765" s="2">
        <v>2933.7</v>
      </c>
      <c r="I765" s="2">
        <v>135</v>
      </c>
      <c r="J765" s="2">
        <v>14288.2</v>
      </c>
      <c r="K765" s="4">
        <f t="shared" si="44"/>
        <v>4.2993245530604678E-2</v>
      </c>
      <c r="L765" s="6">
        <f t="shared" si="45"/>
        <v>1.0999999999999999</v>
      </c>
      <c r="M765" s="6">
        <f t="shared" si="46"/>
        <v>21.731111111111108</v>
      </c>
      <c r="N765" s="8">
        <f t="shared" si="47"/>
        <v>4.8703684766676902</v>
      </c>
    </row>
    <row r="766" spans="1:14" x14ac:dyDescent="0.45">
      <c r="A766" s="12">
        <v>45400</v>
      </c>
      <c r="B766" s="2" t="s">
        <v>20</v>
      </c>
      <c r="C766" s="2" t="s">
        <v>16</v>
      </c>
      <c r="D766" s="2" t="s">
        <v>17</v>
      </c>
      <c r="E766" s="2" t="s">
        <v>33</v>
      </c>
      <c r="F766" s="2">
        <v>6067</v>
      </c>
      <c r="G766" s="2">
        <v>201</v>
      </c>
      <c r="H766" s="2">
        <v>126.63</v>
      </c>
      <c r="I766" s="2">
        <v>12</v>
      </c>
      <c r="J766" s="2">
        <v>2449.2800000000002</v>
      </c>
      <c r="K766" s="4">
        <f t="shared" si="44"/>
        <v>3.3130047799571453E-2</v>
      </c>
      <c r="L766" s="6">
        <f t="shared" si="45"/>
        <v>0.63</v>
      </c>
      <c r="M766" s="6">
        <f t="shared" si="46"/>
        <v>10.5525</v>
      </c>
      <c r="N766" s="8">
        <f t="shared" si="47"/>
        <v>19.342020058437971</v>
      </c>
    </row>
    <row r="767" spans="1:14" x14ac:dyDescent="0.45">
      <c r="A767" s="12">
        <v>45449</v>
      </c>
      <c r="B767" s="2" t="s">
        <v>15</v>
      </c>
      <c r="C767" s="2" t="s">
        <v>16</v>
      </c>
      <c r="D767" s="2" t="s">
        <v>29</v>
      </c>
      <c r="E767" s="2" t="s">
        <v>18</v>
      </c>
      <c r="F767" s="2">
        <v>187941</v>
      </c>
      <c r="G767" s="2">
        <v>9303</v>
      </c>
      <c r="H767" s="2">
        <v>21675.99</v>
      </c>
      <c r="I767" s="2">
        <v>528</v>
      </c>
      <c r="J767" s="2">
        <v>92564.99</v>
      </c>
      <c r="K767" s="4">
        <f t="shared" si="44"/>
        <v>4.9499576994907979E-2</v>
      </c>
      <c r="L767" s="6">
        <f t="shared" si="45"/>
        <v>2.33</v>
      </c>
      <c r="M767" s="6">
        <f t="shared" si="46"/>
        <v>41.053011363636365</v>
      </c>
      <c r="N767" s="8">
        <f t="shared" si="47"/>
        <v>4.270392724853628</v>
      </c>
    </row>
    <row r="768" spans="1:14" x14ac:dyDescent="0.45">
      <c r="A768" s="12">
        <v>45588</v>
      </c>
      <c r="B768" s="2" t="s">
        <v>20</v>
      </c>
      <c r="C768" s="2" t="s">
        <v>28</v>
      </c>
      <c r="D768" s="2" t="s">
        <v>21</v>
      </c>
      <c r="E768" s="2" t="s">
        <v>18</v>
      </c>
      <c r="F768" s="2">
        <v>16094</v>
      </c>
      <c r="G768" s="2">
        <v>535</v>
      </c>
      <c r="H768" s="2">
        <v>968.35</v>
      </c>
      <c r="I768" s="2">
        <v>8</v>
      </c>
      <c r="J768" s="2">
        <v>469.8</v>
      </c>
      <c r="K768" s="4">
        <f t="shared" si="44"/>
        <v>3.3242202062880574E-2</v>
      </c>
      <c r="L768" s="6">
        <f t="shared" si="45"/>
        <v>1.81</v>
      </c>
      <c r="M768" s="6">
        <f t="shared" si="46"/>
        <v>121.04375</v>
      </c>
      <c r="N768" s="8">
        <f t="shared" si="47"/>
        <v>0.48515516084060517</v>
      </c>
    </row>
    <row r="769" spans="1:14" x14ac:dyDescent="0.45">
      <c r="A769" s="12">
        <v>45562</v>
      </c>
      <c r="B769" s="2" t="s">
        <v>35</v>
      </c>
      <c r="C769" s="2" t="s">
        <v>38</v>
      </c>
      <c r="D769" s="2" t="s">
        <v>21</v>
      </c>
      <c r="E769" s="2" t="s">
        <v>51</v>
      </c>
      <c r="F769" s="2">
        <v>8599</v>
      </c>
      <c r="G769" s="2">
        <v>258</v>
      </c>
      <c r="H769" s="2">
        <v>167.7</v>
      </c>
      <c r="I769" s="2">
        <v>6</v>
      </c>
      <c r="J769" s="2">
        <v>594.69000000000005</v>
      </c>
      <c r="K769" s="4">
        <f t="shared" si="44"/>
        <v>3.0003488777764858E-2</v>
      </c>
      <c r="L769" s="6">
        <f t="shared" si="45"/>
        <v>0.64999999999999991</v>
      </c>
      <c r="M769" s="6">
        <f t="shared" si="46"/>
        <v>27.95</v>
      </c>
      <c r="N769" s="8">
        <f t="shared" si="47"/>
        <v>3.5461538461538469</v>
      </c>
    </row>
    <row r="770" spans="1:14" x14ac:dyDescent="0.45">
      <c r="A770" s="12">
        <v>45298</v>
      </c>
      <c r="B770" s="2" t="s">
        <v>15</v>
      </c>
      <c r="C770" s="2" t="s">
        <v>24</v>
      </c>
      <c r="D770" s="2" t="s">
        <v>17</v>
      </c>
      <c r="E770" s="2" t="s">
        <v>18</v>
      </c>
      <c r="F770" s="2">
        <v>32476</v>
      </c>
      <c r="G770" s="2">
        <v>1136</v>
      </c>
      <c r="H770" s="2">
        <v>1863.04</v>
      </c>
      <c r="I770" s="2">
        <v>86</v>
      </c>
      <c r="J770" s="2">
        <v>21754.11</v>
      </c>
      <c r="K770" s="4">
        <f t="shared" si="44"/>
        <v>3.497967730016012E-2</v>
      </c>
      <c r="L770" s="6">
        <f t="shared" si="45"/>
        <v>1.64</v>
      </c>
      <c r="M770" s="6">
        <f t="shared" si="46"/>
        <v>21.663255813953487</v>
      </c>
      <c r="N770" s="8">
        <f t="shared" si="47"/>
        <v>11.676673608725524</v>
      </c>
    </row>
    <row r="771" spans="1:14" x14ac:dyDescent="0.45">
      <c r="A771" s="12">
        <v>45322</v>
      </c>
      <c r="B771" s="2" t="s">
        <v>15</v>
      </c>
      <c r="C771" s="2" t="s">
        <v>38</v>
      </c>
      <c r="D771" s="2" t="s">
        <v>17</v>
      </c>
      <c r="E771" s="2" t="s">
        <v>33</v>
      </c>
      <c r="F771" s="2">
        <v>64739</v>
      </c>
      <c r="G771" s="2">
        <v>1599</v>
      </c>
      <c r="H771" s="2">
        <v>5212.74</v>
      </c>
      <c r="I771" s="2">
        <v>109</v>
      </c>
      <c r="J771" s="2">
        <v>22723.24</v>
      </c>
      <c r="K771" s="4">
        <f t="shared" ref="K771:K834" si="48" xml:space="preserve"> G771 / F771</f>
        <v>2.4699176694110196E-2</v>
      </c>
      <c r="L771" s="6">
        <f t="shared" ref="L771:L834" si="49">H771/G771</f>
        <v>3.26</v>
      </c>
      <c r="M771" s="6">
        <f t="shared" ref="M771:M834" si="50">H771/I771</f>
        <v>47.823302752293579</v>
      </c>
      <c r="N771" s="8">
        <f t="shared" ref="N771:N834" si="51">J771/H771</f>
        <v>4.3591738701719258</v>
      </c>
    </row>
    <row r="772" spans="1:14" x14ac:dyDescent="0.45">
      <c r="A772" s="12">
        <v>45418</v>
      </c>
      <c r="B772" s="2" t="s">
        <v>15</v>
      </c>
      <c r="C772" s="2" t="s">
        <v>16</v>
      </c>
      <c r="D772" s="2" t="s">
        <v>21</v>
      </c>
      <c r="E772" s="2" t="s">
        <v>22</v>
      </c>
      <c r="F772" s="2">
        <v>51666</v>
      </c>
      <c r="G772" s="2">
        <v>2965</v>
      </c>
      <c r="H772" s="2">
        <v>8657.7999999999993</v>
      </c>
      <c r="I772" s="2">
        <v>80</v>
      </c>
      <c r="J772" s="2">
        <v>16836.59</v>
      </c>
      <c r="K772" s="4">
        <f t="shared" si="48"/>
        <v>5.7387837262416287E-2</v>
      </c>
      <c r="L772" s="6">
        <f t="shared" si="49"/>
        <v>2.92</v>
      </c>
      <c r="M772" s="6">
        <f t="shared" si="50"/>
        <v>108.2225</v>
      </c>
      <c r="N772" s="8">
        <f t="shared" si="51"/>
        <v>1.9446730116195803</v>
      </c>
    </row>
    <row r="773" spans="1:14" x14ac:dyDescent="0.45">
      <c r="A773" s="12">
        <v>45599</v>
      </c>
      <c r="B773" s="2" t="s">
        <v>35</v>
      </c>
      <c r="C773" s="2" t="s">
        <v>28</v>
      </c>
      <c r="D773" s="2" t="s">
        <v>29</v>
      </c>
      <c r="E773" s="2" t="s">
        <v>51</v>
      </c>
      <c r="F773" s="2">
        <v>39723</v>
      </c>
      <c r="G773" s="2">
        <v>1116</v>
      </c>
      <c r="H773" s="2">
        <v>1060.2</v>
      </c>
      <c r="I773" s="2">
        <v>14</v>
      </c>
      <c r="J773" s="2">
        <v>582.59</v>
      </c>
      <c r="K773" s="4">
        <f t="shared" si="48"/>
        <v>2.8094554791934144E-2</v>
      </c>
      <c r="L773" s="6">
        <f t="shared" si="49"/>
        <v>0.95000000000000007</v>
      </c>
      <c r="M773" s="6">
        <f t="shared" si="50"/>
        <v>75.728571428571428</v>
      </c>
      <c r="N773" s="8">
        <f t="shared" si="51"/>
        <v>0.54950952650443319</v>
      </c>
    </row>
    <row r="774" spans="1:14" x14ac:dyDescent="0.45">
      <c r="A774" s="12">
        <v>45638</v>
      </c>
      <c r="B774" s="2" t="s">
        <v>20</v>
      </c>
      <c r="C774" s="2" t="s">
        <v>16</v>
      </c>
      <c r="D774" s="2" t="s">
        <v>25</v>
      </c>
      <c r="E774" s="2" t="s">
        <v>33</v>
      </c>
      <c r="F774" s="2">
        <v>163984</v>
      </c>
      <c r="G774" s="2">
        <v>12971</v>
      </c>
      <c r="H774" s="2">
        <v>21791.279999999999</v>
      </c>
      <c r="I774" s="2">
        <v>962</v>
      </c>
      <c r="J774" s="2">
        <v>170813.74</v>
      </c>
      <c r="K774" s="4">
        <f t="shared" si="48"/>
        <v>7.9099180407844666E-2</v>
      </c>
      <c r="L774" s="6">
        <f t="shared" si="49"/>
        <v>1.68</v>
      </c>
      <c r="M774" s="6">
        <f t="shared" si="50"/>
        <v>22.652058212058211</v>
      </c>
      <c r="N774" s="8">
        <f t="shared" si="51"/>
        <v>7.8386281117951766</v>
      </c>
    </row>
    <row r="775" spans="1:14" x14ac:dyDescent="0.45">
      <c r="A775" s="12">
        <v>45301</v>
      </c>
      <c r="B775" s="2" t="s">
        <v>35</v>
      </c>
      <c r="C775" s="2" t="s">
        <v>24</v>
      </c>
      <c r="D775" s="2" t="s">
        <v>17</v>
      </c>
      <c r="E775" s="2" t="s">
        <v>54</v>
      </c>
      <c r="F775" s="2">
        <v>51698</v>
      </c>
      <c r="G775" s="2">
        <v>1307</v>
      </c>
      <c r="H775" s="2">
        <v>2561.7199999999998</v>
      </c>
      <c r="I775" s="2">
        <v>91</v>
      </c>
      <c r="J775" s="2">
        <v>15551.2</v>
      </c>
      <c r="K775" s="4">
        <f t="shared" si="48"/>
        <v>2.5281442222136252E-2</v>
      </c>
      <c r="L775" s="6">
        <f t="shared" si="49"/>
        <v>1.9599999999999997</v>
      </c>
      <c r="M775" s="6">
        <f t="shared" si="50"/>
        <v>28.150769230769228</v>
      </c>
      <c r="N775" s="8">
        <f t="shared" si="51"/>
        <v>6.0706088097059796</v>
      </c>
    </row>
    <row r="776" spans="1:14" x14ac:dyDescent="0.45">
      <c r="A776" s="12">
        <v>45338</v>
      </c>
      <c r="B776" s="2" t="s">
        <v>15</v>
      </c>
      <c r="C776" s="2" t="s">
        <v>28</v>
      </c>
      <c r="D776" s="2" t="s">
        <v>29</v>
      </c>
      <c r="E776" s="2" t="s">
        <v>18</v>
      </c>
      <c r="F776" s="2">
        <v>50206</v>
      </c>
      <c r="G776" s="2">
        <v>2399</v>
      </c>
      <c r="H776" s="2">
        <v>4845.9799999999996</v>
      </c>
      <c r="I776" s="2">
        <v>163</v>
      </c>
      <c r="J776" s="2">
        <v>5571.38</v>
      </c>
      <c r="K776" s="4">
        <f t="shared" si="48"/>
        <v>4.7783133490021112E-2</v>
      </c>
      <c r="L776" s="6">
        <f t="shared" si="49"/>
        <v>2.02</v>
      </c>
      <c r="M776" s="6">
        <f t="shared" si="50"/>
        <v>29.729938650306746</v>
      </c>
      <c r="N776" s="8">
        <f t="shared" si="51"/>
        <v>1.1496910841563523</v>
      </c>
    </row>
    <row r="777" spans="1:14" x14ac:dyDescent="0.45">
      <c r="A777" s="12">
        <v>45573</v>
      </c>
      <c r="B777" s="2" t="s">
        <v>15</v>
      </c>
      <c r="C777" s="2" t="s">
        <v>24</v>
      </c>
      <c r="D777" s="2" t="s">
        <v>17</v>
      </c>
      <c r="E777" s="2" t="s">
        <v>18</v>
      </c>
      <c r="F777" s="2">
        <v>194099</v>
      </c>
      <c r="G777" s="2">
        <v>4774</v>
      </c>
      <c r="H777" s="2">
        <v>11887.26</v>
      </c>
      <c r="I777" s="2">
        <v>134</v>
      </c>
      <c r="J777" s="2">
        <v>8446.2099999999991</v>
      </c>
      <c r="K777" s="4">
        <f t="shared" si="48"/>
        <v>2.4595696010798612E-2</v>
      </c>
      <c r="L777" s="6">
        <f t="shared" si="49"/>
        <v>2.4900000000000002</v>
      </c>
      <c r="M777" s="6">
        <f t="shared" si="50"/>
        <v>88.710895522388057</v>
      </c>
      <c r="N777" s="8">
        <f t="shared" si="51"/>
        <v>0.71052622723823644</v>
      </c>
    </row>
    <row r="778" spans="1:14" x14ac:dyDescent="0.45">
      <c r="A778" s="12">
        <v>45655</v>
      </c>
      <c r="B778" s="2" t="s">
        <v>20</v>
      </c>
      <c r="C778" s="2" t="s">
        <v>24</v>
      </c>
      <c r="D778" s="2" t="s">
        <v>41</v>
      </c>
      <c r="E778" s="2" t="s">
        <v>26</v>
      </c>
      <c r="F778" s="2">
        <v>11820</v>
      </c>
      <c r="G778" s="2">
        <v>366</v>
      </c>
      <c r="H778" s="2">
        <v>629.52</v>
      </c>
      <c r="I778" s="2">
        <v>12</v>
      </c>
      <c r="J778" s="2">
        <v>2301.9899999999998</v>
      </c>
      <c r="K778" s="4">
        <f t="shared" si="48"/>
        <v>3.0964467005076143E-2</v>
      </c>
      <c r="L778" s="6">
        <f t="shared" si="49"/>
        <v>1.72</v>
      </c>
      <c r="M778" s="6">
        <f t="shared" si="50"/>
        <v>52.46</v>
      </c>
      <c r="N778" s="8">
        <f t="shared" si="51"/>
        <v>3.656738467403736</v>
      </c>
    </row>
    <row r="779" spans="1:14" x14ac:dyDescent="0.45">
      <c r="A779" s="12">
        <v>45642</v>
      </c>
      <c r="B779" s="2" t="s">
        <v>20</v>
      </c>
      <c r="C779" s="2" t="s">
        <v>16</v>
      </c>
      <c r="D779" s="2" t="s">
        <v>29</v>
      </c>
      <c r="E779" s="2" t="s">
        <v>26</v>
      </c>
      <c r="F779" s="2">
        <v>56782</v>
      </c>
      <c r="G779" s="2">
        <v>3264</v>
      </c>
      <c r="H779" s="2">
        <v>2611.1999999999998</v>
      </c>
      <c r="I779" s="2">
        <v>154</v>
      </c>
      <c r="J779" s="2">
        <v>15749.58</v>
      </c>
      <c r="K779" s="4">
        <f t="shared" si="48"/>
        <v>5.7483005177697159E-2</v>
      </c>
      <c r="L779" s="6">
        <f t="shared" si="49"/>
        <v>0.79999999999999993</v>
      </c>
      <c r="M779" s="6">
        <f t="shared" si="50"/>
        <v>16.955844155844154</v>
      </c>
      <c r="N779" s="8">
        <f t="shared" si="51"/>
        <v>6.0315487132352947</v>
      </c>
    </row>
    <row r="780" spans="1:14" x14ac:dyDescent="0.45">
      <c r="A780" s="12">
        <v>45517</v>
      </c>
      <c r="B780" s="2" t="s">
        <v>20</v>
      </c>
      <c r="C780" s="2" t="s">
        <v>24</v>
      </c>
      <c r="D780" s="2" t="s">
        <v>29</v>
      </c>
      <c r="E780" s="2" t="s">
        <v>22</v>
      </c>
      <c r="F780" s="2">
        <v>191894</v>
      </c>
      <c r="G780" s="2">
        <v>7138</v>
      </c>
      <c r="H780" s="2">
        <v>5496.26</v>
      </c>
      <c r="I780" s="2">
        <v>380</v>
      </c>
      <c r="J780" s="2">
        <v>85112.1</v>
      </c>
      <c r="K780" s="4">
        <f t="shared" si="48"/>
        <v>3.7197619519109507E-2</v>
      </c>
      <c r="L780" s="6">
        <f t="shared" si="49"/>
        <v>0.77</v>
      </c>
      <c r="M780" s="6">
        <f t="shared" si="50"/>
        <v>14.463842105263158</v>
      </c>
      <c r="N780" s="8">
        <f t="shared" si="51"/>
        <v>15.485457383748223</v>
      </c>
    </row>
    <row r="781" spans="1:14" x14ac:dyDescent="0.45">
      <c r="A781" s="12">
        <v>45310</v>
      </c>
      <c r="B781" s="2" t="s">
        <v>15</v>
      </c>
      <c r="C781" s="2" t="s">
        <v>28</v>
      </c>
      <c r="D781" s="2" t="s">
        <v>17</v>
      </c>
      <c r="E781" s="2" t="s">
        <v>22</v>
      </c>
      <c r="F781" s="2">
        <v>55075</v>
      </c>
      <c r="G781" s="2">
        <v>3056</v>
      </c>
      <c r="H781" s="2">
        <v>7212.16</v>
      </c>
      <c r="I781" s="2">
        <v>156</v>
      </c>
      <c r="J781" s="2">
        <v>5145.3100000000004</v>
      </c>
      <c r="K781" s="4">
        <f t="shared" si="48"/>
        <v>5.5487970948706312E-2</v>
      </c>
      <c r="L781" s="6">
        <f t="shared" si="49"/>
        <v>2.36</v>
      </c>
      <c r="M781" s="6">
        <f t="shared" si="50"/>
        <v>46.231794871794868</v>
      </c>
      <c r="N781" s="8">
        <f t="shared" si="51"/>
        <v>0.7134214992457184</v>
      </c>
    </row>
    <row r="782" spans="1:14" x14ac:dyDescent="0.45">
      <c r="A782" s="12">
        <v>45410</v>
      </c>
      <c r="B782" s="2" t="s">
        <v>15</v>
      </c>
      <c r="C782" s="2" t="s">
        <v>28</v>
      </c>
      <c r="D782" s="2" t="s">
        <v>21</v>
      </c>
      <c r="E782" s="2" t="s">
        <v>51</v>
      </c>
      <c r="F782" s="2">
        <v>81830</v>
      </c>
      <c r="G782" s="2">
        <v>4091</v>
      </c>
      <c r="H782" s="2">
        <v>5931.95</v>
      </c>
      <c r="I782" s="2">
        <v>49</v>
      </c>
      <c r="J782" s="2">
        <v>7206.83</v>
      </c>
      <c r="K782" s="4">
        <f t="shared" si="48"/>
        <v>4.9993889771477451E-2</v>
      </c>
      <c r="L782" s="6">
        <f t="shared" si="49"/>
        <v>1.45</v>
      </c>
      <c r="M782" s="6">
        <f t="shared" si="50"/>
        <v>121.06020408163265</v>
      </c>
      <c r="N782" s="8">
        <f t="shared" si="51"/>
        <v>1.2149175229056213</v>
      </c>
    </row>
    <row r="783" spans="1:14" x14ac:dyDescent="0.45">
      <c r="A783" s="12">
        <v>45643</v>
      </c>
      <c r="B783" s="2" t="s">
        <v>35</v>
      </c>
      <c r="C783" s="2" t="s">
        <v>16</v>
      </c>
      <c r="D783" s="2" t="s">
        <v>21</v>
      </c>
      <c r="E783" s="2" t="s">
        <v>26</v>
      </c>
      <c r="F783" s="2">
        <v>87911</v>
      </c>
      <c r="G783" s="2">
        <v>1116</v>
      </c>
      <c r="H783" s="2">
        <v>535.67999999999995</v>
      </c>
      <c r="I783" s="2">
        <v>61</v>
      </c>
      <c r="J783" s="2">
        <v>16688.84</v>
      </c>
      <c r="K783" s="4">
        <f t="shared" si="48"/>
        <v>1.2694657096381567E-2</v>
      </c>
      <c r="L783" s="6">
        <f t="shared" si="49"/>
        <v>0.48</v>
      </c>
      <c r="M783" s="6">
        <f t="shared" si="50"/>
        <v>8.7816393442622935</v>
      </c>
      <c r="N783" s="8">
        <f t="shared" si="51"/>
        <v>31.154495221027481</v>
      </c>
    </row>
    <row r="784" spans="1:14" x14ac:dyDescent="0.45">
      <c r="A784" s="12">
        <v>45550</v>
      </c>
      <c r="B784" s="2" t="s">
        <v>35</v>
      </c>
      <c r="C784" s="2" t="s">
        <v>16</v>
      </c>
      <c r="D784" s="2" t="s">
        <v>29</v>
      </c>
      <c r="E784" s="2" t="s">
        <v>33</v>
      </c>
      <c r="F784" s="2">
        <v>9521</v>
      </c>
      <c r="G784" s="2">
        <v>237</v>
      </c>
      <c r="H784" s="2">
        <v>419.49</v>
      </c>
      <c r="I784" s="2">
        <v>17</v>
      </c>
      <c r="J784" s="2">
        <v>1502.31</v>
      </c>
      <c r="K784" s="4">
        <f t="shared" si="48"/>
        <v>2.4892343241256172E-2</v>
      </c>
      <c r="L784" s="6">
        <f t="shared" si="49"/>
        <v>1.77</v>
      </c>
      <c r="M784" s="6">
        <f t="shared" si="50"/>
        <v>24.675882352941176</v>
      </c>
      <c r="N784" s="8">
        <f t="shared" si="51"/>
        <v>3.5812772652506615</v>
      </c>
    </row>
    <row r="785" spans="1:14" x14ac:dyDescent="0.45">
      <c r="A785" s="12">
        <v>45396</v>
      </c>
      <c r="B785" s="2" t="s">
        <v>20</v>
      </c>
      <c r="C785" s="2" t="s">
        <v>16</v>
      </c>
      <c r="D785" s="2" t="s">
        <v>41</v>
      </c>
      <c r="E785" s="2" t="s">
        <v>22</v>
      </c>
      <c r="F785" s="2">
        <v>88115</v>
      </c>
      <c r="G785" s="2">
        <v>5383</v>
      </c>
      <c r="H785" s="2">
        <v>3660.44</v>
      </c>
      <c r="I785" s="2">
        <v>121</v>
      </c>
      <c r="J785" s="2">
        <v>28357.39</v>
      </c>
      <c r="K785" s="4">
        <f t="shared" si="48"/>
        <v>6.1090620212222661E-2</v>
      </c>
      <c r="L785" s="6">
        <f t="shared" si="49"/>
        <v>0.68</v>
      </c>
      <c r="M785" s="6">
        <f t="shared" si="50"/>
        <v>30.251570247933884</v>
      </c>
      <c r="N785" s="8">
        <f t="shared" si="51"/>
        <v>7.7469894329643427</v>
      </c>
    </row>
    <row r="786" spans="1:14" x14ac:dyDescent="0.45">
      <c r="A786" s="12">
        <v>45467</v>
      </c>
      <c r="B786" s="2" t="s">
        <v>15</v>
      </c>
      <c r="C786" s="2" t="s">
        <v>28</v>
      </c>
      <c r="D786" s="2" t="s">
        <v>41</v>
      </c>
      <c r="E786" s="2" t="s">
        <v>30</v>
      </c>
      <c r="F786" s="2">
        <v>184030</v>
      </c>
      <c r="G786" s="2">
        <v>5649</v>
      </c>
      <c r="H786" s="2">
        <v>12597.27</v>
      </c>
      <c r="I786" s="2">
        <v>90</v>
      </c>
      <c r="J786" s="2">
        <v>23192.98</v>
      </c>
      <c r="K786" s="4">
        <f t="shared" si="48"/>
        <v>3.0696082160517307E-2</v>
      </c>
      <c r="L786" s="6">
        <f t="shared" si="49"/>
        <v>2.23</v>
      </c>
      <c r="M786" s="6">
        <f t="shared" si="50"/>
        <v>139.96966666666668</v>
      </c>
      <c r="N786" s="8">
        <f t="shared" si="51"/>
        <v>1.8411116059273158</v>
      </c>
    </row>
    <row r="787" spans="1:14" x14ac:dyDescent="0.45">
      <c r="A787" s="12">
        <v>45525</v>
      </c>
      <c r="B787" s="2" t="s">
        <v>35</v>
      </c>
      <c r="C787" s="2" t="s">
        <v>24</v>
      </c>
      <c r="D787" s="2" t="s">
        <v>21</v>
      </c>
      <c r="E787" s="2" t="s">
        <v>22</v>
      </c>
      <c r="F787" s="2">
        <v>151729</v>
      </c>
      <c r="G787" s="2">
        <v>4491</v>
      </c>
      <c r="H787" s="2">
        <v>8308.35</v>
      </c>
      <c r="I787" s="2">
        <v>228</v>
      </c>
      <c r="J787" s="2">
        <v>48165.440000000002</v>
      </c>
      <c r="K787" s="4">
        <f t="shared" si="48"/>
        <v>2.9598824219496604E-2</v>
      </c>
      <c r="L787" s="6">
        <f t="shared" si="49"/>
        <v>1.85</v>
      </c>
      <c r="M787" s="6">
        <f t="shared" si="50"/>
        <v>36.440131578947373</v>
      </c>
      <c r="N787" s="8">
        <f t="shared" si="51"/>
        <v>5.7972329042469326</v>
      </c>
    </row>
    <row r="788" spans="1:14" x14ac:dyDescent="0.45">
      <c r="A788" s="12">
        <v>45346</v>
      </c>
      <c r="B788" s="2" t="s">
        <v>20</v>
      </c>
      <c r="C788" s="2" t="s">
        <v>24</v>
      </c>
      <c r="D788" s="2" t="s">
        <v>29</v>
      </c>
      <c r="E788" s="2" t="s">
        <v>51</v>
      </c>
      <c r="F788" s="2">
        <v>68176</v>
      </c>
      <c r="G788" s="2">
        <v>2679</v>
      </c>
      <c r="H788" s="2">
        <v>3321.96</v>
      </c>
      <c r="I788" s="2">
        <v>173</v>
      </c>
      <c r="J788" s="2">
        <v>19288.91</v>
      </c>
      <c r="K788" s="4">
        <f t="shared" si="48"/>
        <v>3.9295353203473361E-2</v>
      </c>
      <c r="L788" s="6">
        <f t="shared" si="49"/>
        <v>1.24</v>
      </c>
      <c r="M788" s="6">
        <f t="shared" si="50"/>
        <v>19.20208092485549</v>
      </c>
      <c r="N788" s="8">
        <f t="shared" si="51"/>
        <v>5.8064847258847188</v>
      </c>
    </row>
    <row r="789" spans="1:14" x14ac:dyDescent="0.45">
      <c r="A789" s="12">
        <v>45577</v>
      </c>
      <c r="B789" s="2" t="s">
        <v>35</v>
      </c>
      <c r="C789" s="2" t="s">
        <v>28</v>
      </c>
      <c r="D789" s="2" t="s">
        <v>25</v>
      </c>
      <c r="E789" s="2" t="s">
        <v>18</v>
      </c>
      <c r="F789" s="2">
        <v>160136</v>
      </c>
      <c r="G789" s="2">
        <v>6581</v>
      </c>
      <c r="H789" s="2">
        <v>2632.4</v>
      </c>
      <c r="I789" s="2">
        <v>393</v>
      </c>
      <c r="J789" s="2">
        <v>81942.570000000007</v>
      </c>
      <c r="K789" s="4">
        <f t="shared" si="48"/>
        <v>4.1096318129589846E-2</v>
      </c>
      <c r="L789" s="6">
        <f t="shared" si="49"/>
        <v>0.4</v>
      </c>
      <c r="M789" s="6">
        <f t="shared" si="50"/>
        <v>6.6982188295165397</v>
      </c>
      <c r="N789" s="8">
        <f t="shared" si="51"/>
        <v>31.12846451907005</v>
      </c>
    </row>
    <row r="790" spans="1:14" x14ac:dyDescent="0.45">
      <c r="A790" s="12">
        <v>45404</v>
      </c>
      <c r="B790" s="2" t="s">
        <v>15</v>
      </c>
      <c r="C790" s="2" t="s">
        <v>24</v>
      </c>
      <c r="D790" s="2" t="s">
        <v>25</v>
      </c>
      <c r="E790" s="2" t="s">
        <v>33</v>
      </c>
      <c r="F790" s="2">
        <v>164504</v>
      </c>
      <c r="G790" s="2">
        <v>3322</v>
      </c>
      <c r="H790" s="2">
        <v>6876.54</v>
      </c>
      <c r="I790" s="2">
        <v>96</v>
      </c>
      <c r="J790" s="2">
        <v>10570.76</v>
      </c>
      <c r="K790" s="4">
        <f t="shared" si="48"/>
        <v>2.0194037834946263E-2</v>
      </c>
      <c r="L790" s="6">
        <f t="shared" si="49"/>
        <v>2.0699999999999998</v>
      </c>
      <c r="M790" s="6">
        <f t="shared" si="50"/>
        <v>71.630624999999995</v>
      </c>
      <c r="N790" s="8">
        <f t="shared" si="51"/>
        <v>1.5372207534603159</v>
      </c>
    </row>
    <row r="791" spans="1:14" x14ac:dyDescent="0.45">
      <c r="A791" s="12">
        <v>45402</v>
      </c>
      <c r="B791" s="2" t="s">
        <v>20</v>
      </c>
      <c r="C791" s="2" t="s">
        <v>38</v>
      </c>
      <c r="D791" s="2" t="s">
        <v>25</v>
      </c>
      <c r="E791" s="2" t="s">
        <v>54</v>
      </c>
      <c r="F791" s="2">
        <v>111399</v>
      </c>
      <c r="G791" s="2">
        <v>4155</v>
      </c>
      <c r="H791" s="2">
        <v>5069.1000000000004</v>
      </c>
      <c r="I791" s="2">
        <v>176</v>
      </c>
      <c r="J791" s="2">
        <v>18559.099999999999</v>
      </c>
      <c r="K791" s="4">
        <f t="shared" si="48"/>
        <v>3.7298359949371182E-2</v>
      </c>
      <c r="L791" s="6">
        <f t="shared" si="49"/>
        <v>1.2200000000000002</v>
      </c>
      <c r="M791" s="6">
        <f t="shared" si="50"/>
        <v>28.801704545454548</v>
      </c>
      <c r="N791" s="8">
        <f t="shared" si="51"/>
        <v>3.6612219131601265</v>
      </c>
    </row>
    <row r="792" spans="1:14" x14ac:dyDescent="0.45">
      <c r="A792" s="12">
        <v>45502</v>
      </c>
      <c r="B792" s="2" t="s">
        <v>15</v>
      </c>
      <c r="C792" s="2" t="s">
        <v>16</v>
      </c>
      <c r="D792" s="2" t="s">
        <v>41</v>
      </c>
      <c r="E792" s="2" t="s">
        <v>30</v>
      </c>
      <c r="F792" s="2">
        <v>135011</v>
      </c>
      <c r="G792" s="2">
        <v>3496</v>
      </c>
      <c r="H792" s="2">
        <v>6607.44</v>
      </c>
      <c r="I792" s="2">
        <v>254</v>
      </c>
      <c r="J792" s="2">
        <v>69461.440000000002</v>
      </c>
      <c r="K792" s="4">
        <f t="shared" si="48"/>
        <v>2.5894186399626696E-2</v>
      </c>
      <c r="L792" s="6">
        <f t="shared" si="49"/>
        <v>1.89</v>
      </c>
      <c r="M792" s="6">
        <f t="shared" si="50"/>
        <v>26.013543307086614</v>
      </c>
      <c r="N792" s="8">
        <f t="shared" si="51"/>
        <v>10.51261002748417</v>
      </c>
    </row>
    <row r="793" spans="1:14" x14ac:dyDescent="0.45">
      <c r="A793" s="12">
        <v>45508</v>
      </c>
      <c r="B793" s="2" t="s">
        <v>15</v>
      </c>
      <c r="C793" s="2" t="s">
        <v>38</v>
      </c>
      <c r="D793" s="2" t="s">
        <v>25</v>
      </c>
      <c r="E793" s="2" t="s">
        <v>26</v>
      </c>
      <c r="F793" s="2">
        <v>24359</v>
      </c>
      <c r="G793" s="2">
        <v>1461</v>
      </c>
      <c r="H793" s="2">
        <v>3418.74</v>
      </c>
      <c r="I793" s="2">
        <v>35</v>
      </c>
      <c r="J793" s="2">
        <v>4110.3900000000003</v>
      </c>
      <c r="K793" s="4">
        <f t="shared" si="48"/>
        <v>5.9977831602282525E-2</v>
      </c>
      <c r="L793" s="6">
        <f t="shared" si="49"/>
        <v>2.34</v>
      </c>
      <c r="M793" s="6">
        <f t="shared" si="50"/>
        <v>97.678285714285707</v>
      </c>
      <c r="N793" s="8">
        <f t="shared" si="51"/>
        <v>1.2023113778760597</v>
      </c>
    </row>
    <row r="794" spans="1:14" x14ac:dyDescent="0.45">
      <c r="A794" s="12">
        <v>45435</v>
      </c>
      <c r="B794" s="2" t="s">
        <v>35</v>
      </c>
      <c r="C794" s="2" t="s">
        <v>28</v>
      </c>
      <c r="D794" s="2" t="s">
        <v>25</v>
      </c>
      <c r="E794" s="2" t="s">
        <v>22</v>
      </c>
      <c r="F794" s="2">
        <v>130611</v>
      </c>
      <c r="G794" s="2">
        <v>2207</v>
      </c>
      <c r="H794" s="2">
        <v>1611.11</v>
      </c>
      <c r="I794" s="2">
        <v>44</v>
      </c>
      <c r="J794" s="2">
        <v>9567.41</v>
      </c>
      <c r="K794" s="4">
        <f t="shared" si="48"/>
        <v>1.6897504804342666E-2</v>
      </c>
      <c r="L794" s="6">
        <f t="shared" si="49"/>
        <v>0.73</v>
      </c>
      <c r="M794" s="6">
        <f t="shared" si="50"/>
        <v>36.616136363636365</v>
      </c>
      <c r="N794" s="8">
        <f t="shared" si="51"/>
        <v>5.9383965092389719</v>
      </c>
    </row>
    <row r="795" spans="1:14" x14ac:dyDescent="0.45">
      <c r="A795" s="12">
        <v>45629</v>
      </c>
      <c r="B795" s="2" t="s">
        <v>20</v>
      </c>
      <c r="C795" s="2" t="s">
        <v>16</v>
      </c>
      <c r="D795" s="2" t="s">
        <v>29</v>
      </c>
      <c r="E795" s="2" t="s">
        <v>22</v>
      </c>
      <c r="F795" s="2">
        <v>156601</v>
      </c>
      <c r="G795" s="2">
        <v>8628</v>
      </c>
      <c r="H795" s="2">
        <v>2674.68</v>
      </c>
      <c r="I795" s="2">
        <v>362</v>
      </c>
      <c r="J795" s="2">
        <v>23745.71</v>
      </c>
      <c r="K795" s="4">
        <f t="shared" si="48"/>
        <v>5.50954336179207E-2</v>
      </c>
      <c r="L795" s="6">
        <f t="shared" si="49"/>
        <v>0.31</v>
      </c>
      <c r="M795" s="6">
        <f t="shared" si="50"/>
        <v>7.3886187845303866</v>
      </c>
      <c r="N795" s="8">
        <f t="shared" si="51"/>
        <v>8.8779629712713302</v>
      </c>
    </row>
    <row r="796" spans="1:14" x14ac:dyDescent="0.45">
      <c r="A796" s="12">
        <v>45625</v>
      </c>
      <c r="B796" s="2" t="s">
        <v>35</v>
      </c>
      <c r="C796" s="2" t="s">
        <v>16</v>
      </c>
      <c r="D796" s="2" t="s">
        <v>29</v>
      </c>
      <c r="E796" s="2" t="s">
        <v>30</v>
      </c>
      <c r="F796" s="2">
        <v>172967</v>
      </c>
      <c r="G796" s="2">
        <v>5016</v>
      </c>
      <c r="H796" s="2">
        <v>10433.280000000001</v>
      </c>
      <c r="I796" s="2">
        <v>331</v>
      </c>
      <c r="J796" s="2">
        <v>75767.62</v>
      </c>
      <c r="K796" s="4">
        <f t="shared" si="48"/>
        <v>2.899975139766545E-2</v>
      </c>
      <c r="L796" s="6">
        <f t="shared" si="49"/>
        <v>2.08</v>
      </c>
      <c r="M796" s="6">
        <f t="shared" si="50"/>
        <v>31.520483383685804</v>
      </c>
      <c r="N796" s="8">
        <f t="shared" si="51"/>
        <v>7.2621093270764314</v>
      </c>
    </row>
    <row r="797" spans="1:14" x14ac:dyDescent="0.45">
      <c r="A797" s="12">
        <v>45395</v>
      </c>
      <c r="B797" s="2" t="s">
        <v>15</v>
      </c>
      <c r="C797" s="2" t="s">
        <v>28</v>
      </c>
      <c r="D797" s="2" t="s">
        <v>29</v>
      </c>
      <c r="E797" s="2" t="s">
        <v>33</v>
      </c>
      <c r="F797" s="2">
        <v>165104</v>
      </c>
      <c r="G797" s="2">
        <v>7958</v>
      </c>
      <c r="H797" s="2">
        <v>24590.22</v>
      </c>
      <c r="I797" s="2">
        <v>105</v>
      </c>
      <c r="J797" s="2">
        <v>29946.1</v>
      </c>
      <c r="K797" s="4">
        <f t="shared" si="48"/>
        <v>4.8199922473107858E-2</v>
      </c>
      <c r="L797" s="6">
        <f t="shared" si="49"/>
        <v>3.0900000000000003</v>
      </c>
      <c r="M797" s="6">
        <f t="shared" si="50"/>
        <v>234.19257142857143</v>
      </c>
      <c r="N797" s="8">
        <f t="shared" si="51"/>
        <v>1.2178052900706051</v>
      </c>
    </row>
    <row r="798" spans="1:14" x14ac:dyDescent="0.45">
      <c r="A798" s="12">
        <v>45308</v>
      </c>
      <c r="B798" s="2" t="s">
        <v>15</v>
      </c>
      <c r="C798" s="2" t="s">
        <v>24</v>
      </c>
      <c r="D798" s="2" t="s">
        <v>17</v>
      </c>
      <c r="E798" s="2" t="s">
        <v>33</v>
      </c>
      <c r="F798" s="2">
        <v>49109</v>
      </c>
      <c r="G798" s="2">
        <v>1203</v>
      </c>
      <c r="H798" s="2">
        <v>3921.78</v>
      </c>
      <c r="I798" s="2">
        <v>25</v>
      </c>
      <c r="J798" s="2">
        <v>4734.6099999999997</v>
      </c>
      <c r="K798" s="4">
        <f t="shared" si="48"/>
        <v>2.4496528131299763E-2</v>
      </c>
      <c r="L798" s="6">
        <f t="shared" si="49"/>
        <v>3.2600000000000002</v>
      </c>
      <c r="M798" s="6">
        <f t="shared" si="50"/>
        <v>156.87120000000002</v>
      </c>
      <c r="N798" s="8">
        <f t="shared" si="51"/>
        <v>1.2072604786602001</v>
      </c>
    </row>
    <row r="799" spans="1:14" x14ac:dyDescent="0.45">
      <c r="A799" s="12">
        <v>45651</v>
      </c>
      <c r="B799" s="2" t="s">
        <v>35</v>
      </c>
      <c r="C799" s="2" t="s">
        <v>28</v>
      </c>
      <c r="D799" s="2" t="s">
        <v>29</v>
      </c>
      <c r="E799" s="2" t="s">
        <v>22</v>
      </c>
      <c r="F799" s="2">
        <v>46291</v>
      </c>
      <c r="G799" s="2">
        <v>1976</v>
      </c>
      <c r="H799" s="2">
        <v>1442.48</v>
      </c>
      <c r="I799" s="2">
        <v>74</v>
      </c>
      <c r="J799" s="2">
        <v>2307.39</v>
      </c>
      <c r="K799" s="4">
        <f t="shared" si="48"/>
        <v>4.2686483333693376E-2</v>
      </c>
      <c r="L799" s="6">
        <f t="shared" si="49"/>
        <v>0.73</v>
      </c>
      <c r="M799" s="6">
        <f t="shared" si="50"/>
        <v>19.492972972972971</v>
      </c>
      <c r="N799" s="8">
        <f t="shared" si="51"/>
        <v>1.5995993012034828</v>
      </c>
    </row>
    <row r="800" spans="1:14" x14ac:dyDescent="0.45">
      <c r="A800" s="12">
        <v>45506</v>
      </c>
      <c r="B800" s="2" t="s">
        <v>15</v>
      </c>
      <c r="C800" s="2" t="s">
        <v>24</v>
      </c>
      <c r="D800" s="2" t="s">
        <v>17</v>
      </c>
      <c r="E800" s="2" t="s">
        <v>30</v>
      </c>
      <c r="F800" s="2">
        <v>33750</v>
      </c>
      <c r="G800" s="2">
        <v>1410</v>
      </c>
      <c r="H800" s="2">
        <v>2693.1</v>
      </c>
      <c r="I800" s="2">
        <v>106</v>
      </c>
      <c r="J800" s="2">
        <v>5682.79</v>
      </c>
      <c r="K800" s="4">
        <f t="shared" si="48"/>
        <v>4.1777777777777775E-2</v>
      </c>
      <c r="L800" s="6">
        <f t="shared" si="49"/>
        <v>1.91</v>
      </c>
      <c r="M800" s="6">
        <f t="shared" si="50"/>
        <v>25.406603773584905</v>
      </c>
      <c r="N800" s="8">
        <f t="shared" si="51"/>
        <v>2.110129590434815</v>
      </c>
    </row>
    <row r="801" spans="1:14" x14ac:dyDescent="0.45">
      <c r="A801" s="12">
        <v>45317</v>
      </c>
      <c r="B801" s="2" t="s">
        <v>35</v>
      </c>
      <c r="C801" s="2" t="s">
        <v>16</v>
      </c>
      <c r="D801" s="2" t="s">
        <v>25</v>
      </c>
      <c r="E801" s="2" t="s">
        <v>26</v>
      </c>
      <c r="F801" s="2">
        <v>177593</v>
      </c>
      <c r="G801" s="2">
        <v>1811</v>
      </c>
      <c r="H801" s="2">
        <v>1430.69</v>
      </c>
      <c r="I801" s="2">
        <v>128</v>
      </c>
      <c r="J801" s="2">
        <v>17092.48</v>
      </c>
      <c r="K801" s="4">
        <f t="shared" si="48"/>
        <v>1.019747399953827E-2</v>
      </c>
      <c r="L801" s="6">
        <f t="shared" si="49"/>
        <v>0.79</v>
      </c>
      <c r="M801" s="6">
        <f t="shared" si="50"/>
        <v>11.177265625</v>
      </c>
      <c r="N801" s="8">
        <f t="shared" si="51"/>
        <v>11.947018571458527</v>
      </c>
    </row>
    <row r="802" spans="1:14" x14ac:dyDescent="0.45">
      <c r="A802" s="12">
        <v>45374</v>
      </c>
      <c r="B802" s="2" t="s">
        <v>15</v>
      </c>
      <c r="C802" s="2" t="s">
        <v>38</v>
      </c>
      <c r="D802" s="2" t="s">
        <v>29</v>
      </c>
      <c r="E802" s="2" t="s">
        <v>51</v>
      </c>
      <c r="F802" s="2">
        <v>150465</v>
      </c>
      <c r="G802" s="2">
        <v>5311</v>
      </c>
      <c r="H802" s="2">
        <v>16623.43</v>
      </c>
      <c r="I802" s="2">
        <v>295</v>
      </c>
      <c r="J802" s="2">
        <v>57602.12</v>
      </c>
      <c r="K802" s="4">
        <f t="shared" si="48"/>
        <v>3.5297245206526433E-2</v>
      </c>
      <c r="L802" s="6">
        <f t="shared" si="49"/>
        <v>3.13</v>
      </c>
      <c r="M802" s="6">
        <f t="shared" si="50"/>
        <v>56.350610169491524</v>
      </c>
      <c r="N802" s="8">
        <f t="shared" si="51"/>
        <v>3.4651164049777936</v>
      </c>
    </row>
    <row r="803" spans="1:14" x14ac:dyDescent="0.45">
      <c r="A803" s="12">
        <v>45634</v>
      </c>
      <c r="B803" s="2" t="s">
        <v>20</v>
      </c>
      <c r="C803" s="2" t="s">
        <v>28</v>
      </c>
      <c r="D803" s="2" t="s">
        <v>29</v>
      </c>
      <c r="E803" s="2" t="s">
        <v>33</v>
      </c>
      <c r="F803" s="2">
        <v>25860</v>
      </c>
      <c r="G803" s="2">
        <v>1569</v>
      </c>
      <c r="H803" s="2">
        <v>1694.52</v>
      </c>
      <c r="I803" s="2">
        <v>79</v>
      </c>
      <c r="J803" s="2">
        <v>13162.62</v>
      </c>
      <c r="K803" s="4">
        <f t="shared" si="48"/>
        <v>6.0672853828306263E-2</v>
      </c>
      <c r="L803" s="6">
        <f t="shared" si="49"/>
        <v>1.08</v>
      </c>
      <c r="M803" s="6">
        <f t="shared" si="50"/>
        <v>21.449620253164557</v>
      </c>
      <c r="N803" s="8">
        <f t="shared" si="51"/>
        <v>7.7677572409885993</v>
      </c>
    </row>
    <row r="804" spans="1:14" x14ac:dyDescent="0.45">
      <c r="A804" s="12">
        <v>45521</v>
      </c>
      <c r="B804" s="2" t="s">
        <v>15</v>
      </c>
      <c r="C804" s="2" t="s">
        <v>38</v>
      </c>
      <c r="D804" s="2" t="s">
        <v>29</v>
      </c>
      <c r="E804" s="2" t="s">
        <v>30</v>
      </c>
      <c r="F804" s="2">
        <v>41375</v>
      </c>
      <c r="G804" s="2">
        <v>2350</v>
      </c>
      <c r="H804" s="2">
        <v>5170</v>
      </c>
      <c r="I804" s="2">
        <v>148</v>
      </c>
      <c r="J804" s="2">
        <v>14702.27</v>
      </c>
      <c r="K804" s="4">
        <f t="shared" si="48"/>
        <v>5.6797583081570999E-2</v>
      </c>
      <c r="L804" s="6">
        <f t="shared" si="49"/>
        <v>2.2000000000000002</v>
      </c>
      <c r="M804" s="6">
        <f t="shared" si="50"/>
        <v>34.932432432432435</v>
      </c>
      <c r="N804" s="8">
        <f t="shared" si="51"/>
        <v>2.8437659574468084</v>
      </c>
    </row>
    <row r="805" spans="1:14" x14ac:dyDescent="0.45">
      <c r="A805" s="12">
        <v>45410</v>
      </c>
      <c r="B805" s="2" t="s">
        <v>35</v>
      </c>
      <c r="C805" s="2" t="s">
        <v>38</v>
      </c>
      <c r="D805" s="2" t="s">
        <v>29</v>
      </c>
      <c r="E805" s="2" t="s">
        <v>18</v>
      </c>
      <c r="F805" s="2">
        <v>26159</v>
      </c>
      <c r="G805" s="2">
        <v>782</v>
      </c>
      <c r="H805" s="2">
        <v>1180.82</v>
      </c>
      <c r="I805" s="2">
        <v>52</v>
      </c>
      <c r="J805" s="2">
        <v>8689.2900000000009</v>
      </c>
      <c r="K805" s="4">
        <f t="shared" si="48"/>
        <v>2.9894109102029894E-2</v>
      </c>
      <c r="L805" s="6">
        <f t="shared" si="49"/>
        <v>1.51</v>
      </c>
      <c r="M805" s="6">
        <f t="shared" si="50"/>
        <v>22.708076923076923</v>
      </c>
      <c r="N805" s="8">
        <f t="shared" si="51"/>
        <v>7.3586914178282896</v>
      </c>
    </row>
    <row r="806" spans="1:14" x14ac:dyDescent="0.45">
      <c r="A806" s="12">
        <v>45328</v>
      </c>
      <c r="B806" s="2" t="s">
        <v>35</v>
      </c>
      <c r="C806" s="2" t="s">
        <v>38</v>
      </c>
      <c r="D806" s="2" t="s">
        <v>21</v>
      </c>
      <c r="E806" s="2" t="s">
        <v>51</v>
      </c>
      <c r="F806" s="2">
        <v>184541</v>
      </c>
      <c r="G806" s="2">
        <v>3063</v>
      </c>
      <c r="H806" s="2">
        <v>5268.36</v>
      </c>
      <c r="I806" s="2">
        <v>215</v>
      </c>
      <c r="J806" s="2">
        <v>16566.88</v>
      </c>
      <c r="K806" s="4">
        <f t="shared" si="48"/>
        <v>1.6597937585685566E-2</v>
      </c>
      <c r="L806" s="6">
        <f t="shared" si="49"/>
        <v>1.72</v>
      </c>
      <c r="M806" s="6">
        <f t="shared" si="50"/>
        <v>24.503999999999998</v>
      </c>
      <c r="N806" s="8">
        <f t="shared" si="51"/>
        <v>3.1445990782710371</v>
      </c>
    </row>
    <row r="807" spans="1:14" x14ac:dyDescent="0.45">
      <c r="A807" s="12">
        <v>45535</v>
      </c>
      <c r="B807" s="2" t="s">
        <v>35</v>
      </c>
      <c r="C807" s="2" t="s">
        <v>24</v>
      </c>
      <c r="D807" s="2" t="s">
        <v>41</v>
      </c>
      <c r="E807" s="2" t="s">
        <v>18</v>
      </c>
      <c r="F807" s="2">
        <v>196373</v>
      </c>
      <c r="G807" s="2">
        <v>5184</v>
      </c>
      <c r="H807" s="2">
        <v>4458.24</v>
      </c>
      <c r="I807" s="2">
        <v>173</v>
      </c>
      <c r="J807" s="2">
        <v>36583.06</v>
      </c>
      <c r="K807" s="4">
        <f t="shared" si="48"/>
        <v>2.63987411711386E-2</v>
      </c>
      <c r="L807" s="6">
        <f t="shared" si="49"/>
        <v>0.86</v>
      </c>
      <c r="M807" s="6">
        <f t="shared" si="50"/>
        <v>25.770173410404624</v>
      </c>
      <c r="N807" s="8">
        <f t="shared" si="51"/>
        <v>8.2057179514786096</v>
      </c>
    </row>
    <row r="808" spans="1:14" x14ac:dyDescent="0.45">
      <c r="A808" s="12">
        <v>45301</v>
      </c>
      <c r="B808" s="2" t="s">
        <v>15</v>
      </c>
      <c r="C808" s="2" t="s">
        <v>24</v>
      </c>
      <c r="D808" s="2" t="s">
        <v>25</v>
      </c>
      <c r="E808" s="2" t="s">
        <v>54</v>
      </c>
      <c r="F808" s="2">
        <v>131031</v>
      </c>
      <c r="G808" s="2">
        <v>6092</v>
      </c>
      <c r="H808" s="2">
        <v>17910.48</v>
      </c>
      <c r="I808" s="2">
        <v>482</v>
      </c>
      <c r="J808" s="2">
        <v>116431.98</v>
      </c>
      <c r="K808" s="4">
        <f t="shared" si="48"/>
        <v>4.6492814677442741E-2</v>
      </c>
      <c r="L808" s="6">
        <f t="shared" si="49"/>
        <v>2.94</v>
      </c>
      <c r="M808" s="6">
        <f t="shared" si="50"/>
        <v>37.158672199170127</v>
      </c>
      <c r="N808" s="8">
        <f t="shared" si="51"/>
        <v>6.5007738486070723</v>
      </c>
    </row>
    <row r="809" spans="1:14" x14ac:dyDescent="0.45">
      <c r="A809" s="12">
        <v>45306</v>
      </c>
      <c r="B809" s="2" t="s">
        <v>35</v>
      </c>
      <c r="C809" s="2" t="s">
        <v>16</v>
      </c>
      <c r="D809" s="2" t="s">
        <v>21</v>
      </c>
      <c r="E809" s="2" t="s">
        <v>30</v>
      </c>
      <c r="F809" s="2">
        <v>113269</v>
      </c>
      <c r="G809" s="2">
        <v>3182</v>
      </c>
      <c r="H809" s="2">
        <v>4868.46</v>
      </c>
      <c r="I809" s="2">
        <v>185</v>
      </c>
      <c r="J809" s="2">
        <v>53909.5</v>
      </c>
      <c r="K809" s="4">
        <f t="shared" si="48"/>
        <v>2.8092417166214939E-2</v>
      </c>
      <c r="L809" s="6">
        <f t="shared" si="49"/>
        <v>1.53</v>
      </c>
      <c r="M809" s="6">
        <f t="shared" si="50"/>
        <v>26.315999999999999</v>
      </c>
      <c r="N809" s="8">
        <f t="shared" si="51"/>
        <v>11.073214116989767</v>
      </c>
    </row>
    <row r="810" spans="1:14" x14ac:dyDescent="0.45">
      <c r="A810" s="12">
        <v>45623</v>
      </c>
      <c r="B810" s="2" t="s">
        <v>20</v>
      </c>
      <c r="C810" s="2" t="s">
        <v>24</v>
      </c>
      <c r="D810" s="2" t="s">
        <v>29</v>
      </c>
      <c r="E810" s="2" t="s">
        <v>26</v>
      </c>
      <c r="F810" s="2">
        <v>92346</v>
      </c>
      <c r="G810" s="2">
        <v>6815</v>
      </c>
      <c r="H810" s="2">
        <v>5588.3</v>
      </c>
      <c r="I810" s="2">
        <v>469</v>
      </c>
      <c r="J810" s="2">
        <v>125930.93</v>
      </c>
      <c r="K810" s="4">
        <f t="shared" si="48"/>
        <v>7.3798540272453597E-2</v>
      </c>
      <c r="L810" s="6">
        <f t="shared" si="49"/>
        <v>0.82000000000000006</v>
      </c>
      <c r="M810" s="6">
        <f t="shared" si="50"/>
        <v>11.915351812366739</v>
      </c>
      <c r="N810" s="8">
        <f t="shared" si="51"/>
        <v>22.534747597659393</v>
      </c>
    </row>
    <row r="811" spans="1:14" x14ac:dyDescent="0.45">
      <c r="A811" s="12">
        <v>45570</v>
      </c>
      <c r="B811" s="2" t="s">
        <v>15</v>
      </c>
      <c r="C811" s="2" t="s">
        <v>16</v>
      </c>
      <c r="D811" s="2" t="s">
        <v>17</v>
      </c>
      <c r="E811" s="2" t="s">
        <v>54</v>
      </c>
      <c r="F811" s="2">
        <v>143241</v>
      </c>
      <c r="G811" s="2">
        <v>7133</v>
      </c>
      <c r="H811" s="2">
        <v>14693.98</v>
      </c>
      <c r="I811" s="2">
        <v>272</v>
      </c>
      <c r="J811" s="2">
        <v>60208.51</v>
      </c>
      <c r="K811" s="4">
        <f t="shared" si="48"/>
        <v>4.9797194937203734E-2</v>
      </c>
      <c r="L811" s="6">
        <f t="shared" si="49"/>
        <v>2.06</v>
      </c>
      <c r="M811" s="6">
        <f t="shared" si="50"/>
        <v>54.021985294117648</v>
      </c>
      <c r="N811" s="8">
        <f t="shared" si="51"/>
        <v>4.0974950285763292</v>
      </c>
    </row>
    <row r="812" spans="1:14" x14ac:dyDescent="0.45">
      <c r="A812" s="12">
        <v>45484</v>
      </c>
      <c r="B812" s="2" t="s">
        <v>35</v>
      </c>
      <c r="C812" s="2" t="s">
        <v>24</v>
      </c>
      <c r="D812" s="2" t="s">
        <v>29</v>
      </c>
      <c r="E812" s="2" t="s">
        <v>22</v>
      </c>
      <c r="F812" s="2">
        <v>194137</v>
      </c>
      <c r="G812" s="2">
        <v>2640</v>
      </c>
      <c r="H812" s="2">
        <v>6362.4</v>
      </c>
      <c r="I812" s="2">
        <v>49</v>
      </c>
      <c r="J812" s="2">
        <v>6668.85</v>
      </c>
      <c r="K812" s="4">
        <f t="shared" si="48"/>
        <v>1.3598644256375652E-2</v>
      </c>
      <c r="L812" s="6">
        <f t="shared" si="49"/>
        <v>2.4099999999999997</v>
      </c>
      <c r="M812" s="6">
        <f t="shared" si="50"/>
        <v>129.84489795918367</v>
      </c>
      <c r="N812" s="8">
        <f t="shared" si="51"/>
        <v>1.0481657864956622</v>
      </c>
    </row>
    <row r="813" spans="1:14" x14ac:dyDescent="0.45">
      <c r="A813" s="12">
        <v>45315</v>
      </c>
      <c r="B813" s="2" t="s">
        <v>20</v>
      </c>
      <c r="C813" s="2" t="s">
        <v>28</v>
      </c>
      <c r="D813" s="2" t="s">
        <v>21</v>
      </c>
      <c r="E813" s="2" t="s">
        <v>22</v>
      </c>
      <c r="F813" s="2">
        <v>79967</v>
      </c>
      <c r="G813" s="2">
        <v>2327</v>
      </c>
      <c r="H813" s="2">
        <v>2443.35</v>
      </c>
      <c r="I813" s="2">
        <v>43</v>
      </c>
      <c r="J813" s="2">
        <v>11334.87</v>
      </c>
      <c r="K813" s="4">
        <f t="shared" si="48"/>
        <v>2.9099503545212402E-2</v>
      </c>
      <c r="L813" s="6">
        <f t="shared" si="49"/>
        <v>1.05</v>
      </c>
      <c r="M813" s="6">
        <f t="shared" si="50"/>
        <v>56.82209302325581</v>
      </c>
      <c r="N813" s="8">
        <f t="shared" si="51"/>
        <v>4.6390693105776908</v>
      </c>
    </row>
    <row r="814" spans="1:14" x14ac:dyDescent="0.45">
      <c r="A814" s="12">
        <v>45535</v>
      </c>
      <c r="B814" s="2" t="s">
        <v>35</v>
      </c>
      <c r="C814" s="2" t="s">
        <v>24</v>
      </c>
      <c r="D814" s="2" t="s">
        <v>41</v>
      </c>
      <c r="E814" s="2" t="s">
        <v>18</v>
      </c>
      <c r="F814" s="2">
        <v>60919</v>
      </c>
      <c r="G814" s="2">
        <v>1851</v>
      </c>
      <c r="H814" s="2">
        <v>3313.29</v>
      </c>
      <c r="I814" s="2">
        <v>131</v>
      </c>
      <c r="J814" s="2">
        <v>19210.72</v>
      </c>
      <c r="K814" s="4">
        <f t="shared" si="48"/>
        <v>3.0384609071061573E-2</v>
      </c>
      <c r="L814" s="6">
        <f t="shared" si="49"/>
        <v>1.79</v>
      </c>
      <c r="M814" s="6">
        <f t="shared" si="50"/>
        <v>25.292290076335878</v>
      </c>
      <c r="N814" s="8">
        <f t="shared" si="51"/>
        <v>5.7980798541630829</v>
      </c>
    </row>
    <row r="815" spans="1:14" x14ac:dyDescent="0.45">
      <c r="A815" s="12">
        <v>45562</v>
      </c>
      <c r="B815" s="2" t="s">
        <v>20</v>
      </c>
      <c r="C815" s="2" t="s">
        <v>16</v>
      </c>
      <c r="D815" s="2" t="s">
        <v>29</v>
      </c>
      <c r="E815" s="2" t="s">
        <v>33</v>
      </c>
      <c r="F815" s="2">
        <v>40886</v>
      </c>
      <c r="G815" s="2">
        <v>1782</v>
      </c>
      <c r="H815" s="2">
        <v>980.1</v>
      </c>
      <c r="I815" s="2">
        <v>132</v>
      </c>
      <c r="J815" s="2">
        <v>28189.38</v>
      </c>
      <c r="K815" s="4">
        <f t="shared" si="48"/>
        <v>4.3584601085946292E-2</v>
      </c>
      <c r="L815" s="6">
        <f t="shared" si="49"/>
        <v>0.55000000000000004</v>
      </c>
      <c r="M815" s="6">
        <f t="shared" si="50"/>
        <v>7.4249999999999998</v>
      </c>
      <c r="N815" s="8">
        <f t="shared" si="51"/>
        <v>28.761738598102234</v>
      </c>
    </row>
    <row r="816" spans="1:14" x14ac:dyDescent="0.45">
      <c r="A816" s="12">
        <v>45381</v>
      </c>
      <c r="B816" s="2" t="s">
        <v>20</v>
      </c>
      <c r="C816" s="2" t="s">
        <v>28</v>
      </c>
      <c r="D816" s="2" t="s">
        <v>29</v>
      </c>
      <c r="E816" s="2" t="s">
        <v>51</v>
      </c>
      <c r="F816" s="2">
        <v>37646</v>
      </c>
      <c r="G816" s="2">
        <v>1874</v>
      </c>
      <c r="H816" s="2">
        <v>2061.4</v>
      </c>
      <c r="I816" s="2">
        <v>144</v>
      </c>
      <c r="J816" s="2">
        <v>16795.87</v>
      </c>
      <c r="K816" s="4">
        <f t="shared" si="48"/>
        <v>4.9779525049142008E-2</v>
      </c>
      <c r="L816" s="6">
        <f t="shared" si="49"/>
        <v>1.1000000000000001</v>
      </c>
      <c r="M816" s="6">
        <f t="shared" si="50"/>
        <v>14.315277777777778</v>
      </c>
      <c r="N816" s="8">
        <f t="shared" si="51"/>
        <v>8.147797613272532</v>
      </c>
    </row>
    <row r="817" spans="1:14" x14ac:dyDescent="0.45">
      <c r="A817" s="12">
        <v>45366</v>
      </c>
      <c r="B817" s="2" t="s">
        <v>35</v>
      </c>
      <c r="C817" s="2" t="s">
        <v>16</v>
      </c>
      <c r="D817" s="2" t="s">
        <v>21</v>
      </c>
      <c r="E817" s="2" t="s">
        <v>30</v>
      </c>
      <c r="F817" s="2">
        <v>117529</v>
      </c>
      <c r="G817" s="2">
        <v>4266</v>
      </c>
      <c r="H817" s="2">
        <v>4393.9799999999996</v>
      </c>
      <c r="I817" s="2">
        <v>308</v>
      </c>
      <c r="J817" s="2">
        <v>62119.33</v>
      </c>
      <c r="K817" s="4">
        <f t="shared" si="48"/>
        <v>3.6297424465451082E-2</v>
      </c>
      <c r="L817" s="6">
        <f t="shared" si="49"/>
        <v>1.0299999999999998</v>
      </c>
      <c r="M817" s="6">
        <f t="shared" si="50"/>
        <v>14.26616883116883</v>
      </c>
      <c r="N817" s="8">
        <f t="shared" si="51"/>
        <v>14.137372040837693</v>
      </c>
    </row>
    <row r="818" spans="1:14" x14ac:dyDescent="0.45">
      <c r="A818" s="12">
        <v>45440</v>
      </c>
      <c r="B818" s="2" t="s">
        <v>20</v>
      </c>
      <c r="C818" s="2" t="s">
        <v>24</v>
      </c>
      <c r="D818" s="2" t="s">
        <v>17</v>
      </c>
      <c r="E818" s="2" t="s">
        <v>51</v>
      </c>
      <c r="F818" s="2">
        <v>150250</v>
      </c>
      <c r="G818" s="2">
        <v>7196</v>
      </c>
      <c r="H818" s="2">
        <v>4821.32</v>
      </c>
      <c r="I818" s="2">
        <v>534</v>
      </c>
      <c r="J818" s="2">
        <v>36153.629999999997</v>
      </c>
      <c r="K818" s="4">
        <f t="shared" si="48"/>
        <v>4.7893510815307822E-2</v>
      </c>
      <c r="L818" s="6">
        <f t="shared" si="49"/>
        <v>0.66999999999999993</v>
      </c>
      <c r="M818" s="6">
        <f t="shared" si="50"/>
        <v>9.0286891385767785</v>
      </c>
      <c r="N818" s="8">
        <f t="shared" si="51"/>
        <v>7.4986995262708138</v>
      </c>
    </row>
    <row r="819" spans="1:14" x14ac:dyDescent="0.45">
      <c r="A819" s="12">
        <v>45443</v>
      </c>
      <c r="B819" s="2" t="s">
        <v>35</v>
      </c>
      <c r="C819" s="2" t="s">
        <v>24</v>
      </c>
      <c r="D819" s="2" t="s">
        <v>41</v>
      </c>
      <c r="E819" s="2" t="s">
        <v>30</v>
      </c>
      <c r="F819" s="2">
        <v>196929</v>
      </c>
      <c r="G819" s="2">
        <v>2382</v>
      </c>
      <c r="H819" s="2">
        <v>3096.6</v>
      </c>
      <c r="I819" s="2">
        <v>143</v>
      </c>
      <c r="J819" s="2">
        <v>38447.589999999997</v>
      </c>
      <c r="K819" s="4">
        <f t="shared" si="48"/>
        <v>1.2095729933123106E-2</v>
      </c>
      <c r="L819" s="6">
        <f t="shared" si="49"/>
        <v>1.3</v>
      </c>
      <c r="M819" s="6">
        <f t="shared" si="50"/>
        <v>21.654545454545453</v>
      </c>
      <c r="N819" s="8">
        <f t="shared" si="51"/>
        <v>12.416066007879609</v>
      </c>
    </row>
    <row r="820" spans="1:14" x14ac:dyDescent="0.45">
      <c r="A820" s="12">
        <v>45585</v>
      </c>
      <c r="B820" s="2" t="s">
        <v>15</v>
      </c>
      <c r="C820" s="2" t="s">
        <v>16</v>
      </c>
      <c r="D820" s="2" t="s">
        <v>25</v>
      </c>
      <c r="E820" s="2" t="s">
        <v>30</v>
      </c>
      <c r="F820" s="2">
        <v>91491</v>
      </c>
      <c r="G820" s="2">
        <v>4053</v>
      </c>
      <c r="H820" s="2">
        <v>7052.22</v>
      </c>
      <c r="I820" s="2">
        <v>140</v>
      </c>
      <c r="J820" s="2">
        <v>19432.37</v>
      </c>
      <c r="K820" s="4">
        <f t="shared" si="48"/>
        <v>4.4299439289110405E-2</v>
      </c>
      <c r="L820" s="6">
        <f t="shared" si="49"/>
        <v>1.74</v>
      </c>
      <c r="M820" s="6">
        <f t="shared" si="50"/>
        <v>50.373000000000005</v>
      </c>
      <c r="N820" s="8">
        <f t="shared" si="51"/>
        <v>2.7554968506371043</v>
      </c>
    </row>
    <row r="821" spans="1:14" x14ac:dyDescent="0.45">
      <c r="A821" s="12">
        <v>45630</v>
      </c>
      <c r="B821" s="2" t="s">
        <v>15</v>
      </c>
      <c r="C821" s="2" t="s">
        <v>24</v>
      </c>
      <c r="D821" s="2" t="s">
        <v>41</v>
      </c>
      <c r="E821" s="2" t="s">
        <v>22</v>
      </c>
      <c r="F821" s="2">
        <v>154741</v>
      </c>
      <c r="G821" s="2">
        <v>6019</v>
      </c>
      <c r="H821" s="2">
        <v>6259.76</v>
      </c>
      <c r="I821" s="2">
        <v>220</v>
      </c>
      <c r="J821" s="2">
        <v>38586.699999999997</v>
      </c>
      <c r="K821" s="4">
        <f t="shared" si="48"/>
        <v>3.8897254121402859E-2</v>
      </c>
      <c r="L821" s="6">
        <f t="shared" si="49"/>
        <v>1.04</v>
      </c>
      <c r="M821" s="6">
        <f t="shared" si="50"/>
        <v>28.453454545454548</v>
      </c>
      <c r="N821" s="8">
        <f t="shared" si="51"/>
        <v>6.1642459135813503</v>
      </c>
    </row>
    <row r="822" spans="1:14" x14ac:dyDescent="0.45">
      <c r="A822" s="12">
        <v>45592</v>
      </c>
      <c r="B822" s="2" t="s">
        <v>20</v>
      </c>
      <c r="C822" s="2" t="s">
        <v>38</v>
      </c>
      <c r="D822" s="2" t="s">
        <v>41</v>
      </c>
      <c r="E822" s="2" t="s">
        <v>51</v>
      </c>
      <c r="F822" s="2">
        <v>72963</v>
      </c>
      <c r="G822" s="2">
        <v>5618</v>
      </c>
      <c r="H822" s="2">
        <v>2696.64</v>
      </c>
      <c r="I822" s="2">
        <v>412</v>
      </c>
      <c r="J822" s="2">
        <v>16464.009999999998</v>
      </c>
      <c r="K822" s="4">
        <f t="shared" si="48"/>
        <v>7.6997930457903319E-2</v>
      </c>
      <c r="L822" s="6">
        <f t="shared" si="49"/>
        <v>0.48</v>
      </c>
      <c r="M822" s="6">
        <f t="shared" si="50"/>
        <v>6.5452427184466018</v>
      </c>
      <c r="N822" s="8">
        <f t="shared" si="51"/>
        <v>6.105379286816186</v>
      </c>
    </row>
    <row r="823" spans="1:14" x14ac:dyDescent="0.45">
      <c r="A823" s="12">
        <v>45550</v>
      </c>
      <c r="B823" s="2" t="s">
        <v>15</v>
      </c>
      <c r="C823" s="2" t="s">
        <v>24</v>
      </c>
      <c r="D823" s="2" t="s">
        <v>17</v>
      </c>
      <c r="E823" s="2" t="s">
        <v>26</v>
      </c>
      <c r="F823" s="2">
        <v>194281</v>
      </c>
      <c r="G823" s="2">
        <v>5906</v>
      </c>
      <c r="H823" s="2">
        <v>14765</v>
      </c>
      <c r="I823" s="2">
        <v>371</v>
      </c>
      <c r="J823" s="2">
        <v>20958.57</v>
      </c>
      <c r="K823" s="4">
        <f t="shared" si="48"/>
        <v>3.0399267041038496E-2</v>
      </c>
      <c r="L823" s="6">
        <f t="shared" si="49"/>
        <v>2.5</v>
      </c>
      <c r="M823" s="6">
        <f t="shared" si="50"/>
        <v>39.797843665768191</v>
      </c>
      <c r="N823" s="8">
        <f t="shared" si="51"/>
        <v>1.4194764646122586</v>
      </c>
    </row>
    <row r="824" spans="1:14" x14ac:dyDescent="0.45">
      <c r="A824" s="12">
        <v>45563</v>
      </c>
      <c r="B824" s="2" t="s">
        <v>35</v>
      </c>
      <c r="C824" s="2" t="s">
        <v>38</v>
      </c>
      <c r="D824" s="2" t="s">
        <v>41</v>
      </c>
      <c r="E824" s="2" t="s">
        <v>18</v>
      </c>
      <c r="F824" s="2">
        <v>92844</v>
      </c>
      <c r="G824" s="2">
        <v>3277</v>
      </c>
      <c r="H824" s="2">
        <v>5931.37</v>
      </c>
      <c r="I824" s="2">
        <v>63</v>
      </c>
      <c r="J824" s="2">
        <v>10318.61</v>
      </c>
      <c r="K824" s="4">
        <f t="shared" si="48"/>
        <v>3.5295764939037529E-2</v>
      </c>
      <c r="L824" s="6">
        <f t="shared" si="49"/>
        <v>1.81</v>
      </c>
      <c r="M824" s="6">
        <f t="shared" si="50"/>
        <v>94.14873015873016</v>
      </c>
      <c r="N824" s="8">
        <f t="shared" si="51"/>
        <v>1.7396672269644282</v>
      </c>
    </row>
    <row r="825" spans="1:14" x14ac:dyDescent="0.45">
      <c r="A825" s="12">
        <v>45423</v>
      </c>
      <c r="B825" s="2" t="s">
        <v>15</v>
      </c>
      <c r="C825" s="2" t="s">
        <v>24</v>
      </c>
      <c r="D825" s="2" t="s">
        <v>29</v>
      </c>
      <c r="E825" s="2" t="s">
        <v>18</v>
      </c>
      <c r="F825" s="2">
        <v>132441</v>
      </c>
      <c r="G825" s="2">
        <v>2436</v>
      </c>
      <c r="H825" s="2">
        <v>5091.24</v>
      </c>
      <c r="I825" s="2">
        <v>135</v>
      </c>
      <c r="J825" s="2">
        <v>8958.33</v>
      </c>
      <c r="K825" s="4">
        <f t="shared" si="48"/>
        <v>1.8393095793598661E-2</v>
      </c>
      <c r="L825" s="6">
        <f t="shared" si="49"/>
        <v>2.09</v>
      </c>
      <c r="M825" s="6">
        <f t="shared" si="50"/>
        <v>37.712888888888884</v>
      </c>
      <c r="N825" s="8">
        <f t="shared" si="51"/>
        <v>1.7595575930421665</v>
      </c>
    </row>
    <row r="826" spans="1:14" x14ac:dyDescent="0.45">
      <c r="A826" s="12">
        <v>45573</v>
      </c>
      <c r="B826" s="2" t="s">
        <v>35</v>
      </c>
      <c r="C826" s="2" t="s">
        <v>16</v>
      </c>
      <c r="D826" s="2" t="s">
        <v>21</v>
      </c>
      <c r="E826" s="2" t="s">
        <v>30</v>
      </c>
      <c r="F826" s="2">
        <v>110977</v>
      </c>
      <c r="G826" s="2">
        <v>2829</v>
      </c>
      <c r="H826" s="2">
        <v>1867.14</v>
      </c>
      <c r="I826" s="2">
        <v>48</v>
      </c>
      <c r="J826" s="2">
        <v>10643.48</v>
      </c>
      <c r="K826" s="4">
        <f t="shared" si="48"/>
        <v>2.5491768564657541E-2</v>
      </c>
      <c r="L826" s="6">
        <f t="shared" si="49"/>
        <v>0.66</v>
      </c>
      <c r="M826" s="6">
        <f t="shared" si="50"/>
        <v>38.89875</v>
      </c>
      <c r="N826" s="8">
        <f t="shared" si="51"/>
        <v>5.7004188223700414</v>
      </c>
    </row>
    <row r="827" spans="1:14" x14ac:dyDescent="0.45">
      <c r="A827" s="12">
        <v>45565</v>
      </c>
      <c r="B827" s="2" t="s">
        <v>15</v>
      </c>
      <c r="C827" s="2" t="s">
        <v>16</v>
      </c>
      <c r="D827" s="2" t="s">
        <v>25</v>
      </c>
      <c r="E827" s="2" t="s">
        <v>18</v>
      </c>
      <c r="F827" s="2">
        <v>50076</v>
      </c>
      <c r="G827" s="2">
        <v>2964</v>
      </c>
      <c r="H827" s="2">
        <v>10077.6</v>
      </c>
      <c r="I827" s="2">
        <v>94</v>
      </c>
      <c r="J827" s="2">
        <v>28058.66</v>
      </c>
      <c r="K827" s="4">
        <f t="shared" si="48"/>
        <v>5.9190031152647975E-2</v>
      </c>
      <c r="L827" s="6">
        <f t="shared" si="49"/>
        <v>3.4</v>
      </c>
      <c r="M827" s="6">
        <f t="shared" si="50"/>
        <v>107.20851063829788</v>
      </c>
      <c r="N827" s="8">
        <f t="shared" si="51"/>
        <v>2.7842601413034846</v>
      </c>
    </row>
    <row r="828" spans="1:14" x14ac:dyDescent="0.45">
      <c r="A828" s="12">
        <v>45595</v>
      </c>
      <c r="B828" s="2" t="s">
        <v>15</v>
      </c>
      <c r="C828" s="2" t="s">
        <v>16</v>
      </c>
      <c r="D828" s="2" t="s">
        <v>29</v>
      </c>
      <c r="E828" s="2" t="s">
        <v>54</v>
      </c>
      <c r="F828" s="2">
        <v>180590</v>
      </c>
      <c r="G828" s="2">
        <v>4857</v>
      </c>
      <c r="H828" s="2">
        <v>7334.07</v>
      </c>
      <c r="I828" s="2">
        <v>333</v>
      </c>
      <c r="J828" s="2">
        <v>91782.77</v>
      </c>
      <c r="K828" s="4">
        <f t="shared" si="48"/>
        <v>2.6895176920095243E-2</v>
      </c>
      <c r="L828" s="6">
        <f t="shared" si="49"/>
        <v>1.51</v>
      </c>
      <c r="M828" s="6">
        <f t="shared" si="50"/>
        <v>22.024234234234232</v>
      </c>
      <c r="N828" s="8">
        <f t="shared" si="51"/>
        <v>12.514575126771357</v>
      </c>
    </row>
    <row r="829" spans="1:14" x14ac:dyDescent="0.45">
      <c r="A829" s="12">
        <v>45462</v>
      </c>
      <c r="B829" s="2" t="s">
        <v>35</v>
      </c>
      <c r="C829" s="2" t="s">
        <v>16</v>
      </c>
      <c r="D829" s="2" t="s">
        <v>17</v>
      </c>
      <c r="E829" s="2" t="s">
        <v>18</v>
      </c>
      <c r="F829" s="2">
        <v>153530</v>
      </c>
      <c r="G829" s="2">
        <v>3899</v>
      </c>
      <c r="H829" s="2">
        <v>9006.69</v>
      </c>
      <c r="I829" s="2">
        <v>302</v>
      </c>
      <c r="J829" s="2">
        <v>21392.38</v>
      </c>
      <c r="K829" s="4">
        <f t="shared" si="48"/>
        <v>2.5395688139125905E-2</v>
      </c>
      <c r="L829" s="6">
        <f t="shared" si="49"/>
        <v>2.31</v>
      </c>
      <c r="M829" s="6">
        <f t="shared" si="50"/>
        <v>29.823476821192056</v>
      </c>
      <c r="N829" s="8">
        <f t="shared" si="51"/>
        <v>2.3751655713697262</v>
      </c>
    </row>
    <row r="830" spans="1:14" x14ac:dyDescent="0.45">
      <c r="A830" s="12">
        <v>45296</v>
      </c>
      <c r="B830" s="2" t="s">
        <v>15</v>
      </c>
      <c r="C830" s="2" t="s">
        <v>24</v>
      </c>
      <c r="D830" s="2" t="s">
        <v>29</v>
      </c>
      <c r="E830" s="2" t="s">
        <v>51</v>
      </c>
      <c r="F830" s="2">
        <v>135223</v>
      </c>
      <c r="G830" s="2">
        <v>3285</v>
      </c>
      <c r="H830" s="2">
        <v>9920.7000000000007</v>
      </c>
      <c r="I830" s="2">
        <v>201</v>
      </c>
      <c r="J830" s="2">
        <v>46154.22</v>
      </c>
      <c r="K830" s="4">
        <f t="shared" si="48"/>
        <v>2.429320455839613E-2</v>
      </c>
      <c r="L830" s="6">
        <f t="shared" si="49"/>
        <v>3.02</v>
      </c>
      <c r="M830" s="6">
        <f t="shared" si="50"/>
        <v>49.356716417910448</v>
      </c>
      <c r="N830" s="8">
        <f t="shared" si="51"/>
        <v>4.6523148568145389</v>
      </c>
    </row>
    <row r="831" spans="1:14" x14ac:dyDescent="0.45">
      <c r="A831" s="12">
        <v>45656</v>
      </c>
      <c r="B831" s="2" t="s">
        <v>35</v>
      </c>
      <c r="C831" s="2" t="s">
        <v>38</v>
      </c>
      <c r="D831" s="2" t="s">
        <v>21</v>
      </c>
      <c r="E831" s="2" t="s">
        <v>26</v>
      </c>
      <c r="F831" s="2">
        <v>108152</v>
      </c>
      <c r="G831" s="2">
        <v>4250</v>
      </c>
      <c r="H831" s="2">
        <v>3060</v>
      </c>
      <c r="I831" s="2">
        <v>160</v>
      </c>
      <c r="J831" s="2">
        <v>12452.25</v>
      </c>
      <c r="K831" s="4">
        <f t="shared" si="48"/>
        <v>3.929654560248539E-2</v>
      </c>
      <c r="L831" s="6">
        <f t="shared" si="49"/>
        <v>0.72</v>
      </c>
      <c r="M831" s="6">
        <f t="shared" si="50"/>
        <v>19.125</v>
      </c>
      <c r="N831" s="8">
        <f t="shared" si="51"/>
        <v>4.0693627450980392</v>
      </c>
    </row>
    <row r="832" spans="1:14" x14ac:dyDescent="0.45">
      <c r="A832" s="12">
        <v>45354</v>
      </c>
      <c r="B832" s="2" t="s">
        <v>15</v>
      </c>
      <c r="C832" s="2" t="s">
        <v>24</v>
      </c>
      <c r="D832" s="2" t="s">
        <v>25</v>
      </c>
      <c r="E832" s="2" t="s">
        <v>30</v>
      </c>
      <c r="F832" s="2">
        <v>76442</v>
      </c>
      <c r="G832" s="2">
        <v>2392</v>
      </c>
      <c r="H832" s="2">
        <v>3922.88</v>
      </c>
      <c r="I832" s="2">
        <v>160</v>
      </c>
      <c r="J832" s="2">
        <v>14390.19</v>
      </c>
      <c r="K832" s="4">
        <f t="shared" si="48"/>
        <v>3.1291698281049683E-2</v>
      </c>
      <c r="L832" s="6">
        <f t="shared" si="49"/>
        <v>1.6400000000000001</v>
      </c>
      <c r="M832" s="6">
        <f t="shared" si="50"/>
        <v>24.518000000000001</v>
      </c>
      <c r="N832" s="8">
        <f t="shared" si="51"/>
        <v>3.6682717799167959</v>
      </c>
    </row>
    <row r="833" spans="1:14" x14ac:dyDescent="0.45">
      <c r="A833" s="12">
        <v>45608</v>
      </c>
      <c r="B833" s="2" t="s">
        <v>15</v>
      </c>
      <c r="C833" s="2" t="s">
        <v>24</v>
      </c>
      <c r="D833" s="2" t="s">
        <v>21</v>
      </c>
      <c r="E833" s="2" t="s">
        <v>30</v>
      </c>
      <c r="F833" s="2">
        <v>57335</v>
      </c>
      <c r="G833" s="2">
        <v>1869</v>
      </c>
      <c r="H833" s="2">
        <v>5139.75</v>
      </c>
      <c r="I833" s="2">
        <v>133</v>
      </c>
      <c r="J833" s="2">
        <v>11136.73</v>
      </c>
      <c r="K833" s="4">
        <f t="shared" si="48"/>
        <v>3.2597889596232665E-2</v>
      </c>
      <c r="L833" s="6">
        <f t="shared" si="49"/>
        <v>2.75</v>
      </c>
      <c r="M833" s="6">
        <f t="shared" si="50"/>
        <v>38.64473684210526</v>
      </c>
      <c r="N833" s="8">
        <f t="shared" si="51"/>
        <v>2.166784376672017</v>
      </c>
    </row>
    <row r="834" spans="1:14" x14ac:dyDescent="0.45">
      <c r="A834" s="12">
        <v>45621</v>
      </c>
      <c r="B834" s="2" t="s">
        <v>20</v>
      </c>
      <c r="C834" s="2" t="s">
        <v>38</v>
      </c>
      <c r="D834" s="2" t="s">
        <v>29</v>
      </c>
      <c r="E834" s="2" t="s">
        <v>22</v>
      </c>
      <c r="F834" s="2">
        <v>82661</v>
      </c>
      <c r="G834" s="2">
        <v>4769</v>
      </c>
      <c r="H834" s="2">
        <v>6342.77</v>
      </c>
      <c r="I834" s="2">
        <v>271</v>
      </c>
      <c r="J834" s="2">
        <v>79985.87</v>
      </c>
      <c r="K834" s="4">
        <f t="shared" si="48"/>
        <v>5.7693470923410074E-2</v>
      </c>
      <c r="L834" s="6">
        <f t="shared" si="49"/>
        <v>1.33</v>
      </c>
      <c r="M834" s="6">
        <f t="shared" si="50"/>
        <v>23.405055350553507</v>
      </c>
      <c r="N834" s="8">
        <f t="shared" si="51"/>
        <v>12.610558163073861</v>
      </c>
    </row>
    <row r="835" spans="1:14" x14ac:dyDescent="0.45">
      <c r="A835" s="12">
        <v>45412</v>
      </c>
      <c r="B835" s="2" t="s">
        <v>15</v>
      </c>
      <c r="C835" s="2" t="s">
        <v>28</v>
      </c>
      <c r="D835" s="2" t="s">
        <v>17</v>
      </c>
      <c r="E835" s="2" t="s">
        <v>51</v>
      </c>
      <c r="F835" s="2">
        <v>72902</v>
      </c>
      <c r="G835" s="2">
        <v>4942</v>
      </c>
      <c r="H835" s="2">
        <v>16308.6</v>
      </c>
      <c r="I835" s="2">
        <v>323</v>
      </c>
      <c r="J835" s="2">
        <v>33499.379999999997</v>
      </c>
      <c r="K835" s="4">
        <f t="shared" ref="K835:K898" si="52" xml:space="preserve"> G835 / F835</f>
        <v>6.7789635400949219E-2</v>
      </c>
      <c r="L835" s="6">
        <f t="shared" ref="L835:L898" si="53">H835/G835</f>
        <v>3.3000000000000003</v>
      </c>
      <c r="M835" s="6">
        <f t="shared" ref="M835:M898" si="54">H835/I835</f>
        <v>50.49102167182663</v>
      </c>
      <c r="N835" s="8">
        <f t="shared" ref="N835:N898" si="55">J835/H835</f>
        <v>2.0540929325631874</v>
      </c>
    </row>
    <row r="836" spans="1:14" x14ac:dyDescent="0.45">
      <c r="A836" s="12">
        <v>45323</v>
      </c>
      <c r="B836" s="2" t="s">
        <v>35</v>
      </c>
      <c r="C836" s="2" t="s">
        <v>16</v>
      </c>
      <c r="D836" s="2" t="s">
        <v>41</v>
      </c>
      <c r="E836" s="2" t="s">
        <v>22</v>
      </c>
      <c r="F836" s="2">
        <v>63528</v>
      </c>
      <c r="G836" s="2">
        <v>711</v>
      </c>
      <c r="H836" s="2">
        <v>1059.3900000000001</v>
      </c>
      <c r="I836" s="2">
        <v>23</v>
      </c>
      <c r="J836" s="2">
        <v>4567.68</v>
      </c>
      <c r="K836" s="4">
        <f t="shared" si="52"/>
        <v>1.1191915375897242E-2</v>
      </c>
      <c r="L836" s="6">
        <f t="shared" si="53"/>
        <v>1.4900000000000002</v>
      </c>
      <c r="M836" s="6">
        <f t="shared" si="54"/>
        <v>46.060434782608702</v>
      </c>
      <c r="N836" s="8">
        <f t="shared" si="55"/>
        <v>4.3116132868915127</v>
      </c>
    </row>
    <row r="837" spans="1:14" x14ac:dyDescent="0.45">
      <c r="A837" s="12">
        <v>45644</v>
      </c>
      <c r="B837" s="2" t="s">
        <v>20</v>
      </c>
      <c r="C837" s="2" t="s">
        <v>28</v>
      </c>
      <c r="D837" s="2" t="s">
        <v>17</v>
      </c>
      <c r="E837" s="2" t="s">
        <v>26</v>
      </c>
      <c r="F837" s="2">
        <v>169238</v>
      </c>
      <c r="G837" s="2">
        <v>6583</v>
      </c>
      <c r="H837" s="2">
        <v>3488.99</v>
      </c>
      <c r="I837" s="2">
        <v>507</v>
      </c>
      <c r="J837" s="2">
        <v>146453.92000000001</v>
      </c>
      <c r="K837" s="4">
        <f t="shared" si="52"/>
        <v>3.8897883454070602E-2</v>
      </c>
      <c r="L837" s="6">
        <f t="shared" si="53"/>
        <v>0.52999999999999992</v>
      </c>
      <c r="M837" s="6">
        <f t="shared" si="54"/>
        <v>6.8816370808678498</v>
      </c>
      <c r="N837" s="8">
        <f t="shared" si="55"/>
        <v>41.976021714020398</v>
      </c>
    </row>
    <row r="838" spans="1:14" x14ac:dyDescent="0.45">
      <c r="A838" s="12">
        <v>45632</v>
      </c>
      <c r="B838" s="2" t="s">
        <v>35</v>
      </c>
      <c r="C838" s="2" t="s">
        <v>38</v>
      </c>
      <c r="D838" s="2" t="s">
        <v>29</v>
      </c>
      <c r="E838" s="2" t="s">
        <v>33</v>
      </c>
      <c r="F838" s="2">
        <v>14815</v>
      </c>
      <c r="G838" s="2">
        <v>189</v>
      </c>
      <c r="H838" s="2">
        <v>103.95</v>
      </c>
      <c r="I838" s="2">
        <v>3</v>
      </c>
      <c r="J838" s="2">
        <v>142.69</v>
      </c>
      <c r="K838" s="4">
        <f t="shared" si="52"/>
        <v>1.2757340533243334E-2</v>
      </c>
      <c r="L838" s="6">
        <f t="shared" si="53"/>
        <v>0.55000000000000004</v>
      </c>
      <c r="M838" s="6">
        <f t="shared" si="54"/>
        <v>34.65</v>
      </c>
      <c r="N838" s="8">
        <f t="shared" si="55"/>
        <v>1.3726791726791727</v>
      </c>
    </row>
    <row r="839" spans="1:14" x14ac:dyDescent="0.45">
      <c r="A839" s="12">
        <v>45525</v>
      </c>
      <c r="B839" s="2" t="s">
        <v>20</v>
      </c>
      <c r="C839" s="2" t="s">
        <v>16</v>
      </c>
      <c r="D839" s="2" t="s">
        <v>25</v>
      </c>
      <c r="E839" s="2" t="s">
        <v>30</v>
      </c>
      <c r="F839" s="2">
        <v>47278</v>
      </c>
      <c r="G839" s="2">
        <v>2803</v>
      </c>
      <c r="H839" s="2">
        <v>4737.07</v>
      </c>
      <c r="I839" s="2">
        <v>201</v>
      </c>
      <c r="J839" s="2">
        <v>39448.18</v>
      </c>
      <c r="K839" s="4">
        <f t="shared" si="52"/>
        <v>5.9287617919539744E-2</v>
      </c>
      <c r="L839" s="6">
        <f t="shared" si="53"/>
        <v>1.69</v>
      </c>
      <c r="M839" s="6">
        <f t="shared" si="54"/>
        <v>23.567512437810944</v>
      </c>
      <c r="N839" s="8">
        <f t="shared" si="55"/>
        <v>8.3275484635017012</v>
      </c>
    </row>
    <row r="840" spans="1:14" x14ac:dyDescent="0.45">
      <c r="A840" s="12">
        <v>45339</v>
      </c>
      <c r="B840" s="2" t="s">
        <v>15</v>
      </c>
      <c r="C840" s="2" t="s">
        <v>24</v>
      </c>
      <c r="D840" s="2" t="s">
        <v>17</v>
      </c>
      <c r="E840" s="2" t="s">
        <v>18</v>
      </c>
      <c r="F840" s="2">
        <v>15046</v>
      </c>
      <c r="G840" s="2">
        <v>400</v>
      </c>
      <c r="H840" s="2">
        <v>472</v>
      </c>
      <c r="I840" s="2">
        <v>4</v>
      </c>
      <c r="J840" s="2">
        <v>142.71</v>
      </c>
      <c r="K840" s="4">
        <f t="shared" si="52"/>
        <v>2.6585138907350789E-2</v>
      </c>
      <c r="L840" s="6">
        <f t="shared" si="53"/>
        <v>1.18</v>
      </c>
      <c r="M840" s="6">
        <f t="shared" si="54"/>
        <v>118</v>
      </c>
      <c r="N840" s="8">
        <f t="shared" si="55"/>
        <v>0.30235169491525427</v>
      </c>
    </row>
    <row r="841" spans="1:14" x14ac:dyDescent="0.45">
      <c r="A841" s="12">
        <v>45508</v>
      </c>
      <c r="B841" s="2" t="s">
        <v>35</v>
      </c>
      <c r="C841" s="2" t="s">
        <v>28</v>
      </c>
      <c r="D841" s="2" t="s">
        <v>29</v>
      </c>
      <c r="E841" s="2" t="s">
        <v>33</v>
      </c>
      <c r="F841" s="2">
        <v>58968</v>
      </c>
      <c r="G841" s="2">
        <v>1715</v>
      </c>
      <c r="H841" s="2">
        <v>2555.35</v>
      </c>
      <c r="I841" s="2">
        <v>127</v>
      </c>
      <c r="J841" s="2">
        <v>13332.87</v>
      </c>
      <c r="K841" s="4">
        <f t="shared" si="52"/>
        <v>2.9083570750237417E-2</v>
      </c>
      <c r="L841" s="6">
        <f t="shared" si="53"/>
        <v>1.49</v>
      </c>
      <c r="M841" s="6">
        <f t="shared" si="54"/>
        <v>20.120866141732282</v>
      </c>
      <c r="N841" s="8">
        <f t="shared" si="55"/>
        <v>5.2176296789089562</v>
      </c>
    </row>
    <row r="842" spans="1:14" x14ac:dyDescent="0.45">
      <c r="A842" s="12">
        <v>45343</v>
      </c>
      <c r="B842" s="2" t="s">
        <v>15</v>
      </c>
      <c r="C842" s="2" t="s">
        <v>16</v>
      </c>
      <c r="D842" s="2" t="s">
        <v>25</v>
      </c>
      <c r="E842" s="2" t="s">
        <v>51</v>
      </c>
      <c r="F842" s="2">
        <v>13083</v>
      </c>
      <c r="G842" s="2">
        <v>707</v>
      </c>
      <c r="H842" s="2">
        <v>1682.66</v>
      </c>
      <c r="I842" s="2">
        <v>41</v>
      </c>
      <c r="J842" s="2">
        <v>10442.74</v>
      </c>
      <c r="K842" s="4">
        <f t="shared" si="52"/>
        <v>5.403959336543606E-2</v>
      </c>
      <c r="L842" s="6">
        <f t="shared" si="53"/>
        <v>2.3800000000000003</v>
      </c>
      <c r="M842" s="6">
        <f t="shared" si="54"/>
        <v>41.040487804878047</v>
      </c>
      <c r="N842" s="8">
        <f t="shared" si="55"/>
        <v>6.2060903569348529</v>
      </c>
    </row>
    <row r="843" spans="1:14" x14ac:dyDescent="0.45">
      <c r="A843" s="12">
        <v>45643</v>
      </c>
      <c r="B843" s="2" t="s">
        <v>20</v>
      </c>
      <c r="C843" s="2" t="s">
        <v>16</v>
      </c>
      <c r="D843" s="2" t="s">
        <v>29</v>
      </c>
      <c r="E843" s="2" t="s">
        <v>30</v>
      </c>
      <c r="F843" s="2">
        <v>109222</v>
      </c>
      <c r="G843" s="2">
        <v>7306</v>
      </c>
      <c r="H843" s="2">
        <v>7963.54</v>
      </c>
      <c r="I843" s="2">
        <v>124</v>
      </c>
      <c r="J843" s="2">
        <v>12349.14</v>
      </c>
      <c r="K843" s="4">
        <f t="shared" si="52"/>
        <v>6.6891285638424489E-2</v>
      </c>
      <c r="L843" s="6">
        <f t="shared" si="53"/>
        <v>1.0900000000000001</v>
      </c>
      <c r="M843" s="6">
        <f t="shared" si="54"/>
        <v>64.222096774193545</v>
      </c>
      <c r="N843" s="8">
        <f t="shared" si="55"/>
        <v>1.5507098601878058</v>
      </c>
    </row>
    <row r="844" spans="1:14" x14ac:dyDescent="0.45">
      <c r="A844" s="12">
        <v>45386</v>
      </c>
      <c r="B844" s="2" t="s">
        <v>20</v>
      </c>
      <c r="C844" s="2" t="s">
        <v>16</v>
      </c>
      <c r="D844" s="2" t="s">
        <v>29</v>
      </c>
      <c r="E844" s="2" t="s">
        <v>22</v>
      </c>
      <c r="F844" s="2">
        <v>45382</v>
      </c>
      <c r="G844" s="2">
        <v>2246</v>
      </c>
      <c r="H844" s="2">
        <v>3571.14</v>
      </c>
      <c r="I844" s="2">
        <v>46</v>
      </c>
      <c r="J844" s="2">
        <v>2662.9</v>
      </c>
      <c r="K844" s="4">
        <f t="shared" si="52"/>
        <v>4.9490987616235514E-2</v>
      </c>
      <c r="L844" s="6">
        <f t="shared" si="53"/>
        <v>1.5899999999999999</v>
      </c>
      <c r="M844" s="6">
        <f t="shared" si="54"/>
        <v>77.633478260869566</v>
      </c>
      <c r="N844" s="8">
        <f t="shared" si="55"/>
        <v>0.74567225031782569</v>
      </c>
    </row>
    <row r="845" spans="1:14" x14ac:dyDescent="0.45">
      <c r="A845" s="12">
        <v>45550</v>
      </c>
      <c r="B845" s="2" t="s">
        <v>35</v>
      </c>
      <c r="C845" s="2" t="s">
        <v>38</v>
      </c>
      <c r="D845" s="2" t="s">
        <v>25</v>
      </c>
      <c r="E845" s="2" t="s">
        <v>18</v>
      </c>
      <c r="F845" s="2">
        <v>196432</v>
      </c>
      <c r="G845" s="2">
        <v>6501</v>
      </c>
      <c r="H845" s="2">
        <v>2600.4</v>
      </c>
      <c r="I845" s="2">
        <v>462</v>
      </c>
      <c r="J845" s="2">
        <v>52195.74</v>
      </c>
      <c r="K845" s="4">
        <f t="shared" si="52"/>
        <v>3.3095422334446525E-2</v>
      </c>
      <c r="L845" s="6">
        <f t="shared" si="53"/>
        <v>0.4</v>
      </c>
      <c r="M845" s="6">
        <f t="shared" si="54"/>
        <v>5.628571428571429</v>
      </c>
      <c r="N845" s="8">
        <f t="shared" si="55"/>
        <v>20.072196585140745</v>
      </c>
    </row>
    <row r="846" spans="1:14" x14ac:dyDescent="0.45">
      <c r="A846" s="12">
        <v>45631</v>
      </c>
      <c r="B846" s="2" t="s">
        <v>20</v>
      </c>
      <c r="C846" s="2" t="s">
        <v>16</v>
      </c>
      <c r="D846" s="2" t="s">
        <v>21</v>
      </c>
      <c r="E846" s="2" t="s">
        <v>51</v>
      </c>
      <c r="F846" s="2">
        <v>71470</v>
      </c>
      <c r="G846" s="2">
        <v>2065</v>
      </c>
      <c r="H846" s="2">
        <v>2436.6999999999998</v>
      </c>
      <c r="I846" s="2">
        <v>37</v>
      </c>
      <c r="J846" s="2">
        <v>10377.15</v>
      </c>
      <c r="K846" s="4">
        <f t="shared" si="52"/>
        <v>2.889324191968658E-2</v>
      </c>
      <c r="L846" s="6">
        <f t="shared" si="53"/>
        <v>1.18</v>
      </c>
      <c r="M846" s="6">
        <f t="shared" si="54"/>
        <v>65.856756756756752</v>
      </c>
      <c r="N846" s="8">
        <f t="shared" si="55"/>
        <v>4.2586900316001151</v>
      </c>
    </row>
    <row r="847" spans="1:14" x14ac:dyDescent="0.45">
      <c r="A847" s="12">
        <v>45292</v>
      </c>
      <c r="B847" s="2" t="s">
        <v>20</v>
      </c>
      <c r="C847" s="2" t="s">
        <v>38</v>
      </c>
      <c r="D847" s="2" t="s">
        <v>29</v>
      </c>
      <c r="E847" s="2" t="s">
        <v>26</v>
      </c>
      <c r="F847" s="2">
        <v>103026</v>
      </c>
      <c r="G847" s="2">
        <v>9066</v>
      </c>
      <c r="H847" s="2">
        <v>12964.38</v>
      </c>
      <c r="I847" s="2">
        <v>278</v>
      </c>
      <c r="J847" s="2">
        <v>46631</v>
      </c>
      <c r="K847" s="4">
        <f t="shared" si="52"/>
        <v>8.7997204589132835E-2</v>
      </c>
      <c r="L847" s="6">
        <f t="shared" si="53"/>
        <v>1.43</v>
      </c>
      <c r="M847" s="6">
        <f t="shared" si="54"/>
        <v>46.634460431654674</v>
      </c>
      <c r="N847" s="8">
        <f t="shared" si="55"/>
        <v>3.5968553837514792</v>
      </c>
    </row>
    <row r="848" spans="1:14" x14ac:dyDescent="0.45">
      <c r="A848" s="12">
        <v>45486</v>
      </c>
      <c r="B848" s="2" t="s">
        <v>35</v>
      </c>
      <c r="C848" s="2" t="s">
        <v>38</v>
      </c>
      <c r="D848" s="2" t="s">
        <v>17</v>
      </c>
      <c r="E848" s="2" t="s">
        <v>51</v>
      </c>
      <c r="F848" s="2">
        <v>140793</v>
      </c>
      <c r="G848" s="2">
        <v>2886</v>
      </c>
      <c r="H848" s="2">
        <v>4386.72</v>
      </c>
      <c r="I848" s="2">
        <v>141</v>
      </c>
      <c r="J848" s="2">
        <v>12104.44</v>
      </c>
      <c r="K848" s="4">
        <f t="shared" si="52"/>
        <v>2.0498178176471843E-2</v>
      </c>
      <c r="L848" s="6">
        <f t="shared" si="53"/>
        <v>1.52</v>
      </c>
      <c r="M848" s="6">
        <f t="shared" si="54"/>
        <v>31.11148936170213</v>
      </c>
      <c r="N848" s="8">
        <f t="shared" si="55"/>
        <v>2.7593372724951672</v>
      </c>
    </row>
    <row r="849" spans="1:14" x14ac:dyDescent="0.45">
      <c r="A849" s="12">
        <v>45497</v>
      </c>
      <c r="B849" s="2" t="s">
        <v>35</v>
      </c>
      <c r="C849" s="2" t="s">
        <v>16</v>
      </c>
      <c r="D849" s="2" t="s">
        <v>17</v>
      </c>
      <c r="E849" s="2" t="s">
        <v>33</v>
      </c>
      <c r="F849" s="2">
        <v>8970</v>
      </c>
      <c r="G849" s="2">
        <v>306</v>
      </c>
      <c r="H849" s="2">
        <v>183.6</v>
      </c>
      <c r="I849" s="2">
        <v>22</v>
      </c>
      <c r="J849" s="2">
        <v>4976.05</v>
      </c>
      <c r="K849" s="4">
        <f t="shared" si="52"/>
        <v>3.4113712374581939E-2</v>
      </c>
      <c r="L849" s="6">
        <f t="shared" si="53"/>
        <v>0.6</v>
      </c>
      <c r="M849" s="6">
        <f t="shared" si="54"/>
        <v>8.3454545454545457</v>
      </c>
      <c r="N849" s="8">
        <f t="shared" si="55"/>
        <v>27.102668845315907</v>
      </c>
    </row>
    <row r="850" spans="1:14" x14ac:dyDescent="0.45">
      <c r="A850" s="12">
        <v>45644</v>
      </c>
      <c r="B850" s="2" t="s">
        <v>35</v>
      </c>
      <c r="C850" s="2" t="s">
        <v>38</v>
      </c>
      <c r="D850" s="2" t="s">
        <v>17</v>
      </c>
      <c r="E850" s="2" t="s">
        <v>30</v>
      </c>
      <c r="F850" s="2">
        <v>177825</v>
      </c>
      <c r="G850" s="2">
        <v>4285</v>
      </c>
      <c r="H850" s="2">
        <v>3342.3</v>
      </c>
      <c r="I850" s="2">
        <v>163</v>
      </c>
      <c r="J850" s="2">
        <v>29602.7</v>
      </c>
      <c r="K850" s="4">
        <f t="shared" si="52"/>
        <v>2.4096724307605791E-2</v>
      </c>
      <c r="L850" s="6">
        <f t="shared" si="53"/>
        <v>0.78</v>
      </c>
      <c r="M850" s="6">
        <f t="shared" si="54"/>
        <v>20.504907975460124</v>
      </c>
      <c r="N850" s="8">
        <f t="shared" si="55"/>
        <v>8.8569847111270672</v>
      </c>
    </row>
    <row r="851" spans="1:14" x14ac:dyDescent="0.45">
      <c r="A851" s="12">
        <v>45633</v>
      </c>
      <c r="B851" s="2" t="s">
        <v>35</v>
      </c>
      <c r="C851" s="2" t="s">
        <v>38</v>
      </c>
      <c r="D851" s="2" t="s">
        <v>29</v>
      </c>
      <c r="E851" s="2" t="s">
        <v>18</v>
      </c>
      <c r="F851" s="2">
        <v>122512</v>
      </c>
      <c r="G851" s="2">
        <v>4532</v>
      </c>
      <c r="H851" s="2">
        <v>8338.8799999999992</v>
      </c>
      <c r="I851" s="2">
        <v>61</v>
      </c>
      <c r="J851" s="2">
        <v>5305.8</v>
      </c>
      <c r="K851" s="4">
        <f t="shared" si="52"/>
        <v>3.6992294632362546E-2</v>
      </c>
      <c r="L851" s="6">
        <f t="shared" si="53"/>
        <v>1.8399999999999999</v>
      </c>
      <c r="M851" s="6">
        <f t="shared" si="54"/>
        <v>136.70295081967211</v>
      </c>
      <c r="N851" s="8">
        <f t="shared" si="55"/>
        <v>0.63627249702597954</v>
      </c>
    </row>
    <row r="852" spans="1:14" x14ac:dyDescent="0.45">
      <c r="A852" s="12">
        <v>45452</v>
      </c>
      <c r="B852" s="2" t="s">
        <v>15</v>
      </c>
      <c r="C852" s="2" t="s">
        <v>16</v>
      </c>
      <c r="D852" s="2" t="s">
        <v>21</v>
      </c>
      <c r="E852" s="2" t="s">
        <v>33</v>
      </c>
      <c r="F852" s="2">
        <v>107548</v>
      </c>
      <c r="G852" s="2">
        <v>4258</v>
      </c>
      <c r="H852" s="2">
        <v>13625.6</v>
      </c>
      <c r="I852" s="2">
        <v>145</v>
      </c>
      <c r="J852" s="2">
        <v>17656.919999999998</v>
      </c>
      <c r="K852" s="4">
        <f t="shared" si="52"/>
        <v>3.9591624205006136E-2</v>
      </c>
      <c r="L852" s="6">
        <f t="shared" si="53"/>
        <v>3.2</v>
      </c>
      <c r="M852" s="6">
        <f t="shared" si="54"/>
        <v>93.969655172413795</v>
      </c>
      <c r="N852" s="8">
        <f t="shared" si="55"/>
        <v>1.2958636683889149</v>
      </c>
    </row>
    <row r="853" spans="1:14" x14ac:dyDescent="0.45">
      <c r="A853" s="12">
        <v>45479</v>
      </c>
      <c r="B853" s="2" t="s">
        <v>20</v>
      </c>
      <c r="C853" s="2" t="s">
        <v>38</v>
      </c>
      <c r="D853" s="2" t="s">
        <v>25</v>
      </c>
      <c r="E853" s="2" t="s">
        <v>22</v>
      </c>
      <c r="F853" s="2">
        <v>89224</v>
      </c>
      <c r="G853" s="2">
        <v>5255</v>
      </c>
      <c r="H853" s="2">
        <v>10457.450000000001</v>
      </c>
      <c r="I853" s="2">
        <v>336</v>
      </c>
      <c r="J853" s="2">
        <v>94667.83</v>
      </c>
      <c r="K853" s="4">
        <f t="shared" si="52"/>
        <v>5.8896709405541113E-2</v>
      </c>
      <c r="L853" s="6">
        <f t="shared" si="53"/>
        <v>1.9900000000000002</v>
      </c>
      <c r="M853" s="6">
        <f t="shared" si="54"/>
        <v>31.123363095238098</v>
      </c>
      <c r="N853" s="8">
        <f t="shared" si="55"/>
        <v>9.0526686716168854</v>
      </c>
    </row>
    <row r="854" spans="1:14" x14ac:dyDescent="0.45">
      <c r="A854" s="12">
        <v>45592</v>
      </c>
      <c r="B854" s="2" t="s">
        <v>35</v>
      </c>
      <c r="C854" s="2" t="s">
        <v>38</v>
      </c>
      <c r="D854" s="2" t="s">
        <v>41</v>
      </c>
      <c r="E854" s="2" t="s">
        <v>22</v>
      </c>
      <c r="F854" s="2">
        <v>100561</v>
      </c>
      <c r="G854" s="2">
        <v>3781</v>
      </c>
      <c r="H854" s="2">
        <v>5255.59</v>
      </c>
      <c r="I854" s="2">
        <v>124</v>
      </c>
      <c r="J854" s="2">
        <v>34626.86</v>
      </c>
      <c r="K854" s="4">
        <f t="shared" si="52"/>
        <v>3.7599069221666448E-2</v>
      </c>
      <c r="L854" s="6">
        <f t="shared" si="53"/>
        <v>1.3900000000000001</v>
      </c>
      <c r="M854" s="6">
        <f t="shared" si="54"/>
        <v>42.383790322580644</v>
      </c>
      <c r="N854" s="8">
        <f t="shared" si="55"/>
        <v>6.5885771150337069</v>
      </c>
    </row>
    <row r="855" spans="1:14" x14ac:dyDescent="0.45">
      <c r="A855" s="12">
        <v>45443</v>
      </c>
      <c r="B855" s="2" t="s">
        <v>15</v>
      </c>
      <c r="C855" s="2" t="s">
        <v>16</v>
      </c>
      <c r="D855" s="2" t="s">
        <v>17</v>
      </c>
      <c r="E855" s="2" t="s">
        <v>18</v>
      </c>
      <c r="F855" s="2">
        <v>50111</v>
      </c>
      <c r="G855" s="2">
        <v>2320</v>
      </c>
      <c r="H855" s="2">
        <v>6333.6</v>
      </c>
      <c r="I855" s="2">
        <v>153</v>
      </c>
      <c r="J855" s="2">
        <v>30016.66</v>
      </c>
      <c r="K855" s="4">
        <f t="shared" si="52"/>
        <v>4.6297220171219892E-2</v>
      </c>
      <c r="L855" s="6">
        <f t="shared" si="53"/>
        <v>2.73</v>
      </c>
      <c r="M855" s="6">
        <f t="shared" si="54"/>
        <v>41.396078431372551</v>
      </c>
      <c r="N855" s="8">
        <f t="shared" si="55"/>
        <v>4.7392730832385999</v>
      </c>
    </row>
    <row r="856" spans="1:14" x14ac:dyDescent="0.45">
      <c r="A856" s="12">
        <v>45373</v>
      </c>
      <c r="B856" s="2" t="s">
        <v>15</v>
      </c>
      <c r="C856" s="2" t="s">
        <v>38</v>
      </c>
      <c r="D856" s="2" t="s">
        <v>29</v>
      </c>
      <c r="E856" s="2" t="s">
        <v>30</v>
      </c>
      <c r="F856" s="2">
        <v>65985</v>
      </c>
      <c r="G856" s="2">
        <v>1445</v>
      </c>
      <c r="H856" s="2">
        <v>1184.9000000000001</v>
      </c>
      <c r="I856" s="2">
        <v>63</v>
      </c>
      <c r="J856" s="2">
        <v>4237.8500000000004</v>
      </c>
      <c r="K856" s="4">
        <f t="shared" si="52"/>
        <v>2.1898916420398575E-2</v>
      </c>
      <c r="L856" s="6">
        <f t="shared" si="53"/>
        <v>0.82000000000000006</v>
      </c>
      <c r="M856" s="6">
        <f t="shared" si="54"/>
        <v>18.80793650793651</v>
      </c>
      <c r="N856" s="8">
        <f t="shared" si="55"/>
        <v>3.5765465440121531</v>
      </c>
    </row>
    <row r="857" spans="1:14" x14ac:dyDescent="0.45">
      <c r="A857" s="12">
        <v>45498</v>
      </c>
      <c r="B857" s="2" t="s">
        <v>35</v>
      </c>
      <c r="C857" s="2" t="s">
        <v>24</v>
      </c>
      <c r="D857" s="2" t="s">
        <v>41</v>
      </c>
      <c r="E857" s="2" t="s">
        <v>30</v>
      </c>
      <c r="F857" s="2">
        <v>93257</v>
      </c>
      <c r="G857" s="2">
        <v>1930</v>
      </c>
      <c r="H857" s="2">
        <v>2547.6</v>
      </c>
      <c r="I857" s="2">
        <v>102</v>
      </c>
      <c r="J857" s="2">
        <v>26767.95</v>
      </c>
      <c r="K857" s="4">
        <f t="shared" si="52"/>
        <v>2.069549738893595E-2</v>
      </c>
      <c r="L857" s="6">
        <f t="shared" si="53"/>
        <v>1.32</v>
      </c>
      <c r="M857" s="6">
        <f t="shared" si="54"/>
        <v>24.976470588235294</v>
      </c>
      <c r="N857" s="8">
        <f t="shared" si="55"/>
        <v>10.507124352331607</v>
      </c>
    </row>
    <row r="858" spans="1:14" x14ac:dyDescent="0.45">
      <c r="A858" s="12">
        <v>45650</v>
      </c>
      <c r="B858" s="2" t="s">
        <v>20</v>
      </c>
      <c r="C858" s="2" t="s">
        <v>16</v>
      </c>
      <c r="D858" s="2" t="s">
        <v>29</v>
      </c>
      <c r="E858" s="2" t="s">
        <v>51</v>
      </c>
      <c r="F858" s="2">
        <v>102847</v>
      </c>
      <c r="G858" s="2">
        <v>6458</v>
      </c>
      <c r="H858" s="2">
        <v>7555.86</v>
      </c>
      <c r="I858" s="2">
        <v>314</v>
      </c>
      <c r="J858" s="2">
        <v>81199.399999999994</v>
      </c>
      <c r="K858" s="4">
        <f t="shared" si="52"/>
        <v>6.279230312989198E-2</v>
      </c>
      <c r="L858" s="6">
        <f t="shared" si="53"/>
        <v>1.17</v>
      </c>
      <c r="M858" s="6">
        <f t="shared" si="54"/>
        <v>24.063248407643311</v>
      </c>
      <c r="N858" s="8">
        <f t="shared" si="55"/>
        <v>10.746546389160201</v>
      </c>
    </row>
    <row r="859" spans="1:14" x14ac:dyDescent="0.45">
      <c r="A859" s="12">
        <v>45340</v>
      </c>
      <c r="B859" s="2" t="s">
        <v>35</v>
      </c>
      <c r="C859" s="2" t="s">
        <v>16</v>
      </c>
      <c r="D859" s="2" t="s">
        <v>29</v>
      </c>
      <c r="E859" s="2" t="s">
        <v>18</v>
      </c>
      <c r="F859" s="2">
        <v>161738</v>
      </c>
      <c r="G859" s="2">
        <v>5046</v>
      </c>
      <c r="H859" s="2">
        <v>8376.36</v>
      </c>
      <c r="I859" s="2">
        <v>258</v>
      </c>
      <c r="J859" s="2">
        <v>29417.67</v>
      </c>
      <c r="K859" s="4">
        <f t="shared" si="52"/>
        <v>3.1198605151541381E-2</v>
      </c>
      <c r="L859" s="6">
        <f t="shared" si="53"/>
        <v>1.6600000000000001</v>
      </c>
      <c r="M859" s="6">
        <f t="shared" si="54"/>
        <v>32.466511627906982</v>
      </c>
      <c r="N859" s="8">
        <f t="shared" si="55"/>
        <v>3.5119873071357959</v>
      </c>
    </row>
    <row r="860" spans="1:14" x14ac:dyDescent="0.45">
      <c r="A860" s="12">
        <v>45419</v>
      </c>
      <c r="B860" s="2" t="s">
        <v>35</v>
      </c>
      <c r="C860" s="2" t="s">
        <v>28</v>
      </c>
      <c r="D860" s="2" t="s">
        <v>25</v>
      </c>
      <c r="E860" s="2" t="s">
        <v>54</v>
      </c>
      <c r="F860" s="2">
        <v>46516</v>
      </c>
      <c r="G860" s="2">
        <v>772</v>
      </c>
      <c r="H860" s="2">
        <v>455.48</v>
      </c>
      <c r="I860" s="2">
        <v>39</v>
      </c>
      <c r="J860" s="2">
        <v>4874.74</v>
      </c>
      <c r="K860" s="4">
        <f t="shared" si="52"/>
        <v>1.6596439934646143E-2</v>
      </c>
      <c r="L860" s="6">
        <f t="shared" si="53"/>
        <v>0.59</v>
      </c>
      <c r="M860" s="6">
        <f t="shared" si="54"/>
        <v>11.67897435897436</v>
      </c>
      <c r="N860" s="8">
        <f t="shared" si="55"/>
        <v>10.702423816633001</v>
      </c>
    </row>
    <row r="861" spans="1:14" x14ac:dyDescent="0.45">
      <c r="A861" s="12">
        <v>45598</v>
      </c>
      <c r="B861" s="2" t="s">
        <v>15</v>
      </c>
      <c r="C861" s="2" t="s">
        <v>24</v>
      </c>
      <c r="D861" s="2" t="s">
        <v>29</v>
      </c>
      <c r="E861" s="2" t="s">
        <v>33</v>
      </c>
      <c r="F861" s="2">
        <v>7802</v>
      </c>
      <c r="G861" s="2">
        <v>340</v>
      </c>
      <c r="H861" s="2">
        <v>805.8</v>
      </c>
      <c r="I861" s="2">
        <v>14</v>
      </c>
      <c r="J861" s="2">
        <v>799.08</v>
      </c>
      <c r="K861" s="4">
        <f t="shared" si="52"/>
        <v>4.3578569597539092E-2</v>
      </c>
      <c r="L861" s="6">
        <f t="shared" si="53"/>
        <v>2.3699999999999997</v>
      </c>
      <c r="M861" s="6">
        <f t="shared" si="54"/>
        <v>57.557142857142857</v>
      </c>
      <c r="N861" s="8">
        <f t="shared" si="55"/>
        <v>0.99166046165301569</v>
      </c>
    </row>
    <row r="862" spans="1:14" x14ac:dyDescent="0.45">
      <c r="A862" s="12">
        <v>45587</v>
      </c>
      <c r="B862" s="2" t="s">
        <v>15</v>
      </c>
      <c r="C862" s="2" t="s">
        <v>16</v>
      </c>
      <c r="D862" s="2" t="s">
        <v>21</v>
      </c>
      <c r="E862" s="2" t="s">
        <v>26</v>
      </c>
      <c r="F862" s="2">
        <v>15960</v>
      </c>
      <c r="G862" s="2">
        <v>750</v>
      </c>
      <c r="H862" s="2">
        <v>1290</v>
      </c>
      <c r="I862" s="2">
        <v>40</v>
      </c>
      <c r="J862" s="2">
        <v>6919.55</v>
      </c>
      <c r="K862" s="4">
        <f t="shared" si="52"/>
        <v>4.6992481203007516E-2</v>
      </c>
      <c r="L862" s="6">
        <f t="shared" si="53"/>
        <v>1.72</v>
      </c>
      <c r="M862" s="6">
        <f t="shared" si="54"/>
        <v>32.25</v>
      </c>
      <c r="N862" s="8">
        <f t="shared" si="55"/>
        <v>5.3639922480620159</v>
      </c>
    </row>
    <row r="863" spans="1:14" x14ac:dyDescent="0.45">
      <c r="A863" s="12">
        <v>45307</v>
      </c>
      <c r="B863" s="2" t="s">
        <v>20</v>
      </c>
      <c r="C863" s="2" t="s">
        <v>28</v>
      </c>
      <c r="D863" s="2" t="s">
        <v>29</v>
      </c>
      <c r="E863" s="2" t="s">
        <v>54</v>
      </c>
      <c r="F863" s="2">
        <v>55701</v>
      </c>
      <c r="G863" s="2">
        <v>4138</v>
      </c>
      <c r="H863" s="2">
        <v>1406.92</v>
      </c>
      <c r="I863" s="2">
        <v>229</v>
      </c>
      <c r="J863" s="2">
        <v>20016.59</v>
      </c>
      <c r="K863" s="4">
        <f t="shared" si="52"/>
        <v>7.4289510062655967E-2</v>
      </c>
      <c r="L863" s="6">
        <f t="shared" si="53"/>
        <v>0.34</v>
      </c>
      <c r="M863" s="6">
        <f t="shared" si="54"/>
        <v>6.143755458515284</v>
      </c>
      <c r="N863" s="8">
        <f t="shared" si="55"/>
        <v>14.227241065590082</v>
      </c>
    </row>
    <row r="864" spans="1:14" x14ac:dyDescent="0.45">
      <c r="A864" s="12">
        <v>45473</v>
      </c>
      <c r="B864" s="2" t="s">
        <v>15</v>
      </c>
      <c r="C864" s="2" t="s">
        <v>38</v>
      </c>
      <c r="D864" s="2" t="s">
        <v>41</v>
      </c>
      <c r="E864" s="2" t="s">
        <v>51</v>
      </c>
      <c r="F864" s="2">
        <v>64757</v>
      </c>
      <c r="G864" s="2">
        <v>3976</v>
      </c>
      <c r="H864" s="2">
        <v>5685.68</v>
      </c>
      <c r="I864" s="2">
        <v>58</v>
      </c>
      <c r="J864" s="2">
        <v>4380.33</v>
      </c>
      <c r="K864" s="4">
        <f t="shared" si="52"/>
        <v>6.1398767700789107E-2</v>
      </c>
      <c r="L864" s="6">
        <f t="shared" si="53"/>
        <v>1.4300000000000002</v>
      </c>
      <c r="M864" s="6">
        <f t="shared" si="54"/>
        <v>98.028965517241389</v>
      </c>
      <c r="N864" s="8">
        <f t="shared" si="55"/>
        <v>0.77041444471021936</v>
      </c>
    </row>
    <row r="865" spans="1:14" x14ac:dyDescent="0.45">
      <c r="A865" s="12">
        <v>45386</v>
      </c>
      <c r="B865" s="2" t="s">
        <v>20</v>
      </c>
      <c r="C865" s="2" t="s">
        <v>16</v>
      </c>
      <c r="D865" s="2" t="s">
        <v>29</v>
      </c>
      <c r="E865" s="2" t="s">
        <v>22</v>
      </c>
      <c r="F865" s="2">
        <v>199291</v>
      </c>
      <c r="G865" s="2">
        <v>16660</v>
      </c>
      <c r="H865" s="2">
        <v>19325.599999999999</v>
      </c>
      <c r="I865" s="2">
        <v>1016</v>
      </c>
      <c r="J865" s="2">
        <v>207611.26</v>
      </c>
      <c r="K865" s="4">
        <f t="shared" si="52"/>
        <v>8.3596349057408509E-2</v>
      </c>
      <c r="L865" s="6">
        <f t="shared" si="53"/>
        <v>1.1599999999999999</v>
      </c>
      <c r="M865" s="6">
        <f t="shared" si="54"/>
        <v>19.021259842519683</v>
      </c>
      <c r="N865" s="8">
        <f t="shared" si="55"/>
        <v>10.742810572504865</v>
      </c>
    </row>
    <row r="866" spans="1:14" x14ac:dyDescent="0.45">
      <c r="A866" s="12">
        <v>45553</v>
      </c>
      <c r="B866" s="2" t="s">
        <v>20</v>
      </c>
      <c r="C866" s="2" t="s">
        <v>28</v>
      </c>
      <c r="D866" s="2" t="s">
        <v>21</v>
      </c>
      <c r="E866" s="2" t="s">
        <v>22</v>
      </c>
      <c r="F866" s="2">
        <v>116800</v>
      </c>
      <c r="G866" s="2">
        <v>8351</v>
      </c>
      <c r="H866" s="2">
        <v>5845.7</v>
      </c>
      <c r="I866" s="2">
        <v>493</v>
      </c>
      <c r="J866" s="2">
        <v>80828.759999999995</v>
      </c>
      <c r="K866" s="4">
        <f t="shared" si="52"/>
        <v>7.1498287671232882E-2</v>
      </c>
      <c r="L866" s="6">
        <f t="shared" si="53"/>
        <v>0.7</v>
      </c>
      <c r="M866" s="6">
        <f t="shared" si="54"/>
        <v>11.857403651115618</v>
      </c>
      <c r="N866" s="8">
        <f t="shared" si="55"/>
        <v>13.827045520639102</v>
      </c>
    </row>
    <row r="867" spans="1:14" x14ac:dyDescent="0.45">
      <c r="A867" s="12">
        <v>45595</v>
      </c>
      <c r="B867" s="2" t="s">
        <v>35</v>
      </c>
      <c r="C867" s="2" t="s">
        <v>28</v>
      </c>
      <c r="D867" s="2" t="s">
        <v>25</v>
      </c>
      <c r="E867" s="2" t="s">
        <v>33</v>
      </c>
      <c r="F867" s="2">
        <v>88470</v>
      </c>
      <c r="G867" s="2">
        <v>2459</v>
      </c>
      <c r="H867" s="2">
        <v>2434.41</v>
      </c>
      <c r="I867" s="2">
        <v>165</v>
      </c>
      <c r="J867" s="2">
        <v>44145</v>
      </c>
      <c r="K867" s="4">
        <f t="shared" si="52"/>
        <v>2.7794732677743867E-2</v>
      </c>
      <c r="L867" s="6">
        <f t="shared" si="53"/>
        <v>0.99</v>
      </c>
      <c r="M867" s="6">
        <f t="shared" si="54"/>
        <v>14.754</v>
      </c>
      <c r="N867" s="8">
        <f t="shared" si="55"/>
        <v>18.133757255351401</v>
      </c>
    </row>
    <row r="868" spans="1:14" x14ac:dyDescent="0.45">
      <c r="A868" s="12">
        <v>45358</v>
      </c>
      <c r="B868" s="2" t="s">
        <v>20</v>
      </c>
      <c r="C868" s="2" t="s">
        <v>38</v>
      </c>
      <c r="D868" s="2" t="s">
        <v>25</v>
      </c>
      <c r="E868" s="2" t="s">
        <v>54</v>
      </c>
      <c r="F868" s="2">
        <v>186782</v>
      </c>
      <c r="G868" s="2">
        <v>14270</v>
      </c>
      <c r="H868" s="2">
        <v>15411.6</v>
      </c>
      <c r="I868" s="2">
        <v>931</v>
      </c>
      <c r="J868" s="2">
        <v>224929.42</v>
      </c>
      <c r="K868" s="4">
        <f t="shared" si="52"/>
        <v>7.6399224764698959E-2</v>
      </c>
      <c r="L868" s="6">
        <f t="shared" si="53"/>
        <v>1.08</v>
      </c>
      <c r="M868" s="6">
        <f t="shared" si="54"/>
        <v>16.553813104189043</v>
      </c>
      <c r="N868" s="8">
        <f t="shared" si="55"/>
        <v>14.594812998001506</v>
      </c>
    </row>
    <row r="869" spans="1:14" x14ac:dyDescent="0.45">
      <c r="A869" s="12">
        <v>45634</v>
      </c>
      <c r="B869" s="2" t="s">
        <v>15</v>
      </c>
      <c r="C869" s="2" t="s">
        <v>38</v>
      </c>
      <c r="D869" s="2" t="s">
        <v>25</v>
      </c>
      <c r="E869" s="2" t="s">
        <v>18</v>
      </c>
      <c r="F869" s="2">
        <v>121832</v>
      </c>
      <c r="G869" s="2">
        <v>6786</v>
      </c>
      <c r="H869" s="2">
        <v>8007.48</v>
      </c>
      <c r="I869" s="2">
        <v>139</v>
      </c>
      <c r="J869" s="2">
        <v>28929.72</v>
      </c>
      <c r="K869" s="4">
        <f t="shared" si="52"/>
        <v>5.569965197977543E-2</v>
      </c>
      <c r="L869" s="6">
        <f t="shared" si="53"/>
        <v>1.18</v>
      </c>
      <c r="M869" s="6">
        <f t="shared" si="54"/>
        <v>57.60776978417266</v>
      </c>
      <c r="N869" s="8">
        <f t="shared" si="55"/>
        <v>3.6128369974074244</v>
      </c>
    </row>
    <row r="870" spans="1:14" x14ac:dyDescent="0.45">
      <c r="A870" s="12">
        <v>45546</v>
      </c>
      <c r="B870" s="2" t="s">
        <v>15</v>
      </c>
      <c r="C870" s="2" t="s">
        <v>24</v>
      </c>
      <c r="D870" s="2" t="s">
        <v>41</v>
      </c>
      <c r="E870" s="2" t="s">
        <v>26</v>
      </c>
      <c r="F870" s="2">
        <v>88514</v>
      </c>
      <c r="G870" s="2">
        <v>1610</v>
      </c>
      <c r="H870" s="2">
        <v>1384.6</v>
      </c>
      <c r="I870" s="2">
        <v>77</v>
      </c>
      <c r="J870" s="2">
        <v>22165.040000000001</v>
      </c>
      <c r="K870" s="4">
        <f t="shared" si="52"/>
        <v>1.8189213005852183E-2</v>
      </c>
      <c r="L870" s="6">
        <f t="shared" si="53"/>
        <v>0.86</v>
      </c>
      <c r="M870" s="6">
        <f t="shared" si="54"/>
        <v>17.981818181818181</v>
      </c>
      <c r="N870" s="8">
        <f t="shared" si="55"/>
        <v>16.008262314025714</v>
      </c>
    </row>
    <row r="871" spans="1:14" x14ac:dyDescent="0.45">
      <c r="A871" s="12">
        <v>45579</v>
      </c>
      <c r="B871" s="2" t="s">
        <v>35</v>
      </c>
      <c r="C871" s="2" t="s">
        <v>38</v>
      </c>
      <c r="D871" s="2" t="s">
        <v>17</v>
      </c>
      <c r="E871" s="2" t="s">
        <v>51</v>
      </c>
      <c r="F871" s="2">
        <v>125424</v>
      </c>
      <c r="G871" s="2">
        <v>3787</v>
      </c>
      <c r="H871" s="2">
        <v>1817.76</v>
      </c>
      <c r="I871" s="2">
        <v>253</v>
      </c>
      <c r="J871" s="2">
        <v>36320.54</v>
      </c>
      <c r="K871" s="4">
        <f t="shared" si="52"/>
        <v>3.0193583365225155E-2</v>
      </c>
      <c r="L871" s="6">
        <f t="shared" si="53"/>
        <v>0.48</v>
      </c>
      <c r="M871" s="6">
        <f t="shared" si="54"/>
        <v>7.1848221343873515</v>
      </c>
      <c r="N871" s="8">
        <f t="shared" si="55"/>
        <v>19.980932576357716</v>
      </c>
    </row>
    <row r="872" spans="1:14" x14ac:dyDescent="0.45">
      <c r="A872" s="12">
        <v>45632</v>
      </c>
      <c r="B872" s="2" t="s">
        <v>20</v>
      </c>
      <c r="C872" s="2" t="s">
        <v>24</v>
      </c>
      <c r="D872" s="2" t="s">
        <v>25</v>
      </c>
      <c r="E872" s="2" t="s">
        <v>18</v>
      </c>
      <c r="F872" s="2">
        <v>23883</v>
      </c>
      <c r="G872" s="2">
        <v>1332</v>
      </c>
      <c r="H872" s="2">
        <v>2077.92</v>
      </c>
      <c r="I872" s="2">
        <v>66</v>
      </c>
      <c r="J872" s="2">
        <v>10903.46</v>
      </c>
      <c r="K872" s="4">
        <f t="shared" si="52"/>
        <v>5.5771887953774649E-2</v>
      </c>
      <c r="L872" s="6">
        <f t="shared" si="53"/>
        <v>1.56</v>
      </c>
      <c r="M872" s="6">
        <f t="shared" si="54"/>
        <v>31.483636363636364</v>
      </c>
      <c r="N872" s="8">
        <f t="shared" si="55"/>
        <v>5.2472953722953717</v>
      </c>
    </row>
    <row r="873" spans="1:14" x14ac:dyDescent="0.45">
      <c r="A873" s="12">
        <v>45420</v>
      </c>
      <c r="B873" s="2" t="s">
        <v>35</v>
      </c>
      <c r="C873" s="2" t="s">
        <v>28</v>
      </c>
      <c r="D873" s="2" t="s">
        <v>41</v>
      </c>
      <c r="E873" s="2" t="s">
        <v>30</v>
      </c>
      <c r="F873" s="2">
        <v>49864</v>
      </c>
      <c r="G873" s="2">
        <v>2074</v>
      </c>
      <c r="H873" s="2">
        <v>3629.5</v>
      </c>
      <c r="I873" s="2">
        <v>73</v>
      </c>
      <c r="J873" s="2">
        <v>14018.44</v>
      </c>
      <c r="K873" s="4">
        <f t="shared" si="52"/>
        <v>4.1593133322637574E-2</v>
      </c>
      <c r="L873" s="6">
        <f t="shared" si="53"/>
        <v>1.75</v>
      </c>
      <c r="M873" s="6">
        <f t="shared" si="54"/>
        <v>49.719178082191782</v>
      </c>
      <c r="N873" s="8">
        <f t="shared" si="55"/>
        <v>3.862361206777793</v>
      </c>
    </row>
    <row r="874" spans="1:14" x14ac:dyDescent="0.45">
      <c r="A874" s="12">
        <v>45500</v>
      </c>
      <c r="B874" s="2" t="s">
        <v>15</v>
      </c>
      <c r="C874" s="2" t="s">
        <v>24</v>
      </c>
      <c r="D874" s="2" t="s">
        <v>29</v>
      </c>
      <c r="E874" s="2" t="s">
        <v>18</v>
      </c>
      <c r="F874" s="2">
        <v>190890</v>
      </c>
      <c r="G874" s="2">
        <v>7616</v>
      </c>
      <c r="H874" s="2">
        <v>8834.56</v>
      </c>
      <c r="I874" s="2">
        <v>141</v>
      </c>
      <c r="J874" s="2">
        <v>25751.07</v>
      </c>
      <c r="K874" s="4">
        <f t="shared" si="52"/>
        <v>3.9897323065639895E-2</v>
      </c>
      <c r="L874" s="6">
        <f t="shared" si="53"/>
        <v>1.1599999999999999</v>
      </c>
      <c r="M874" s="6">
        <f t="shared" si="54"/>
        <v>62.656453900709216</v>
      </c>
      <c r="N874" s="8">
        <f t="shared" si="55"/>
        <v>2.9148106979860913</v>
      </c>
    </row>
    <row r="875" spans="1:14" x14ac:dyDescent="0.45">
      <c r="A875" s="12">
        <v>45598</v>
      </c>
      <c r="B875" s="2" t="s">
        <v>15</v>
      </c>
      <c r="C875" s="2" t="s">
        <v>38</v>
      </c>
      <c r="D875" s="2" t="s">
        <v>21</v>
      </c>
      <c r="E875" s="2" t="s">
        <v>22</v>
      </c>
      <c r="F875" s="2">
        <v>146295</v>
      </c>
      <c r="G875" s="2">
        <v>3394</v>
      </c>
      <c r="H875" s="2">
        <v>11573.54</v>
      </c>
      <c r="I875" s="2">
        <v>195</v>
      </c>
      <c r="J875" s="2">
        <v>49666.69</v>
      </c>
      <c r="K875" s="4">
        <f t="shared" si="52"/>
        <v>2.3199699237841348E-2</v>
      </c>
      <c r="L875" s="6">
        <f t="shared" si="53"/>
        <v>3.41</v>
      </c>
      <c r="M875" s="6">
        <f t="shared" si="54"/>
        <v>59.351487179487187</v>
      </c>
      <c r="N875" s="8">
        <f t="shared" si="55"/>
        <v>4.2914000383633697</v>
      </c>
    </row>
    <row r="876" spans="1:14" x14ac:dyDescent="0.45">
      <c r="A876" s="12">
        <v>45558</v>
      </c>
      <c r="B876" s="2" t="s">
        <v>35</v>
      </c>
      <c r="C876" s="2" t="s">
        <v>16</v>
      </c>
      <c r="D876" s="2" t="s">
        <v>29</v>
      </c>
      <c r="E876" s="2" t="s">
        <v>51</v>
      </c>
      <c r="F876" s="2">
        <v>29343</v>
      </c>
      <c r="G876" s="2">
        <v>346</v>
      </c>
      <c r="H876" s="2">
        <v>695.46</v>
      </c>
      <c r="I876" s="2">
        <v>7</v>
      </c>
      <c r="J876" s="2">
        <v>672.01</v>
      </c>
      <c r="K876" s="4">
        <f t="shared" si="52"/>
        <v>1.1791568687591588E-2</v>
      </c>
      <c r="L876" s="6">
        <f t="shared" si="53"/>
        <v>2.0100000000000002</v>
      </c>
      <c r="M876" s="6">
        <f t="shared" si="54"/>
        <v>99.351428571428571</v>
      </c>
      <c r="N876" s="8">
        <f t="shared" si="55"/>
        <v>0.96628131021194597</v>
      </c>
    </row>
    <row r="877" spans="1:14" x14ac:dyDescent="0.45">
      <c r="A877" s="12">
        <v>45560</v>
      </c>
      <c r="B877" s="2" t="s">
        <v>20</v>
      </c>
      <c r="C877" s="2" t="s">
        <v>38</v>
      </c>
      <c r="D877" s="2" t="s">
        <v>21</v>
      </c>
      <c r="E877" s="2" t="s">
        <v>54</v>
      </c>
      <c r="F877" s="2">
        <v>154712</v>
      </c>
      <c r="G877" s="2">
        <v>10288</v>
      </c>
      <c r="H877" s="2">
        <v>11111.04</v>
      </c>
      <c r="I877" s="2">
        <v>439</v>
      </c>
      <c r="J877" s="2">
        <v>80440.02</v>
      </c>
      <c r="K877" s="4">
        <f t="shared" si="52"/>
        <v>6.649775065928952E-2</v>
      </c>
      <c r="L877" s="6">
        <f t="shared" si="53"/>
        <v>1.08</v>
      </c>
      <c r="M877" s="6">
        <f t="shared" si="54"/>
        <v>25.309886104783601</v>
      </c>
      <c r="N877" s="8">
        <f t="shared" si="55"/>
        <v>7.239648133748056</v>
      </c>
    </row>
    <row r="878" spans="1:14" x14ac:dyDescent="0.45">
      <c r="A878" s="12">
        <v>45388</v>
      </c>
      <c r="B878" s="2" t="s">
        <v>20</v>
      </c>
      <c r="C878" s="2" t="s">
        <v>24</v>
      </c>
      <c r="D878" s="2" t="s">
        <v>21</v>
      </c>
      <c r="E878" s="2" t="s">
        <v>30</v>
      </c>
      <c r="F878" s="2">
        <v>60438</v>
      </c>
      <c r="G878" s="2">
        <v>5554</v>
      </c>
      <c r="H878" s="2">
        <v>7997.76</v>
      </c>
      <c r="I878" s="2">
        <v>286</v>
      </c>
      <c r="J878" s="2">
        <v>35506.6</v>
      </c>
      <c r="K878" s="4">
        <f t="shared" si="52"/>
        <v>9.1895827128627691E-2</v>
      </c>
      <c r="L878" s="6">
        <f t="shared" si="53"/>
        <v>1.44</v>
      </c>
      <c r="M878" s="6">
        <f t="shared" si="54"/>
        <v>27.964195804195803</v>
      </c>
      <c r="N878" s="8">
        <f t="shared" si="55"/>
        <v>4.4395680790621368</v>
      </c>
    </row>
    <row r="879" spans="1:14" x14ac:dyDescent="0.45">
      <c r="A879" s="12">
        <v>45444</v>
      </c>
      <c r="B879" s="2" t="s">
        <v>15</v>
      </c>
      <c r="C879" s="2" t="s">
        <v>28</v>
      </c>
      <c r="D879" s="2" t="s">
        <v>21</v>
      </c>
      <c r="E879" s="2" t="s">
        <v>54</v>
      </c>
      <c r="F879" s="2">
        <v>18149</v>
      </c>
      <c r="G879" s="2">
        <v>918</v>
      </c>
      <c r="H879" s="2">
        <v>1487.16</v>
      </c>
      <c r="I879" s="2">
        <v>14</v>
      </c>
      <c r="J879" s="2">
        <v>3557.93</v>
      </c>
      <c r="K879" s="4">
        <f t="shared" si="52"/>
        <v>5.0581299245137476E-2</v>
      </c>
      <c r="L879" s="6">
        <f t="shared" si="53"/>
        <v>1.62</v>
      </c>
      <c r="M879" s="6">
        <f t="shared" si="54"/>
        <v>106.22571428571429</v>
      </c>
      <c r="N879" s="8">
        <f t="shared" si="55"/>
        <v>2.3924325560128028</v>
      </c>
    </row>
    <row r="880" spans="1:14" x14ac:dyDescent="0.45">
      <c r="A880" s="12">
        <v>45567</v>
      </c>
      <c r="B880" s="2" t="s">
        <v>20</v>
      </c>
      <c r="C880" s="2" t="s">
        <v>28</v>
      </c>
      <c r="D880" s="2" t="s">
        <v>29</v>
      </c>
      <c r="E880" s="2" t="s">
        <v>30</v>
      </c>
      <c r="F880" s="2">
        <v>39626</v>
      </c>
      <c r="G880" s="2">
        <v>1172</v>
      </c>
      <c r="H880" s="2">
        <v>679.76</v>
      </c>
      <c r="I880" s="2">
        <v>22</v>
      </c>
      <c r="J880" s="2">
        <v>1100.5899999999999</v>
      </c>
      <c r="K880" s="4">
        <f t="shared" si="52"/>
        <v>2.9576540655125421E-2</v>
      </c>
      <c r="L880" s="6">
        <f t="shared" si="53"/>
        <v>0.57999999999999996</v>
      </c>
      <c r="M880" s="6">
        <f t="shared" si="54"/>
        <v>30.898181818181818</v>
      </c>
      <c r="N880" s="8">
        <f t="shared" si="55"/>
        <v>1.6190861480522536</v>
      </c>
    </row>
    <row r="881" spans="1:14" x14ac:dyDescent="0.45">
      <c r="A881" s="12">
        <v>45402</v>
      </c>
      <c r="B881" s="2" t="s">
        <v>20</v>
      </c>
      <c r="C881" s="2" t="s">
        <v>28</v>
      </c>
      <c r="D881" s="2" t="s">
        <v>41</v>
      </c>
      <c r="E881" s="2" t="s">
        <v>18</v>
      </c>
      <c r="F881" s="2">
        <v>103730</v>
      </c>
      <c r="G881" s="2">
        <v>4335</v>
      </c>
      <c r="H881" s="2">
        <v>6415.8</v>
      </c>
      <c r="I881" s="2">
        <v>104</v>
      </c>
      <c r="J881" s="2">
        <v>27379.91</v>
      </c>
      <c r="K881" s="4">
        <f t="shared" si="52"/>
        <v>4.1791188662874769E-2</v>
      </c>
      <c r="L881" s="6">
        <f t="shared" si="53"/>
        <v>1.48</v>
      </c>
      <c r="M881" s="6">
        <f t="shared" si="54"/>
        <v>61.690384615384616</v>
      </c>
      <c r="N881" s="8">
        <f t="shared" si="55"/>
        <v>4.2675753608279559</v>
      </c>
    </row>
    <row r="882" spans="1:14" x14ac:dyDescent="0.45">
      <c r="A882" s="12">
        <v>45472</v>
      </c>
      <c r="B882" s="2" t="s">
        <v>15</v>
      </c>
      <c r="C882" s="2" t="s">
        <v>38</v>
      </c>
      <c r="D882" s="2" t="s">
        <v>25</v>
      </c>
      <c r="E882" s="2" t="s">
        <v>26</v>
      </c>
      <c r="F882" s="2">
        <v>35346</v>
      </c>
      <c r="G882" s="2">
        <v>1279</v>
      </c>
      <c r="H882" s="2">
        <v>3248.66</v>
      </c>
      <c r="I882" s="2">
        <v>48</v>
      </c>
      <c r="J882" s="2">
        <v>1649.56</v>
      </c>
      <c r="K882" s="4">
        <f t="shared" si="52"/>
        <v>3.6185141175804902E-2</v>
      </c>
      <c r="L882" s="6">
        <f t="shared" si="53"/>
        <v>2.54</v>
      </c>
      <c r="M882" s="6">
        <f t="shared" si="54"/>
        <v>67.680416666666659</v>
      </c>
      <c r="N882" s="8">
        <f t="shared" si="55"/>
        <v>0.50776627901965732</v>
      </c>
    </row>
    <row r="883" spans="1:14" x14ac:dyDescent="0.45">
      <c r="A883" s="12">
        <v>45321</v>
      </c>
      <c r="B883" s="2" t="s">
        <v>35</v>
      </c>
      <c r="C883" s="2" t="s">
        <v>24</v>
      </c>
      <c r="D883" s="2" t="s">
        <v>25</v>
      </c>
      <c r="E883" s="2" t="s">
        <v>54</v>
      </c>
      <c r="F883" s="2">
        <v>57776</v>
      </c>
      <c r="G883" s="2">
        <v>1490</v>
      </c>
      <c r="H883" s="2">
        <v>1758.2</v>
      </c>
      <c r="I883" s="2">
        <v>107</v>
      </c>
      <c r="J883" s="2">
        <v>22435.51</v>
      </c>
      <c r="K883" s="4">
        <f t="shared" si="52"/>
        <v>2.5789255054001661E-2</v>
      </c>
      <c r="L883" s="6">
        <f t="shared" si="53"/>
        <v>1.18</v>
      </c>
      <c r="M883" s="6">
        <f t="shared" si="54"/>
        <v>16.43177570093458</v>
      </c>
      <c r="N883" s="8">
        <f t="shared" si="55"/>
        <v>12.76049937436014</v>
      </c>
    </row>
    <row r="884" spans="1:14" x14ac:dyDescent="0.45">
      <c r="A884" s="12">
        <v>45560</v>
      </c>
      <c r="B884" s="2" t="s">
        <v>35</v>
      </c>
      <c r="C884" s="2" t="s">
        <v>28</v>
      </c>
      <c r="D884" s="2" t="s">
        <v>29</v>
      </c>
      <c r="E884" s="2" t="s">
        <v>18</v>
      </c>
      <c r="F884" s="2">
        <v>178916</v>
      </c>
      <c r="G884" s="2">
        <v>4723</v>
      </c>
      <c r="H884" s="2">
        <v>7273.42</v>
      </c>
      <c r="I884" s="2">
        <v>147</v>
      </c>
      <c r="J884" s="2">
        <v>29612.74</v>
      </c>
      <c r="K884" s="4">
        <f t="shared" si="52"/>
        <v>2.6397862684164636E-2</v>
      </c>
      <c r="L884" s="6">
        <f t="shared" si="53"/>
        <v>1.54</v>
      </c>
      <c r="M884" s="6">
        <f t="shared" si="54"/>
        <v>49.47904761904762</v>
      </c>
      <c r="N884" s="8">
        <f t="shared" si="55"/>
        <v>4.0713639525835168</v>
      </c>
    </row>
    <row r="885" spans="1:14" x14ac:dyDescent="0.45">
      <c r="A885" s="12">
        <v>45641</v>
      </c>
      <c r="B885" s="2" t="s">
        <v>35</v>
      </c>
      <c r="C885" s="2" t="s">
        <v>16</v>
      </c>
      <c r="D885" s="2" t="s">
        <v>17</v>
      </c>
      <c r="E885" s="2" t="s">
        <v>33</v>
      </c>
      <c r="F885" s="2">
        <v>34778</v>
      </c>
      <c r="G885" s="2">
        <v>705</v>
      </c>
      <c r="H885" s="2">
        <v>1099.8</v>
      </c>
      <c r="I885" s="2">
        <v>35</v>
      </c>
      <c r="J885" s="2">
        <v>2280.29</v>
      </c>
      <c r="K885" s="4">
        <f t="shared" si="52"/>
        <v>2.0271435965265396E-2</v>
      </c>
      <c r="L885" s="6">
        <f t="shared" si="53"/>
        <v>1.5599999999999998</v>
      </c>
      <c r="M885" s="6">
        <f t="shared" si="54"/>
        <v>31.42285714285714</v>
      </c>
      <c r="N885" s="8">
        <f t="shared" si="55"/>
        <v>2.0733678850700126</v>
      </c>
    </row>
    <row r="886" spans="1:14" x14ac:dyDescent="0.45">
      <c r="A886" s="12">
        <v>45448</v>
      </c>
      <c r="B886" s="2" t="s">
        <v>20</v>
      </c>
      <c r="C886" s="2" t="s">
        <v>16</v>
      </c>
      <c r="D886" s="2" t="s">
        <v>17</v>
      </c>
      <c r="E886" s="2" t="s">
        <v>54</v>
      </c>
      <c r="F886" s="2">
        <v>179120</v>
      </c>
      <c r="G886" s="2">
        <v>8794</v>
      </c>
      <c r="H886" s="2">
        <v>8442.24</v>
      </c>
      <c r="I886" s="2">
        <v>646</v>
      </c>
      <c r="J886" s="2">
        <v>31918.959999999999</v>
      </c>
      <c r="K886" s="4">
        <f t="shared" si="52"/>
        <v>4.9095578383206787E-2</v>
      </c>
      <c r="L886" s="6">
        <f t="shared" si="53"/>
        <v>0.96</v>
      </c>
      <c r="M886" s="6">
        <f t="shared" si="54"/>
        <v>13.068482972136223</v>
      </c>
      <c r="N886" s="8">
        <f t="shared" si="55"/>
        <v>3.7808638465620499</v>
      </c>
    </row>
    <row r="887" spans="1:14" x14ac:dyDescent="0.45">
      <c r="A887" s="12">
        <v>45462</v>
      </c>
      <c r="B887" s="2" t="s">
        <v>35</v>
      </c>
      <c r="C887" s="2" t="s">
        <v>38</v>
      </c>
      <c r="D887" s="2" t="s">
        <v>17</v>
      </c>
      <c r="E887" s="2" t="s">
        <v>18</v>
      </c>
      <c r="F887" s="2">
        <v>91706</v>
      </c>
      <c r="G887" s="2">
        <v>1650</v>
      </c>
      <c r="H887" s="2">
        <v>2772</v>
      </c>
      <c r="I887" s="2">
        <v>80</v>
      </c>
      <c r="J887" s="2">
        <v>8391.32</v>
      </c>
      <c r="K887" s="4">
        <f t="shared" si="52"/>
        <v>1.7992279676357054E-2</v>
      </c>
      <c r="L887" s="6">
        <f t="shared" si="53"/>
        <v>1.68</v>
      </c>
      <c r="M887" s="6">
        <f t="shared" si="54"/>
        <v>34.65</v>
      </c>
      <c r="N887" s="8">
        <f t="shared" si="55"/>
        <v>3.0271717171717172</v>
      </c>
    </row>
    <row r="888" spans="1:14" x14ac:dyDescent="0.45">
      <c r="A888" s="12">
        <v>45551</v>
      </c>
      <c r="B888" s="2" t="s">
        <v>35</v>
      </c>
      <c r="C888" s="2" t="s">
        <v>38</v>
      </c>
      <c r="D888" s="2" t="s">
        <v>21</v>
      </c>
      <c r="E888" s="2" t="s">
        <v>30</v>
      </c>
      <c r="F888" s="2">
        <v>7056</v>
      </c>
      <c r="G888" s="2">
        <v>227</v>
      </c>
      <c r="H888" s="2">
        <v>186.14</v>
      </c>
      <c r="I888" s="2">
        <v>6</v>
      </c>
      <c r="J888" s="2">
        <v>1653.16</v>
      </c>
      <c r="K888" s="4">
        <f t="shared" si="52"/>
        <v>3.2171201814058956E-2</v>
      </c>
      <c r="L888" s="6">
        <f t="shared" si="53"/>
        <v>0.82</v>
      </c>
      <c r="M888" s="6">
        <f t="shared" si="54"/>
        <v>31.02333333333333</v>
      </c>
      <c r="N888" s="8">
        <f t="shared" si="55"/>
        <v>8.8812721607392291</v>
      </c>
    </row>
    <row r="889" spans="1:14" x14ac:dyDescent="0.45">
      <c r="A889" s="12">
        <v>45312</v>
      </c>
      <c r="B889" s="2" t="s">
        <v>35</v>
      </c>
      <c r="C889" s="2" t="s">
        <v>38</v>
      </c>
      <c r="D889" s="2" t="s">
        <v>41</v>
      </c>
      <c r="E889" s="2" t="s">
        <v>30</v>
      </c>
      <c r="F889" s="2">
        <v>161646</v>
      </c>
      <c r="G889" s="2">
        <v>5253</v>
      </c>
      <c r="H889" s="2">
        <v>5253</v>
      </c>
      <c r="I889" s="2">
        <v>228</v>
      </c>
      <c r="J889" s="2">
        <v>43732.39</v>
      </c>
      <c r="K889" s="4">
        <f t="shared" si="52"/>
        <v>3.2496937752867376E-2</v>
      </c>
      <c r="L889" s="6">
        <f t="shared" si="53"/>
        <v>1</v>
      </c>
      <c r="M889" s="6">
        <f t="shared" si="54"/>
        <v>23.039473684210527</v>
      </c>
      <c r="N889" s="8">
        <f t="shared" si="55"/>
        <v>8.3252217780316009</v>
      </c>
    </row>
    <row r="890" spans="1:14" x14ac:dyDescent="0.45">
      <c r="A890" s="12">
        <v>45387</v>
      </c>
      <c r="B890" s="2" t="s">
        <v>15</v>
      </c>
      <c r="C890" s="2" t="s">
        <v>24</v>
      </c>
      <c r="D890" s="2" t="s">
        <v>29</v>
      </c>
      <c r="E890" s="2" t="s">
        <v>33</v>
      </c>
      <c r="F890" s="2">
        <v>177115</v>
      </c>
      <c r="G890" s="2">
        <v>8005</v>
      </c>
      <c r="H890" s="2">
        <v>23214.5</v>
      </c>
      <c r="I890" s="2">
        <v>460</v>
      </c>
      <c r="J890" s="2">
        <v>108688.43</v>
      </c>
      <c r="K890" s="4">
        <f t="shared" si="52"/>
        <v>4.5196623662592104E-2</v>
      </c>
      <c r="L890" s="6">
        <f t="shared" si="53"/>
        <v>2.9</v>
      </c>
      <c r="M890" s="6">
        <f t="shared" si="54"/>
        <v>50.466304347826089</v>
      </c>
      <c r="N890" s="8">
        <f t="shared" si="55"/>
        <v>4.6819199207391931</v>
      </c>
    </row>
    <row r="891" spans="1:14" x14ac:dyDescent="0.45">
      <c r="A891" s="12">
        <v>45568</v>
      </c>
      <c r="B891" s="2" t="s">
        <v>20</v>
      </c>
      <c r="C891" s="2" t="s">
        <v>16</v>
      </c>
      <c r="D891" s="2" t="s">
        <v>25</v>
      </c>
      <c r="E891" s="2" t="s">
        <v>54</v>
      </c>
      <c r="F891" s="2">
        <v>141087</v>
      </c>
      <c r="G891" s="2">
        <v>10609</v>
      </c>
      <c r="H891" s="2">
        <v>4667.96</v>
      </c>
      <c r="I891" s="2">
        <v>737</v>
      </c>
      <c r="J891" s="2">
        <v>190244.62</v>
      </c>
      <c r="K891" s="4">
        <f t="shared" si="52"/>
        <v>7.5194737998539901E-2</v>
      </c>
      <c r="L891" s="6">
        <f t="shared" si="53"/>
        <v>0.44</v>
      </c>
      <c r="M891" s="6">
        <f t="shared" si="54"/>
        <v>6.3337313432835822</v>
      </c>
      <c r="N891" s="8">
        <f t="shared" si="55"/>
        <v>40.75540921516037</v>
      </c>
    </row>
    <row r="892" spans="1:14" x14ac:dyDescent="0.45">
      <c r="A892" s="12">
        <v>45599</v>
      </c>
      <c r="B892" s="2" t="s">
        <v>20</v>
      </c>
      <c r="C892" s="2" t="s">
        <v>24</v>
      </c>
      <c r="D892" s="2" t="s">
        <v>29</v>
      </c>
      <c r="E892" s="2" t="s">
        <v>54</v>
      </c>
      <c r="F892" s="2">
        <v>184745</v>
      </c>
      <c r="G892" s="2">
        <v>12451</v>
      </c>
      <c r="H892" s="2">
        <v>20793.169999999998</v>
      </c>
      <c r="I892" s="2">
        <v>404</v>
      </c>
      <c r="J892" s="2">
        <v>23357.33</v>
      </c>
      <c r="K892" s="4">
        <f t="shared" si="52"/>
        <v>6.7395599339630297E-2</v>
      </c>
      <c r="L892" s="6">
        <f t="shared" si="53"/>
        <v>1.67</v>
      </c>
      <c r="M892" s="6">
        <f t="shared" si="54"/>
        <v>51.468242574257424</v>
      </c>
      <c r="N892" s="8">
        <f t="shared" si="55"/>
        <v>1.1233174162477393</v>
      </c>
    </row>
    <row r="893" spans="1:14" x14ac:dyDescent="0.45">
      <c r="A893" s="12">
        <v>45545</v>
      </c>
      <c r="B893" s="2" t="s">
        <v>15</v>
      </c>
      <c r="C893" s="2" t="s">
        <v>28</v>
      </c>
      <c r="D893" s="2" t="s">
        <v>41</v>
      </c>
      <c r="E893" s="2" t="s">
        <v>18</v>
      </c>
      <c r="F893" s="2">
        <v>104969</v>
      </c>
      <c r="G893" s="2">
        <v>5773</v>
      </c>
      <c r="H893" s="2">
        <v>8197.66</v>
      </c>
      <c r="I893" s="2">
        <v>142</v>
      </c>
      <c r="J893" s="2">
        <v>24245.52</v>
      </c>
      <c r="K893" s="4">
        <f t="shared" si="52"/>
        <v>5.4997189646467055E-2</v>
      </c>
      <c r="L893" s="6">
        <f t="shared" si="53"/>
        <v>1.42</v>
      </c>
      <c r="M893" s="6">
        <f t="shared" si="54"/>
        <v>57.73</v>
      </c>
      <c r="N893" s="8">
        <f t="shared" si="55"/>
        <v>2.9576147339606669</v>
      </c>
    </row>
    <row r="894" spans="1:14" x14ac:dyDescent="0.45">
      <c r="A894" s="12">
        <v>45446</v>
      </c>
      <c r="B894" s="2" t="s">
        <v>20</v>
      </c>
      <c r="C894" s="2" t="s">
        <v>28</v>
      </c>
      <c r="D894" s="2" t="s">
        <v>17</v>
      </c>
      <c r="E894" s="2" t="s">
        <v>51</v>
      </c>
      <c r="F894" s="2">
        <v>80885</v>
      </c>
      <c r="G894" s="2">
        <v>3995</v>
      </c>
      <c r="H894" s="2">
        <v>1757.8</v>
      </c>
      <c r="I894" s="2">
        <v>79</v>
      </c>
      <c r="J894" s="2">
        <v>10692.34</v>
      </c>
      <c r="K894" s="4">
        <f t="shared" si="52"/>
        <v>4.9391110836372626E-2</v>
      </c>
      <c r="L894" s="6">
        <f t="shared" si="53"/>
        <v>0.44</v>
      </c>
      <c r="M894" s="6">
        <f t="shared" si="54"/>
        <v>22.250632911392405</v>
      </c>
      <c r="N894" s="8">
        <f t="shared" si="55"/>
        <v>6.0827966776652636</v>
      </c>
    </row>
    <row r="895" spans="1:14" x14ac:dyDescent="0.45">
      <c r="A895" s="12">
        <v>45397</v>
      </c>
      <c r="B895" s="2" t="s">
        <v>15</v>
      </c>
      <c r="C895" s="2" t="s">
        <v>24</v>
      </c>
      <c r="D895" s="2" t="s">
        <v>41</v>
      </c>
      <c r="E895" s="2" t="s">
        <v>33</v>
      </c>
      <c r="F895" s="2">
        <v>33807</v>
      </c>
      <c r="G895" s="2">
        <v>807</v>
      </c>
      <c r="H895" s="2">
        <v>1638.21</v>
      </c>
      <c r="I895" s="2">
        <v>25</v>
      </c>
      <c r="J895" s="2">
        <v>5072.7700000000004</v>
      </c>
      <c r="K895" s="4">
        <f t="shared" si="52"/>
        <v>2.3870795988996361E-2</v>
      </c>
      <c r="L895" s="6">
        <f t="shared" si="53"/>
        <v>2.0300000000000002</v>
      </c>
      <c r="M895" s="6">
        <f t="shared" si="54"/>
        <v>65.528400000000005</v>
      </c>
      <c r="N895" s="8">
        <f t="shared" si="55"/>
        <v>3.0965321906226921</v>
      </c>
    </row>
    <row r="896" spans="1:14" x14ac:dyDescent="0.45">
      <c r="A896" s="12">
        <v>45372</v>
      </c>
      <c r="B896" s="2" t="s">
        <v>35</v>
      </c>
      <c r="C896" s="2" t="s">
        <v>16</v>
      </c>
      <c r="D896" s="2" t="s">
        <v>29</v>
      </c>
      <c r="E896" s="2" t="s">
        <v>51</v>
      </c>
      <c r="F896" s="2">
        <v>198074</v>
      </c>
      <c r="G896" s="2">
        <v>5783</v>
      </c>
      <c r="H896" s="2">
        <v>3527.63</v>
      </c>
      <c r="I896" s="2">
        <v>263</v>
      </c>
      <c r="J896" s="2">
        <v>60037.86</v>
      </c>
      <c r="K896" s="4">
        <f t="shared" si="52"/>
        <v>2.9196159011278613E-2</v>
      </c>
      <c r="L896" s="6">
        <f t="shared" si="53"/>
        <v>0.61</v>
      </c>
      <c r="M896" s="6">
        <f t="shared" si="54"/>
        <v>13.413041825095057</v>
      </c>
      <c r="N896" s="8">
        <f t="shared" si="55"/>
        <v>17.019318919501195</v>
      </c>
    </row>
    <row r="897" spans="1:14" x14ac:dyDescent="0.45">
      <c r="A897" s="12">
        <v>45613</v>
      </c>
      <c r="B897" s="2" t="s">
        <v>15</v>
      </c>
      <c r="C897" s="2" t="s">
        <v>16</v>
      </c>
      <c r="D897" s="2" t="s">
        <v>21</v>
      </c>
      <c r="E897" s="2" t="s">
        <v>22</v>
      </c>
      <c r="F897" s="2">
        <v>115282</v>
      </c>
      <c r="G897" s="2">
        <v>4876</v>
      </c>
      <c r="H897" s="2">
        <v>18333.759999999998</v>
      </c>
      <c r="I897" s="2">
        <v>77</v>
      </c>
      <c r="J897" s="2">
        <v>2427.15</v>
      </c>
      <c r="K897" s="4">
        <f t="shared" si="52"/>
        <v>4.2296282160267866E-2</v>
      </c>
      <c r="L897" s="6">
        <f t="shared" si="53"/>
        <v>3.76</v>
      </c>
      <c r="M897" s="6">
        <f t="shared" si="54"/>
        <v>238.1007792207792</v>
      </c>
      <c r="N897" s="8">
        <f t="shared" si="55"/>
        <v>0.13238691899533978</v>
      </c>
    </row>
    <row r="898" spans="1:14" x14ac:dyDescent="0.45">
      <c r="A898" s="12">
        <v>45349</v>
      </c>
      <c r="B898" s="2" t="s">
        <v>15</v>
      </c>
      <c r="C898" s="2" t="s">
        <v>38</v>
      </c>
      <c r="D898" s="2" t="s">
        <v>25</v>
      </c>
      <c r="E898" s="2" t="s">
        <v>26</v>
      </c>
      <c r="F898" s="2">
        <v>45880</v>
      </c>
      <c r="G898" s="2">
        <v>2817</v>
      </c>
      <c r="H898" s="2">
        <v>3211.38</v>
      </c>
      <c r="I898" s="2">
        <v>62</v>
      </c>
      <c r="J898" s="2">
        <v>2770.83</v>
      </c>
      <c r="K898" s="4">
        <f t="shared" si="52"/>
        <v>6.1399302528334788E-2</v>
      </c>
      <c r="L898" s="6">
        <f t="shared" si="53"/>
        <v>1.1400000000000001</v>
      </c>
      <c r="M898" s="6">
        <f t="shared" si="54"/>
        <v>51.796451612903226</v>
      </c>
      <c r="N898" s="8">
        <f t="shared" si="55"/>
        <v>0.86281598565102846</v>
      </c>
    </row>
    <row r="899" spans="1:14" x14ac:dyDescent="0.45">
      <c r="A899" s="12">
        <v>45433</v>
      </c>
      <c r="B899" s="2" t="s">
        <v>35</v>
      </c>
      <c r="C899" s="2" t="s">
        <v>16</v>
      </c>
      <c r="D899" s="2" t="s">
        <v>25</v>
      </c>
      <c r="E899" s="2" t="s">
        <v>30</v>
      </c>
      <c r="F899" s="2">
        <v>20993</v>
      </c>
      <c r="G899" s="2">
        <v>583</v>
      </c>
      <c r="H899" s="2">
        <v>746.24</v>
      </c>
      <c r="I899" s="2">
        <v>45</v>
      </c>
      <c r="J899" s="2">
        <v>4493.83</v>
      </c>
      <c r="K899" s="4">
        <f t="shared" ref="K899:K962" si="56" xml:space="preserve"> G899 / F899</f>
        <v>2.7771161815843378E-2</v>
      </c>
      <c r="L899" s="6">
        <f t="shared" ref="L899:L962" si="57">H899/G899</f>
        <v>1.28</v>
      </c>
      <c r="M899" s="6">
        <f t="shared" ref="M899:M962" si="58">H899/I899</f>
        <v>16.583111111111112</v>
      </c>
      <c r="N899" s="8">
        <f t="shared" ref="N899:N962" si="59">J899/H899</f>
        <v>6.0219634433962259</v>
      </c>
    </row>
    <row r="900" spans="1:14" x14ac:dyDescent="0.45">
      <c r="A900" s="12">
        <v>45362</v>
      </c>
      <c r="B900" s="2" t="s">
        <v>15</v>
      </c>
      <c r="C900" s="2" t="s">
        <v>24</v>
      </c>
      <c r="D900" s="2" t="s">
        <v>29</v>
      </c>
      <c r="E900" s="2" t="s">
        <v>33</v>
      </c>
      <c r="F900" s="2">
        <v>183448</v>
      </c>
      <c r="G900" s="2">
        <v>8053</v>
      </c>
      <c r="H900" s="2">
        <v>16750.240000000002</v>
      </c>
      <c r="I900" s="2">
        <v>351</v>
      </c>
      <c r="J900" s="2">
        <v>74979.38</v>
      </c>
      <c r="K900" s="4">
        <f t="shared" si="56"/>
        <v>4.3897998342854648E-2</v>
      </c>
      <c r="L900" s="6">
        <f t="shared" si="57"/>
        <v>2.08</v>
      </c>
      <c r="M900" s="6">
        <f t="shared" si="58"/>
        <v>47.721481481481483</v>
      </c>
      <c r="N900" s="8">
        <f t="shared" si="59"/>
        <v>4.4763167572524329</v>
      </c>
    </row>
    <row r="901" spans="1:14" x14ac:dyDescent="0.45">
      <c r="A901" s="12">
        <v>45312</v>
      </c>
      <c r="B901" s="2" t="s">
        <v>20</v>
      </c>
      <c r="C901" s="2" t="s">
        <v>28</v>
      </c>
      <c r="D901" s="2" t="s">
        <v>21</v>
      </c>
      <c r="E901" s="2" t="s">
        <v>18</v>
      </c>
      <c r="F901" s="2">
        <v>119944</v>
      </c>
      <c r="G901" s="2">
        <v>9331</v>
      </c>
      <c r="H901" s="2">
        <v>5691.91</v>
      </c>
      <c r="I901" s="2">
        <v>717</v>
      </c>
      <c r="J901" s="2">
        <v>101587.49</v>
      </c>
      <c r="K901" s="4">
        <f t="shared" si="56"/>
        <v>7.7794637497498834E-2</v>
      </c>
      <c r="L901" s="6">
        <f t="shared" si="57"/>
        <v>0.61</v>
      </c>
      <c r="M901" s="6">
        <f t="shared" si="58"/>
        <v>7.9385076708507665</v>
      </c>
      <c r="N901" s="8">
        <f t="shared" si="59"/>
        <v>17.847697872945989</v>
      </c>
    </row>
    <row r="902" spans="1:14" x14ac:dyDescent="0.45">
      <c r="A902" s="12">
        <v>45318</v>
      </c>
      <c r="B902" s="2" t="s">
        <v>20</v>
      </c>
      <c r="C902" s="2" t="s">
        <v>16</v>
      </c>
      <c r="D902" s="2" t="s">
        <v>25</v>
      </c>
      <c r="E902" s="2" t="s">
        <v>33</v>
      </c>
      <c r="F902" s="2">
        <v>69198</v>
      </c>
      <c r="G902" s="2">
        <v>3529</v>
      </c>
      <c r="H902" s="2">
        <v>1940.95</v>
      </c>
      <c r="I902" s="2">
        <v>256</v>
      </c>
      <c r="J902" s="2">
        <v>15199.33</v>
      </c>
      <c r="K902" s="4">
        <f t="shared" si="56"/>
        <v>5.0998583774097515E-2</v>
      </c>
      <c r="L902" s="6">
        <f t="shared" si="57"/>
        <v>0.55000000000000004</v>
      </c>
      <c r="M902" s="6">
        <f t="shared" si="58"/>
        <v>7.5818359375000002</v>
      </c>
      <c r="N902" s="8">
        <f t="shared" si="59"/>
        <v>7.8308714804605986</v>
      </c>
    </row>
    <row r="903" spans="1:14" x14ac:dyDescent="0.45">
      <c r="A903" s="12">
        <v>45634</v>
      </c>
      <c r="B903" s="2" t="s">
        <v>35</v>
      </c>
      <c r="C903" s="2" t="s">
        <v>16</v>
      </c>
      <c r="D903" s="2" t="s">
        <v>25</v>
      </c>
      <c r="E903" s="2" t="s">
        <v>22</v>
      </c>
      <c r="F903" s="2">
        <v>46936</v>
      </c>
      <c r="G903" s="2">
        <v>2234</v>
      </c>
      <c r="H903" s="2">
        <v>1764.86</v>
      </c>
      <c r="I903" s="2">
        <v>55</v>
      </c>
      <c r="J903" s="2">
        <v>5977.87</v>
      </c>
      <c r="K903" s="4">
        <f t="shared" si="56"/>
        <v>4.7596727458667124E-2</v>
      </c>
      <c r="L903" s="6">
        <f t="shared" si="57"/>
        <v>0.78999999999999992</v>
      </c>
      <c r="M903" s="6">
        <f t="shared" si="58"/>
        <v>32.088363636363631</v>
      </c>
      <c r="N903" s="8">
        <f t="shared" si="59"/>
        <v>3.3871638543567197</v>
      </c>
    </row>
    <row r="904" spans="1:14" x14ac:dyDescent="0.45">
      <c r="A904" s="12">
        <v>45477</v>
      </c>
      <c r="B904" s="2" t="s">
        <v>20</v>
      </c>
      <c r="C904" s="2" t="s">
        <v>24</v>
      </c>
      <c r="D904" s="2" t="s">
        <v>21</v>
      </c>
      <c r="E904" s="2" t="s">
        <v>51</v>
      </c>
      <c r="F904" s="2">
        <v>21689</v>
      </c>
      <c r="G904" s="2">
        <v>895</v>
      </c>
      <c r="H904" s="2">
        <v>850.25</v>
      </c>
      <c r="I904" s="2">
        <v>22</v>
      </c>
      <c r="J904" s="2">
        <v>4747.38</v>
      </c>
      <c r="K904" s="4">
        <f t="shared" si="56"/>
        <v>4.1265157453086815E-2</v>
      </c>
      <c r="L904" s="6">
        <f t="shared" si="57"/>
        <v>0.95</v>
      </c>
      <c r="M904" s="6">
        <f t="shared" si="58"/>
        <v>38.647727272727273</v>
      </c>
      <c r="N904" s="8">
        <f t="shared" si="59"/>
        <v>5.583510732137607</v>
      </c>
    </row>
    <row r="905" spans="1:14" x14ac:dyDescent="0.45">
      <c r="A905" s="12">
        <v>45365</v>
      </c>
      <c r="B905" s="2" t="s">
        <v>20</v>
      </c>
      <c r="C905" s="2" t="s">
        <v>16</v>
      </c>
      <c r="D905" s="2" t="s">
        <v>21</v>
      </c>
      <c r="E905" s="2" t="s">
        <v>51</v>
      </c>
      <c r="F905" s="2">
        <v>24504</v>
      </c>
      <c r="G905" s="2">
        <v>899</v>
      </c>
      <c r="H905" s="2">
        <v>1276.58</v>
      </c>
      <c r="I905" s="2">
        <v>41</v>
      </c>
      <c r="J905" s="2">
        <v>3721.4</v>
      </c>
      <c r="K905" s="4">
        <f t="shared" si="56"/>
        <v>3.6687887691805421E-2</v>
      </c>
      <c r="L905" s="6">
        <f t="shared" si="57"/>
        <v>1.42</v>
      </c>
      <c r="M905" s="6">
        <f t="shared" si="58"/>
        <v>31.136097560975607</v>
      </c>
      <c r="N905" s="8">
        <f t="shared" si="59"/>
        <v>2.91513261996898</v>
      </c>
    </row>
    <row r="906" spans="1:14" x14ac:dyDescent="0.45">
      <c r="A906" s="12">
        <v>45398</v>
      </c>
      <c r="B906" s="2" t="s">
        <v>35</v>
      </c>
      <c r="C906" s="2" t="s">
        <v>28</v>
      </c>
      <c r="D906" s="2" t="s">
        <v>41</v>
      </c>
      <c r="E906" s="2" t="s">
        <v>33</v>
      </c>
      <c r="F906" s="2">
        <v>119053</v>
      </c>
      <c r="G906" s="2">
        <v>4000</v>
      </c>
      <c r="H906" s="2">
        <v>4040</v>
      </c>
      <c r="I906" s="2">
        <v>152</v>
      </c>
      <c r="J906" s="2">
        <v>25959.16</v>
      </c>
      <c r="K906" s="4">
        <f t="shared" si="56"/>
        <v>3.3598481348643044E-2</v>
      </c>
      <c r="L906" s="6">
        <f t="shared" si="57"/>
        <v>1.01</v>
      </c>
      <c r="M906" s="6">
        <f t="shared" si="58"/>
        <v>26.578947368421051</v>
      </c>
      <c r="N906" s="8">
        <f t="shared" si="59"/>
        <v>6.4255346534653466</v>
      </c>
    </row>
    <row r="907" spans="1:14" x14ac:dyDescent="0.45">
      <c r="A907" s="12">
        <v>45312</v>
      </c>
      <c r="B907" s="2" t="s">
        <v>20</v>
      </c>
      <c r="C907" s="2" t="s">
        <v>16</v>
      </c>
      <c r="D907" s="2" t="s">
        <v>25</v>
      </c>
      <c r="E907" s="2" t="s">
        <v>33</v>
      </c>
      <c r="F907" s="2">
        <v>160522</v>
      </c>
      <c r="G907" s="2">
        <v>5425</v>
      </c>
      <c r="H907" s="2">
        <v>6021.75</v>
      </c>
      <c r="I907" s="2">
        <v>398</v>
      </c>
      <c r="J907" s="2">
        <v>79057.929999999993</v>
      </c>
      <c r="K907" s="4">
        <f t="shared" si="56"/>
        <v>3.3795990580730365E-2</v>
      </c>
      <c r="L907" s="6">
        <f t="shared" si="57"/>
        <v>1.1100000000000001</v>
      </c>
      <c r="M907" s="6">
        <f t="shared" si="58"/>
        <v>15.130025125628141</v>
      </c>
      <c r="N907" s="8">
        <f t="shared" si="59"/>
        <v>13.128730020342923</v>
      </c>
    </row>
    <row r="908" spans="1:14" x14ac:dyDescent="0.45">
      <c r="A908" s="12">
        <v>45508</v>
      </c>
      <c r="B908" s="2" t="s">
        <v>15</v>
      </c>
      <c r="C908" s="2" t="s">
        <v>28</v>
      </c>
      <c r="D908" s="2" t="s">
        <v>21</v>
      </c>
      <c r="E908" s="2" t="s">
        <v>22</v>
      </c>
      <c r="F908" s="2">
        <v>158627</v>
      </c>
      <c r="G908" s="2">
        <v>7725</v>
      </c>
      <c r="H908" s="2">
        <v>22248</v>
      </c>
      <c r="I908" s="2">
        <v>299</v>
      </c>
      <c r="J908" s="2">
        <v>66700.13</v>
      </c>
      <c r="K908" s="4">
        <f t="shared" si="56"/>
        <v>4.8699149577310294E-2</v>
      </c>
      <c r="L908" s="6">
        <f t="shared" si="57"/>
        <v>2.88</v>
      </c>
      <c r="M908" s="6">
        <f t="shared" si="58"/>
        <v>74.408026755852845</v>
      </c>
      <c r="N908" s="8">
        <f t="shared" si="59"/>
        <v>2.9980281373606616</v>
      </c>
    </row>
    <row r="909" spans="1:14" x14ac:dyDescent="0.45">
      <c r="A909" s="12">
        <v>45469</v>
      </c>
      <c r="B909" s="2" t="s">
        <v>35</v>
      </c>
      <c r="C909" s="2" t="s">
        <v>24</v>
      </c>
      <c r="D909" s="2" t="s">
        <v>29</v>
      </c>
      <c r="E909" s="2" t="s">
        <v>30</v>
      </c>
      <c r="F909" s="2">
        <v>157955</v>
      </c>
      <c r="G909" s="2">
        <v>2780</v>
      </c>
      <c r="H909" s="2">
        <v>1723.6</v>
      </c>
      <c r="I909" s="2">
        <v>202</v>
      </c>
      <c r="J909" s="2">
        <v>49191.360000000001</v>
      </c>
      <c r="K909" s="4">
        <f t="shared" si="56"/>
        <v>1.7599949352663732E-2</v>
      </c>
      <c r="L909" s="6">
        <f t="shared" si="57"/>
        <v>0.62</v>
      </c>
      <c r="M909" s="6">
        <f t="shared" si="58"/>
        <v>8.5326732673267323</v>
      </c>
      <c r="N909" s="8">
        <f t="shared" si="59"/>
        <v>28.539893246692969</v>
      </c>
    </row>
    <row r="910" spans="1:14" x14ac:dyDescent="0.45">
      <c r="A910" s="12">
        <v>45367</v>
      </c>
      <c r="B910" s="2" t="s">
        <v>35</v>
      </c>
      <c r="C910" s="2" t="s">
        <v>28</v>
      </c>
      <c r="D910" s="2" t="s">
        <v>21</v>
      </c>
      <c r="E910" s="2" t="s">
        <v>26</v>
      </c>
      <c r="F910" s="2">
        <v>196112</v>
      </c>
      <c r="G910" s="2">
        <v>2647</v>
      </c>
      <c r="H910" s="2">
        <v>3996.97</v>
      </c>
      <c r="I910" s="2">
        <v>187</v>
      </c>
      <c r="J910" s="2">
        <v>16387.669999999998</v>
      </c>
      <c r="K910" s="4">
        <f t="shared" si="56"/>
        <v>1.3497389246960921E-2</v>
      </c>
      <c r="L910" s="6">
        <f t="shared" si="57"/>
        <v>1.51</v>
      </c>
      <c r="M910" s="6">
        <f t="shared" si="58"/>
        <v>21.37417112299465</v>
      </c>
      <c r="N910" s="8">
        <f t="shared" si="59"/>
        <v>4.1000232676252262</v>
      </c>
    </row>
    <row r="911" spans="1:14" x14ac:dyDescent="0.45">
      <c r="A911" s="12">
        <v>45337</v>
      </c>
      <c r="B911" s="2" t="s">
        <v>35</v>
      </c>
      <c r="C911" s="2" t="s">
        <v>38</v>
      </c>
      <c r="D911" s="2" t="s">
        <v>21</v>
      </c>
      <c r="E911" s="2" t="s">
        <v>30</v>
      </c>
      <c r="F911" s="2">
        <v>67167</v>
      </c>
      <c r="G911" s="2">
        <v>1907</v>
      </c>
      <c r="H911" s="2">
        <v>2727.01</v>
      </c>
      <c r="I911" s="2">
        <v>114</v>
      </c>
      <c r="J911" s="2">
        <v>20596.75</v>
      </c>
      <c r="K911" s="4">
        <f t="shared" si="56"/>
        <v>2.839191865052779E-2</v>
      </c>
      <c r="L911" s="6">
        <f t="shared" si="57"/>
        <v>1.4300000000000002</v>
      </c>
      <c r="M911" s="6">
        <f t="shared" si="58"/>
        <v>23.921140350877195</v>
      </c>
      <c r="N911" s="8">
        <f t="shared" si="59"/>
        <v>7.5528692597386877</v>
      </c>
    </row>
    <row r="912" spans="1:14" x14ac:dyDescent="0.45">
      <c r="A912" s="12">
        <v>45511</v>
      </c>
      <c r="B912" s="2" t="s">
        <v>15</v>
      </c>
      <c r="C912" s="2" t="s">
        <v>38</v>
      </c>
      <c r="D912" s="2" t="s">
        <v>25</v>
      </c>
      <c r="E912" s="2" t="s">
        <v>51</v>
      </c>
      <c r="F912" s="2">
        <v>90550</v>
      </c>
      <c r="G912" s="2">
        <v>3966</v>
      </c>
      <c r="H912" s="2">
        <v>10946.16</v>
      </c>
      <c r="I912" s="2">
        <v>207</v>
      </c>
      <c r="J912" s="2">
        <v>7960.57</v>
      </c>
      <c r="K912" s="4">
        <f t="shared" si="56"/>
        <v>4.3799006073992272E-2</v>
      </c>
      <c r="L912" s="6">
        <f t="shared" si="57"/>
        <v>2.76</v>
      </c>
      <c r="M912" s="6">
        <f t="shared" si="58"/>
        <v>52.88</v>
      </c>
      <c r="N912" s="8">
        <f t="shared" si="59"/>
        <v>0.72724772888391909</v>
      </c>
    </row>
    <row r="913" spans="1:14" x14ac:dyDescent="0.45">
      <c r="A913" s="12">
        <v>45542</v>
      </c>
      <c r="B913" s="2" t="s">
        <v>15</v>
      </c>
      <c r="C913" s="2" t="s">
        <v>28</v>
      </c>
      <c r="D913" s="2" t="s">
        <v>21</v>
      </c>
      <c r="E913" s="2" t="s">
        <v>26</v>
      </c>
      <c r="F913" s="2">
        <v>91150</v>
      </c>
      <c r="G913" s="2">
        <v>4119</v>
      </c>
      <c r="H913" s="2">
        <v>15775.77</v>
      </c>
      <c r="I913" s="2">
        <v>98</v>
      </c>
      <c r="J913" s="2">
        <v>4547.95</v>
      </c>
      <c r="K913" s="4">
        <f t="shared" si="56"/>
        <v>4.5189248491497531E-2</v>
      </c>
      <c r="L913" s="6">
        <f t="shared" si="57"/>
        <v>3.83</v>
      </c>
      <c r="M913" s="6">
        <f t="shared" si="58"/>
        <v>160.9772448979592</v>
      </c>
      <c r="N913" s="8">
        <f t="shared" si="59"/>
        <v>0.28828703765331265</v>
      </c>
    </row>
    <row r="914" spans="1:14" x14ac:dyDescent="0.45">
      <c r="A914" s="12">
        <v>45402</v>
      </c>
      <c r="B914" s="2" t="s">
        <v>15</v>
      </c>
      <c r="C914" s="2" t="s">
        <v>38</v>
      </c>
      <c r="D914" s="2" t="s">
        <v>17</v>
      </c>
      <c r="E914" s="2" t="s">
        <v>51</v>
      </c>
      <c r="F914" s="2">
        <v>157832</v>
      </c>
      <c r="G914" s="2">
        <v>4072</v>
      </c>
      <c r="H914" s="2">
        <v>9691.36</v>
      </c>
      <c r="I914" s="2">
        <v>124</v>
      </c>
      <c r="J914" s="2">
        <v>34560.39</v>
      </c>
      <c r="K914" s="4">
        <f t="shared" si="56"/>
        <v>2.5799584368188959E-2</v>
      </c>
      <c r="L914" s="6">
        <f t="shared" si="57"/>
        <v>2.3800000000000003</v>
      </c>
      <c r="M914" s="6">
        <f t="shared" si="58"/>
        <v>78.156129032258065</v>
      </c>
      <c r="N914" s="8">
        <f t="shared" si="59"/>
        <v>3.5661032094566703</v>
      </c>
    </row>
    <row r="915" spans="1:14" x14ac:dyDescent="0.45">
      <c r="A915" s="12">
        <v>45562</v>
      </c>
      <c r="B915" s="2" t="s">
        <v>15</v>
      </c>
      <c r="C915" s="2" t="s">
        <v>24</v>
      </c>
      <c r="D915" s="2" t="s">
        <v>17</v>
      </c>
      <c r="E915" s="2" t="s">
        <v>51</v>
      </c>
      <c r="F915" s="2">
        <v>28958</v>
      </c>
      <c r="G915" s="2">
        <v>1355</v>
      </c>
      <c r="H915" s="2">
        <v>3888.85</v>
      </c>
      <c r="I915" s="2">
        <v>49</v>
      </c>
      <c r="J915" s="2">
        <v>13909.3</v>
      </c>
      <c r="K915" s="4">
        <f t="shared" si="56"/>
        <v>4.6791905518336903E-2</v>
      </c>
      <c r="L915" s="6">
        <f t="shared" si="57"/>
        <v>2.87</v>
      </c>
      <c r="M915" s="6">
        <f t="shared" si="58"/>
        <v>79.364285714285714</v>
      </c>
      <c r="N915" s="8">
        <f t="shared" si="59"/>
        <v>3.5767129099862425</v>
      </c>
    </row>
    <row r="916" spans="1:14" x14ac:dyDescent="0.45">
      <c r="A916" s="12">
        <v>45605</v>
      </c>
      <c r="B916" s="2" t="s">
        <v>35</v>
      </c>
      <c r="C916" s="2" t="s">
        <v>28</v>
      </c>
      <c r="D916" s="2" t="s">
        <v>21</v>
      </c>
      <c r="E916" s="2" t="s">
        <v>18</v>
      </c>
      <c r="F916" s="2">
        <v>8487</v>
      </c>
      <c r="G916" s="2">
        <v>271</v>
      </c>
      <c r="H916" s="2">
        <v>246.61</v>
      </c>
      <c r="I916" s="2">
        <v>14</v>
      </c>
      <c r="J916" s="2">
        <v>4179.96</v>
      </c>
      <c r="K916" s="4">
        <f t="shared" si="56"/>
        <v>3.1931188877106165E-2</v>
      </c>
      <c r="L916" s="6">
        <f t="shared" si="57"/>
        <v>0.91</v>
      </c>
      <c r="M916" s="6">
        <f t="shared" si="58"/>
        <v>17.615000000000002</v>
      </c>
      <c r="N916" s="8">
        <f t="shared" si="59"/>
        <v>16.949677628644416</v>
      </c>
    </row>
    <row r="917" spans="1:14" x14ac:dyDescent="0.45">
      <c r="A917" s="12">
        <v>45295</v>
      </c>
      <c r="B917" s="2" t="s">
        <v>35</v>
      </c>
      <c r="C917" s="2" t="s">
        <v>28</v>
      </c>
      <c r="D917" s="2" t="s">
        <v>25</v>
      </c>
      <c r="E917" s="2" t="s">
        <v>33</v>
      </c>
      <c r="F917" s="2">
        <v>91284</v>
      </c>
      <c r="G917" s="2">
        <v>2126</v>
      </c>
      <c r="H917" s="2">
        <v>1955.92</v>
      </c>
      <c r="I917" s="2">
        <v>132</v>
      </c>
      <c r="J917" s="2">
        <v>23916.94</v>
      </c>
      <c r="K917" s="4">
        <f t="shared" si="56"/>
        <v>2.3289952236974717E-2</v>
      </c>
      <c r="L917" s="6">
        <f t="shared" si="57"/>
        <v>0.92</v>
      </c>
      <c r="M917" s="6">
        <f t="shared" si="58"/>
        <v>14.817575757575758</v>
      </c>
      <c r="N917" s="8">
        <f t="shared" si="59"/>
        <v>12.227974559286677</v>
      </c>
    </row>
    <row r="918" spans="1:14" x14ac:dyDescent="0.45">
      <c r="A918" s="12">
        <v>45373</v>
      </c>
      <c r="B918" s="2" t="s">
        <v>35</v>
      </c>
      <c r="C918" s="2" t="s">
        <v>24</v>
      </c>
      <c r="D918" s="2" t="s">
        <v>17</v>
      </c>
      <c r="E918" s="2" t="s">
        <v>30</v>
      </c>
      <c r="F918" s="2">
        <v>84737</v>
      </c>
      <c r="G918" s="2">
        <v>1415</v>
      </c>
      <c r="H918" s="2">
        <v>863.15</v>
      </c>
      <c r="I918" s="2">
        <v>67</v>
      </c>
      <c r="J918" s="2">
        <v>10044.57</v>
      </c>
      <c r="K918" s="4">
        <f t="shared" si="56"/>
        <v>1.6698726648335438E-2</v>
      </c>
      <c r="L918" s="6">
        <f t="shared" si="57"/>
        <v>0.61</v>
      </c>
      <c r="M918" s="6">
        <f t="shared" si="58"/>
        <v>12.882835820895522</v>
      </c>
      <c r="N918" s="8">
        <f t="shared" si="59"/>
        <v>11.637108266234142</v>
      </c>
    </row>
    <row r="919" spans="1:14" x14ac:dyDescent="0.45">
      <c r="A919" s="12">
        <v>45622</v>
      </c>
      <c r="B919" s="2" t="s">
        <v>35</v>
      </c>
      <c r="C919" s="2" t="s">
        <v>16</v>
      </c>
      <c r="D919" s="2" t="s">
        <v>21</v>
      </c>
      <c r="E919" s="2" t="s">
        <v>54</v>
      </c>
      <c r="F919" s="2">
        <v>31547</v>
      </c>
      <c r="G919" s="2">
        <v>772</v>
      </c>
      <c r="H919" s="2">
        <v>1536.28</v>
      </c>
      <c r="I919" s="2">
        <v>15</v>
      </c>
      <c r="J919" s="2">
        <v>4188.5</v>
      </c>
      <c r="K919" s="4">
        <f t="shared" si="56"/>
        <v>2.447142359019875E-2</v>
      </c>
      <c r="L919" s="6">
        <f t="shared" si="57"/>
        <v>1.99</v>
      </c>
      <c r="M919" s="6">
        <f t="shared" si="58"/>
        <v>102.41866666666667</v>
      </c>
      <c r="N919" s="8">
        <f t="shared" si="59"/>
        <v>2.7263910224698624</v>
      </c>
    </row>
    <row r="920" spans="1:14" x14ac:dyDescent="0.45">
      <c r="A920" s="12">
        <v>45655</v>
      </c>
      <c r="B920" s="2" t="s">
        <v>35</v>
      </c>
      <c r="C920" s="2" t="s">
        <v>24</v>
      </c>
      <c r="D920" s="2" t="s">
        <v>29</v>
      </c>
      <c r="E920" s="2" t="s">
        <v>33</v>
      </c>
      <c r="F920" s="2">
        <v>162038</v>
      </c>
      <c r="G920" s="2">
        <v>2722</v>
      </c>
      <c r="H920" s="2">
        <v>2095.94</v>
      </c>
      <c r="I920" s="2">
        <v>71</v>
      </c>
      <c r="J920" s="2">
        <v>16951.259999999998</v>
      </c>
      <c r="K920" s="4">
        <f t="shared" si="56"/>
        <v>1.6798528740172059E-2</v>
      </c>
      <c r="L920" s="6">
        <f t="shared" si="57"/>
        <v>0.77</v>
      </c>
      <c r="M920" s="6">
        <f t="shared" si="58"/>
        <v>29.520281690140845</v>
      </c>
      <c r="N920" s="8">
        <f t="shared" si="59"/>
        <v>8.0876647232268084</v>
      </c>
    </row>
    <row r="921" spans="1:14" x14ac:dyDescent="0.45">
      <c r="A921" s="12">
        <v>45532</v>
      </c>
      <c r="B921" s="2" t="s">
        <v>15</v>
      </c>
      <c r="C921" s="2" t="s">
        <v>24</v>
      </c>
      <c r="D921" s="2" t="s">
        <v>21</v>
      </c>
      <c r="E921" s="2" t="s">
        <v>18</v>
      </c>
      <c r="F921" s="2">
        <v>145119</v>
      </c>
      <c r="G921" s="2">
        <v>9998</v>
      </c>
      <c r="H921" s="2">
        <v>14597.08</v>
      </c>
      <c r="I921" s="2">
        <v>233</v>
      </c>
      <c r="J921" s="2">
        <v>60859.85</v>
      </c>
      <c r="K921" s="4">
        <f t="shared" si="56"/>
        <v>6.8895182574301092E-2</v>
      </c>
      <c r="L921" s="6">
        <f t="shared" si="57"/>
        <v>1.46</v>
      </c>
      <c r="M921" s="6">
        <f t="shared" si="58"/>
        <v>62.648412017167381</v>
      </c>
      <c r="N921" s="8">
        <f t="shared" si="59"/>
        <v>4.1693167400603404</v>
      </c>
    </row>
    <row r="922" spans="1:14" x14ac:dyDescent="0.45">
      <c r="A922" s="12">
        <v>45422</v>
      </c>
      <c r="B922" s="2" t="s">
        <v>20</v>
      </c>
      <c r="C922" s="2" t="s">
        <v>38</v>
      </c>
      <c r="D922" s="2" t="s">
        <v>25</v>
      </c>
      <c r="E922" s="2" t="s">
        <v>33</v>
      </c>
      <c r="F922" s="2">
        <v>92601</v>
      </c>
      <c r="G922" s="2">
        <v>4065</v>
      </c>
      <c r="H922" s="2">
        <v>2113.8000000000002</v>
      </c>
      <c r="I922" s="2">
        <v>324</v>
      </c>
      <c r="J922" s="2">
        <v>24076.73</v>
      </c>
      <c r="K922" s="4">
        <f t="shared" si="56"/>
        <v>4.3898014060323322E-2</v>
      </c>
      <c r="L922" s="6">
        <f t="shared" si="57"/>
        <v>0.52</v>
      </c>
      <c r="M922" s="6">
        <f t="shared" si="58"/>
        <v>6.5240740740740746</v>
      </c>
      <c r="N922" s="8">
        <f t="shared" si="59"/>
        <v>11.390259248746332</v>
      </c>
    </row>
    <row r="923" spans="1:14" x14ac:dyDescent="0.45">
      <c r="A923" s="12">
        <v>45656</v>
      </c>
      <c r="B923" s="2" t="s">
        <v>15</v>
      </c>
      <c r="C923" s="2" t="s">
        <v>28</v>
      </c>
      <c r="D923" s="2" t="s">
        <v>25</v>
      </c>
      <c r="E923" s="2" t="s">
        <v>33</v>
      </c>
      <c r="F923" s="2">
        <v>148041</v>
      </c>
      <c r="G923" s="2">
        <v>8053</v>
      </c>
      <c r="H923" s="2">
        <v>27943.91</v>
      </c>
      <c r="I923" s="2">
        <v>98</v>
      </c>
      <c r="J923" s="2">
        <v>4146.07</v>
      </c>
      <c r="K923" s="4">
        <f t="shared" si="56"/>
        <v>5.4397092697293314E-2</v>
      </c>
      <c r="L923" s="6">
        <f t="shared" si="57"/>
        <v>3.47</v>
      </c>
      <c r="M923" s="6">
        <f t="shared" si="58"/>
        <v>285.1419387755102</v>
      </c>
      <c r="N923" s="8">
        <f t="shared" si="59"/>
        <v>0.14837114777423774</v>
      </c>
    </row>
    <row r="924" spans="1:14" x14ac:dyDescent="0.45">
      <c r="A924" s="12">
        <v>45560</v>
      </c>
      <c r="B924" s="2" t="s">
        <v>15</v>
      </c>
      <c r="C924" s="2" t="s">
        <v>38</v>
      </c>
      <c r="D924" s="2" t="s">
        <v>41</v>
      </c>
      <c r="E924" s="2" t="s">
        <v>22</v>
      </c>
      <c r="F924" s="2">
        <v>25195</v>
      </c>
      <c r="G924" s="2">
        <v>738</v>
      </c>
      <c r="H924" s="2">
        <v>1926.18</v>
      </c>
      <c r="I924" s="2">
        <v>12</v>
      </c>
      <c r="J924" s="2">
        <v>432.4</v>
      </c>
      <c r="K924" s="4">
        <f t="shared" si="56"/>
        <v>2.9291526096447709E-2</v>
      </c>
      <c r="L924" s="6">
        <f t="shared" si="57"/>
        <v>2.61</v>
      </c>
      <c r="M924" s="6">
        <f t="shared" si="58"/>
        <v>160.51500000000001</v>
      </c>
      <c r="N924" s="8">
        <f t="shared" si="59"/>
        <v>0.22448576976191215</v>
      </c>
    </row>
    <row r="925" spans="1:14" x14ac:dyDescent="0.45">
      <c r="A925" s="12">
        <v>45312</v>
      </c>
      <c r="B925" s="2" t="s">
        <v>15</v>
      </c>
      <c r="C925" s="2" t="s">
        <v>38</v>
      </c>
      <c r="D925" s="2" t="s">
        <v>21</v>
      </c>
      <c r="E925" s="2" t="s">
        <v>54</v>
      </c>
      <c r="F925" s="2">
        <v>186465</v>
      </c>
      <c r="G925" s="2">
        <v>8689</v>
      </c>
      <c r="H925" s="2">
        <v>21027.38</v>
      </c>
      <c r="I925" s="2">
        <v>367</v>
      </c>
      <c r="J925" s="2">
        <v>57833.06</v>
      </c>
      <c r="K925" s="4">
        <f t="shared" si="56"/>
        <v>4.6598557370015822E-2</v>
      </c>
      <c r="L925" s="6">
        <f t="shared" si="57"/>
        <v>2.42</v>
      </c>
      <c r="M925" s="6">
        <f t="shared" si="58"/>
        <v>57.295313351498642</v>
      </c>
      <c r="N925" s="8">
        <f t="shared" si="59"/>
        <v>2.7503692804334157</v>
      </c>
    </row>
    <row r="926" spans="1:14" x14ac:dyDescent="0.45">
      <c r="A926" s="12">
        <v>45541</v>
      </c>
      <c r="B926" s="2" t="s">
        <v>15</v>
      </c>
      <c r="C926" s="2" t="s">
        <v>28</v>
      </c>
      <c r="D926" s="2" t="s">
        <v>17</v>
      </c>
      <c r="E926" s="2" t="s">
        <v>54</v>
      </c>
      <c r="F926" s="2">
        <v>136960</v>
      </c>
      <c r="G926" s="2">
        <v>5382</v>
      </c>
      <c r="H926" s="2">
        <v>7642.44</v>
      </c>
      <c r="I926" s="2">
        <v>230</v>
      </c>
      <c r="J926" s="2">
        <v>39826.629999999997</v>
      </c>
      <c r="K926" s="4">
        <f t="shared" si="56"/>
        <v>3.9296144859813087E-2</v>
      </c>
      <c r="L926" s="6">
        <f t="shared" si="57"/>
        <v>1.42</v>
      </c>
      <c r="M926" s="6">
        <f t="shared" si="58"/>
        <v>33.228000000000002</v>
      </c>
      <c r="N926" s="8">
        <f t="shared" si="59"/>
        <v>5.2112453614290724</v>
      </c>
    </row>
    <row r="927" spans="1:14" x14ac:dyDescent="0.45">
      <c r="A927" s="12">
        <v>45403</v>
      </c>
      <c r="B927" s="2" t="s">
        <v>15</v>
      </c>
      <c r="C927" s="2" t="s">
        <v>24</v>
      </c>
      <c r="D927" s="2" t="s">
        <v>21</v>
      </c>
      <c r="E927" s="2" t="s">
        <v>26</v>
      </c>
      <c r="F927" s="2">
        <v>193405</v>
      </c>
      <c r="G927" s="2">
        <v>7852</v>
      </c>
      <c r="H927" s="2">
        <v>7537.92</v>
      </c>
      <c r="I927" s="2">
        <v>459</v>
      </c>
      <c r="J927" s="2">
        <v>79715.61</v>
      </c>
      <c r="K927" s="4">
        <f t="shared" si="56"/>
        <v>4.0598743569194178E-2</v>
      </c>
      <c r="L927" s="6">
        <f t="shared" si="57"/>
        <v>0.96</v>
      </c>
      <c r="M927" s="6">
        <f t="shared" si="58"/>
        <v>16.42248366013072</v>
      </c>
      <c r="N927" s="8">
        <f t="shared" si="59"/>
        <v>10.575279387417218</v>
      </c>
    </row>
    <row r="928" spans="1:14" x14ac:dyDescent="0.45">
      <c r="A928" s="12">
        <v>45448</v>
      </c>
      <c r="B928" s="2" t="s">
        <v>35</v>
      </c>
      <c r="C928" s="2" t="s">
        <v>24</v>
      </c>
      <c r="D928" s="2" t="s">
        <v>25</v>
      </c>
      <c r="E928" s="2" t="s">
        <v>26</v>
      </c>
      <c r="F928" s="2">
        <v>118591</v>
      </c>
      <c r="G928" s="2">
        <v>4043</v>
      </c>
      <c r="H928" s="2">
        <v>4649.45</v>
      </c>
      <c r="I928" s="2">
        <v>303</v>
      </c>
      <c r="J928" s="2">
        <v>36581.129999999997</v>
      </c>
      <c r="K928" s="4">
        <f t="shared" si="56"/>
        <v>3.4091963133795991E-2</v>
      </c>
      <c r="L928" s="6">
        <f t="shared" si="57"/>
        <v>1.1499999999999999</v>
      </c>
      <c r="M928" s="6">
        <f t="shared" si="58"/>
        <v>15.344719471947194</v>
      </c>
      <c r="N928" s="8">
        <f t="shared" si="59"/>
        <v>7.8678402821839137</v>
      </c>
    </row>
    <row r="929" spans="1:14" x14ac:dyDescent="0.45">
      <c r="A929" s="12">
        <v>45329</v>
      </c>
      <c r="B929" s="2" t="s">
        <v>15</v>
      </c>
      <c r="C929" s="2" t="s">
        <v>16</v>
      </c>
      <c r="D929" s="2" t="s">
        <v>17</v>
      </c>
      <c r="E929" s="2" t="s">
        <v>30</v>
      </c>
      <c r="F929" s="2">
        <v>163349</v>
      </c>
      <c r="G929" s="2">
        <v>7906</v>
      </c>
      <c r="H929" s="2">
        <v>21188.080000000002</v>
      </c>
      <c r="I929" s="2">
        <v>360</v>
      </c>
      <c r="J929" s="2">
        <v>44353.83</v>
      </c>
      <c r="K929" s="4">
        <f t="shared" si="56"/>
        <v>4.8399439237460894E-2</v>
      </c>
      <c r="L929" s="6">
        <f t="shared" si="57"/>
        <v>2.68</v>
      </c>
      <c r="M929" s="6">
        <f t="shared" si="58"/>
        <v>58.855777777777782</v>
      </c>
      <c r="N929" s="8">
        <f t="shared" si="59"/>
        <v>2.0933388018168704</v>
      </c>
    </row>
    <row r="930" spans="1:14" x14ac:dyDescent="0.45">
      <c r="A930" s="12">
        <v>45535</v>
      </c>
      <c r="B930" s="2" t="s">
        <v>15</v>
      </c>
      <c r="C930" s="2" t="s">
        <v>24</v>
      </c>
      <c r="D930" s="2" t="s">
        <v>25</v>
      </c>
      <c r="E930" s="2" t="s">
        <v>26</v>
      </c>
      <c r="F930" s="2">
        <v>166957</v>
      </c>
      <c r="G930" s="2">
        <v>5476</v>
      </c>
      <c r="H930" s="2">
        <v>6680.72</v>
      </c>
      <c r="I930" s="2">
        <v>137</v>
      </c>
      <c r="J930" s="2">
        <v>35345.21</v>
      </c>
      <c r="K930" s="4">
        <f t="shared" si="56"/>
        <v>3.2798864378253086E-2</v>
      </c>
      <c r="L930" s="6">
        <f t="shared" si="57"/>
        <v>1.22</v>
      </c>
      <c r="M930" s="6">
        <f t="shared" si="58"/>
        <v>48.7643795620438</v>
      </c>
      <c r="N930" s="8">
        <f t="shared" si="59"/>
        <v>5.2906288543749769</v>
      </c>
    </row>
    <row r="931" spans="1:14" x14ac:dyDescent="0.45">
      <c r="A931" s="12">
        <v>45471</v>
      </c>
      <c r="B931" s="2" t="s">
        <v>35</v>
      </c>
      <c r="C931" s="2" t="s">
        <v>38</v>
      </c>
      <c r="D931" s="2" t="s">
        <v>29</v>
      </c>
      <c r="E931" s="2" t="s">
        <v>22</v>
      </c>
      <c r="F931" s="2">
        <v>169818</v>
      </c>
      <c r="G931" s="2">
        <v>4992</v>
      </c>
      <c r="H931" s="2">
        <v>9484.7999999999993</v>
      </c>
      <c r="I931" s="2">
        <v>146</v>
      </c>
      <c r="J931" s="2">
        <v>26864.23</v>
      </c>
      <c r="K931" s="4">
        <f t="shared" si="56"/>
        <v>2.9396177083701375E-2</v>
      </c>
      <c r="L931" s="6">
        <f t="shared" si="57"/>
        <v>1.9</v>
      </c>
      <c r="M931" s="6">
        <f t="shared" si="58"/>
        <v>64.964383561643828</v>
      </c>
      <c r="N931" s="8">
        <f t="shared" si="59"/>
        <v>2.832345436909582</v>
      </c>
    </row>
    <row r="932" spans="1:14" x14ac:dyDescent="0.45">
      <c r="A932" s="12">
        <v>45600</v>
      </c>
      <c r="B932" s="2" t="s">
        <v>15</v>
      </c>
      <c r="C932" s="2" t="s">
        <v>38</v>
      </c>
      <c r="D932" s="2" t="s">
        <v>21</v>
      </c>
      <c r="E932" s="2" t="s">
        <v>51</v>
      </c>
      <c r="F932" s="2">
        <v>158441</v>
      </c>
      <c r="G932" s="2">
        <v>3976</v>
      </c>
      <c r="H932" s="2">
        <v>10814.72</v>
      </c>
      <c r="I932" s="2">
        <v>300</v>
      </c>
      <c r="J932" s="2">
        <v>51868.85</v>
      </c>
      <c r="K932" s="4">
        <f t="shared" si="56"/>
        <v>2.5094514677387797E-2</v>
      </c>
      <c r="L932" s="6">
        <f t="shared" si="57"/>
        <v>2.7199999999999998</v>
      </c>
      <c r="M932" s="6">
        <f t="shared" si="58"/>
        <v>36.049066666666661</v>
      </c>
      <c r="N932" s="8">
        <f t="shared" si="59"/>
        <v>4.7961343428216354</v>
      </c>
    </row>
    <row r="933" spans="1:14" x14ac:dyDescent="0.45">
      <c r="A933" s="12">
        <v>45651</v>
      </c>
      <c r="B933" s="2" t="s">
        <v>15</v>
      </c>
      <c r="C933" s="2" t="s">
        <v>38</v>
      </c>
      <c r="D933" s="2" t="s">
        <v>41</v>
      </c>
      <c r="E933" s="2" t="s">
        <v>22</v>
      </c>
      <c r="F933" s="2">
        <v>10380</v>
      </c>
      <c r="G933" s="2">
        <v>503</v>
      </c>
      <c r="H933" s="2">
        <v>1006</v>
      </c>
      <c r="I933" s="2">
        <v>15</v>
      </c>
      <c r="J933" s="2">
        <v>1306.45</v>
      </c>
      <c r="K933" s="4">
        <f t="shared" si="56"/>
        <v>4.8458574181117535E-2</v>
      </c>
      <c r="L933" s="6">
        <f t="shared" si="57"/>
        <v>2</v>
      </c>
      <c r="M933" s="6">
        <f t="shared" si="58"/>
        <v>67.066666666666663</v>
      </c>
      <c r="N933" s="8">
        <f t="shared" si="59"/>
        <v>1.2986580516898609</v>
      </c>
    </row>
    <row r="934" spans="1:14" x14ac:dyDescent="0.45">
      <c r="A934" s="12">
        <v>45556</v>
      </c>
      <c r="B934" s="2" t="s">
        <v>15</v>
      </c>
      <c r="C934" s="2" t="s">
        <v>28</v>
      </c>
      <c r="D934" s="2" t="s">
        <v>29</v>
      </c>
      <c r="E934" s="2" t="s">
        <v>54</v>
      </c>
      <c r="F934" s="2">
        <v>27791</v>
      </c>
      <c r="G934" s="2">
        <v>930</v>
      </c>
      <c r="H934" s="2">
        <v>1385.7</v>
      </c>
      <c r="I934" s="2">
        <v>73</v>
      </c>
      <c r="J934" s="2">
        <v>10712.26</v>
      </c>
      <c r="K934" s="4">
        <f t="shared" si="56"/>
        <v>3.3464071102155372E-2</v>
      </c>
      <c r="L934" s="6">
        <f t="shared" si="57"/>
        <v>1.49</v>
      </c>
      <c r="M934" s="6">
        <f t="shared" si="58"/>
        <v>18.982191780821918</v>
      </c>
      <c r="N934" s="8">
        <f t="shared" si="59"/>
        <v>7.7305766038825139</v>
      </c>
    </row>
    <row r="935" spans="1:14" x14ac:dyDescent="0.45">
      <c r="A935" s="12">
        <v>45379</v>
      </c>
      <c r="B935" s="2" t="s">
        <v>35</v>
      </c>
      <c r="C935" s="2" t="s">
        <v>28</v>
      </c>
      <c r="D935" s="2" t="s">
        <v>41</v>
      </c>
      <c r="E935" s="2" t="s">
        <v>54</v>
      </c>
      <c r="F935" s="2">
        <v>124870</v>
      </c>
      <c r="G935" s="2">
        <v>2622</v>
      </c>
      <c r="H935" s="2">
        <v>4404.96</v>
      </c>
      <c r="I935" s="2">
        <v>140</v>
      </c>
      <c r="J935" s="2">
        <v>13095.31</v>
      </c>
      <c r="K935" s="4">
        <f t="shared" si="56"/>
        <v>2.0997837751261312E-2</v>
      </c>
      <c r="L935" s="6">
        <f t="shared" si="57"/>
        <v>1.68</v>
      </c>
      <c r="M935" s="6">
        <f t="shared" si="58"/>
        <v>31.463999999999999</v>
      </c>
      <c r="N935" s="8">
        <f t="shared" si="59"/>
        <v>2.9728555991427843</v>
      </c>
    </row>
    <row r="936" spans="1:14" x14ac:dyDescent="0.45">
      <c r="A936" s="12">
        <v>45534</v>
      </c>
      <c r="B936" s="2" t="s">
        <v>35</v>
      </c>
      <c r="C936" s="2" t="s">
        <v>38</v>
      </c>
      <c r="D936" s="2" t="s">
        <v>25</v>
      </c>
      <c r="E936" s="2" t="s">
        <v>54</v>
      </c>
      <c r="F936" s="2">
        <v>137053</v>
      </c>
      <c r="G936" s="2">
        <v>5550</v>
      </c>
      <c r="H936" s="2">
        <v>8436</v>
      </c>
      <c r="I936" s="2">
        <v>381</v>
      </c>
      <c r="J936" s="2">
        <v>43644.89</v>
      </c>
      <c r="K936" s="4">
        <f t="shared" si="56"/>
        <v>4.0495282846781902E-2</v>
      </c>
      <c r="L936" s="6">
        <f t="shared" si="57"/>
        <v>1.52</v>
      </c>
      <c r="M936" s="6">
        <f t="shared" si="58"/>
        <v>22.141732283464567</v>
      </c>
      <c r="N936" s="8">
        <f t="shared" si="59"/>
        <v>5.1736474632527267</v>
      </c>
    </row>
    <row r="937" spans="1:14" x14ac:dyDescent="0.45">
      <c r="A937" s="12">
        <v>45403</v>
      </c>
      <c r="B937" s="2" t="s">
        <v>35</v>
      </c>
      <c r="C937" s="2" t="s">
        <v>16</v>
      </c>
      <c r="D937" s="2" t="s">
        <v>41</v>
      </c>
      <c r="E937" s="2" t="s">
        <v>18</v>
      </c>
      <c r="F937" s="2">
        <v>43062</v>
      </c>
      <c r="G937" s="2">
        <v>1322</v>
      </c>
      <c r="H937" s="2">
        <v>925.4</v>
      </c>
      <c r="I937" s="2">
        <v>23</v>
      </c>
      <c r="J937" s="2">
        <v>2104.08</v>
      </c>
      <c r="K937" s="4">
        <f t="shared" si="56"/>
        <v>3.0699921044075984E-2</v>
      </c>
      <c r="L937" s="6">
        <f t="shared" si="57"/>
        <v>0.7</v>
      </c>
      <c r="M937" s="6">
        <f t="shared" si="58"/>
        <v>40.234782608695653</v>
      </c>
      <c r="N937" s="8">
        <f t="shared" si="59"/>
        <v>2.2736978603846985</v>
      </c>
    </row>
    <row r="938" spans="1:14" x14ac:dyDescent="0.45">
      <c r="A938" s="12">
        <v>45538</v>
      </c>
      <c r="B938" s="2" t="s">
        <v>15</v>
      </c>
      <c r="C938" s="2" t="s">
        <v>24</v>
      </c>
      <c r="D938" s="2" t="s">
        <v>29</v>
      </c>
      <c r="E938" s="2" t="s">
        <v>26</v>
      </c>
      <c r="F938" s="2">
        <v>177472</v>
      </c>
      <c r="G938" s="2">
        <v>9210</v>
      </c>
      <c r="H938" s="2">
        <v>18696.3</v>
      </c>
      <c r="I938" s="2">
        <v>410</v>
      </c>
      <c r="J938" s="2">
        <v>45066.38</v>
      </c>
      <c r="K938" s="4">
        <f t="shared" si="56"/>
        <v>5.1895510277677609E-2</v>
      </c>
      <c r="L938" s="6">
        <f t="shared" si="57"/>
        <v>2.0299999999999998</v>
      </c>
      <c r="M938" s="6">
        <f t="shared" si="58"/>
        <v>45.600731707317074</v>
      </c>
      <c r="N938" s="8">
        <f t="shared" si="59"/>
        <v>2.4104437776458445</v>
      </c>
    </row>
    <row r="939" spans="1:14" x14ac:dyDescent="0.45">
      <c r="A939" s="12">
        <v>45438</v>
      </c>
      <c r="B939" s="2" t="s">
        <v>15</v>
      </c>
      <c r="C939" s="2" t="s">
        <v>38</v>
      </c>
      <c r="D939" s="2" t="s">
        <v>25</v>
      </c>
      <c r="E939" s="2" t="s">
        <v>54</v>
      </c>
      <c r="F939" s="2">
        <v>25967</v>
      </c>
      <c r="G939" s="2">
        <v>656</v>
      </c>
      <c r="H939" s="2">
        <v>1764.64</v>
      </c>
      <c r="I939" s="2">
        <v>24</v>
      </c>
      <c r="J939" s="2">
        <v>1078.6199999999999</v>
      </c>
      <c r="K939" s="4">
        <f t="shared" si="56"/>
        <v>2.5262833596487851E-2</v>
      </c>
      <c r="L939" s="6">
        <f t="shared" si="57"/>
        <v>2.69</v>
      </c>
      <c r="M939" s="6">
        <f t="shared" si="58"/>
        <v>73.526666666666671</v>
      </c>
      <c r="N939" s="8">
        <f t="shared" si="59"/>
        <v>0.61124081965726706</v>
      </c>
    </row>
    <row r="940" spans="1:14" x14ac:dyDescent="0.45">
      <c r="A940" s="12">
        <v>45560</v>
      </c>
      <c r="B940" s="2" t="s">
        <v>20</v>
      </c>
      <c r="C940" s="2" t="s">
        <v>28</v>
      </c>
      <c r="D940" s="2" t="s">
        <v>29</v>
      </c>
      <c r="E940" s="2" t="s">
        <v>33</v>
      </c>
      <c r="F940" s="2">
        <v>139162</v>
      </c>
      <c r="G940" s="2">
        <v>7152</v>
      </c>
      <c r="H940" s="2">
        <v>9941.2800000000007</v>
      </c>
      <c r="I940" s="2">
        <v>137</v>
      </c>
      <c r="J940" s="2">
        <v>29124.09</v>
      </c>
      <c r="K940" s="4">
        <f t="shared" si="56"/>
        <v>5.1393340135956658E-2</v>
      </c>
      <c r="L940" s="6">
        <f t="shared" si="57"/>
        <v>1.3900000000000001</v>
      </c>
      <c r="M940" s="6">
        <f t="shared" si="58"/>
        <v>72.564087591240877</v>
      </c>
      <c r="N940" s="8">
        <f t="shared" si="59"/>
        <v>2.9296116797836897</v>
      </c>
    </row>
    <row r="941" spans="1:14" x14ac:dyDescent="0.45">
      <c r="A941" s="12">
        <v>45648</v>
      </c>
      <c r="B941" s="2" t="s">
        <v>15</v>
      </c>
      <c r="C941" s="2" t="s">
        <v>38</v>
      </c>
      <c r="D941" s="2" t="s">
        <v>17</v>
      </c>
      <c r="E941" s="2" t="s">
        <v>22</v>
      </c>
      <c r="F941" s="2">
        <v>45364</v>
      </c>
      <c r="G941" s="2">
        <v>1628</v>
      </c>
      <c r="H941" s="2">
        <v>2002.44</v>
      </c>
      <c r="I941" s="2">
        <v>113</v>
      </c>
      <c r="J941" s="2">
        <v>10930.4</v>
      </c>
      <c r="K941" s="4">
        <f t="shared" si="56"/>
        <v>3.5887487875848688E-2</v>
      </c>
      <c r="L941" s="6">
        <f t="shared" si="57"/>
        <v>1.23</v>
      </c>
      <c r="M941" s="6">
        <f t="shared" si="58"/>
        <v>17.720707964601772</v>
      </c>
      <c r="N941" s="8">
        <f t="shared" si="59"/>
        <v>5.4585405804917997</v>
      </c>
    </row>
    <row r="942" spans="1:14" x14ac:dyDescent="0.45">
      <c r="A942" s="12">
        <v>45306</v>
      </c>
      <c r="B942" s="2" t="s">
        <v>15</v>
      </c>
      <c r="C942" s="2" t="s">
        <v>38</v>
      </c>
      <c r="D942" s="2" t="s">
        <v>41</v>
      </c>
      <c r="E942" s="2" t="s">
        <v>22</v>
      </c>
      <c r="F942" s="2">
        <v>62320</v>
      </c>
      <c r="G942" s="2">
        <v>3857</v>
      </c>
      <c r="H942" s="2">
        <v>3895.57</v>
      </c>
      <c r="I942" s="2">
        <v>158</v>
      </c>
      <c r="J942" s="2">
        <v>17905.2</v>
      </c>
      <c r="K942" s="4">
        <f t="shared" si="56"/>
        <v>6.1890243902439024E-2</v>
      </c>
      <c r="L942" s="6">
        <f t="shared" si="57"/>
        <v>1.01</v>
      </c>
      <c r="M942" s="6">
        <f t="shared" si="58"/>
        <v>24.655506329113926</v>
      </c>
      <c r="N942" s="8">
        <f t="shared" si="59"/>
        <v>4.5962978460148323</v>
      </c>
    </row>
    <row r="943" spans="1:14" x14ac:dyDescent="0.45">
      <c r="A943" s="12">
        <v>45611</v>
      </c>
      <c r="B943" s="2" t="s">
        <v>35</v>
      </c>
      <c r="C943" s="2" t="s">
        <v>28</v>
      </c>
      <c r="D943" s="2" t="s">
        <v>29</v>
      </c>
      <c r="E943" s="2" t="s">
        <v>33</v>
      </c>
      <c r="F943" s="2">
        <v>141436</v>
      </c>
      <c r="G943" s="2">
        <v>3026</v>
      </c>
      <c r="H943" s="2">
        <v>5567.84</v>
      </c>
      <c r="I943" s="2">
        <v>108</v>
      </c>
      <c r="J943" s="2">
        <v>24540.41</v>
      </c>
      <c r="K943" s="4">
        <f t="shared" si="56"/>
        <v>2.1394835826805056E-2</v>
      </c>
      <c r="L943" s="6">
        <f t="shared" si="57"/>
        <v>1.84</v>
      </c>
      <c r="M943" s="6">
        <f t="shared" si="58"/>
        <v>51.554074074074073</v>
      </c>
      <c r="N943" s="8">
        <f t="shared" si="59"/>
        <v>4.4075278743642059</v>
      </c>
    </row>
    <row r="944" spans="1:14" x14ac:dyDescent="0.45">
      <c r="A944" s="12">
        <v>45583</v>
      </c>
      <c r="B944" s="2" t="s">
        <v>35</v>
      </c>
      <c r="C944" s="2" t="s">
        <v>24</v>
      </c>
      <c r="D944" s="2" t="s">
        <v>21</v>
      </c>
      <c r="E944" s="2" t="s">
        <v>30</v>
      </c>
      <c r="F944" s="2">
        <v>152318</v>
      </c>
      <c r="G944" s="2">
        <v>4554</v>
      </c>
      <c r="H944" s="2">
        <v>4918.32</v>
      </c>
      <c r="I944" s="2">
        <v>296</v>
      </c>
      <c r="J944" s="2">
        <v>64805.54</v>
      </c>
      <c r="K944" s="4">
        <f t="shared" si="56"/>
        <v>2.9897976601583529E-2</v>
      </c>
      <c r="L944" s="6">
        <f t="shared" si="57"/>
        <v>1.0799999999999998</v>
      </c>
      <c r="M944" s="6">
        <f t="shared" si="58"/>
        <v>16.615945945945946</v>
      </c>
      <c r="N944" s="8">
        <f t="shared" si="59"/>
        <v>13.176356967419771</v>
      </c>
    </row>
    <row r="945" spans="1:14" x14ac:dyDescent="0.45">
      <c r="A945" s="12">
        <v>45536</v>
      </c>
      <c r="B945" s="2" t="s">
        <v>15</v>
      </c>
      <c r="C945" s="2" t="s">
        <v>16</v>
      </c>
      <c r="D945" s="2" t="s">
        <v>29</v>
      </c>
      <c r="E945" s="2" t="s">
        <v>26</v>
      </c>
      <c r="F945" s="2">
        <v>27778</v>
      </c>
      <c r="G945" s="2">
        <v>1902</v>
      </c>
      <c r="H945" s="2">
        <v>2948.1</v>
      </c>
      <c r="I945" s="2">
        <v>125</v>
      </c>
      <c r="J945" s="2">
        <v>15444.21</v>
      </c>
      <c r="K945" s="4">
        <f t="shared" si="56"/>
        <v>6.8471452228382176E-2</v>
      </c>
      <c r="L945" s="6">
        <f t="shared" si="57"/>
        <v>1.55</v>
      </c>
      <c r="M945" s="6">
        <f t="shared" si="58"/>
        <v>23.584799999999998</v>
      </c>
      <c r="N945" s="8">
        <f t="shared" si="59"/>
        <v>5.2386995013737661</v>
      </c>
    </row>
    <row r="946" spans="1:14" x14ac:dyDescent="0.45">
      <c r="A946" s="12">
        <v>45523</v>
      </c>
      <c r="B946" s="2" t="s">
        <v>20</v>
      </c>
      <c r="C946" s="2" t="s">
        <v>24</v>
      </c>
      <c r="D946" s="2" t="s">
        <v>41</v>
      </c>
      <c r="E946" s="2" t="s">
        <v>22</v>
      </c>
      <c r="F946" s="2">
        <v>82400</v>
      </c>
      <c r="G946" s="2">
        <v>3708</v>
      </c>
      <c r="H946" s="2">
        <v>2966.4</v>
      </c>
      <c r="I946" s="2">
        <v>139</v>
      </c>
      <c r="J946" s="2">
        <v>31548.51</v>
      </c>
      <c r="K946" s="4">
        <f t="shared" si="56"/>
        <v>4.4999999999999998E-2</v>
      </c>
      <c r="L946" s="6">
        <f t="shared" si="57"/>
        <v>0.8</v>
      </c>
      <c r="M946" s="6">
        <f t="shared" si="58"/>
        <v>21.341007194244604</v>
      </c>
      <c r="N946" s="8">
        <f t="shared" si="59"/>
        <v>10.635285194174756</v>
      </c>
    </row>
    <row r="947" spans="1:14" x14ac:dyDescent="0.45">
      <c r="A947" s="12">
        <v>45625</v>
      </c>
      <c r="B947" s="2" t="s">
        <v>15</v>
      </c>
      <c r="C947" s="2" t="s">
        <v>16</v>
      </c>
      <c r="D947" s="2" t="s">
        <v>25</v>
      </c>
      <c r="E947" s="2" t="s">
        <v>22</v>
      </c>
      <c r="F947" s="2">
        <v>195606</v>
      </c>
      <c r="G947" s="2">
        <v>10817</v>
      </c>
      <c r="H947" s="2">
        <v>38184.01</v>
      </c>
      <c r="I947" s="2">
        <v>122</v>
      </c>
      <c r="J947" s="2">
        <v>7355.91</v>
      </c>
      <c r="K947" s="4">
        <f t="shared" si="56"/>
        <v>5.5299939674652104E-2</v>
      </c>
      <c r="L947" s="6">
        <f t="shared" si="57"/>
        <v>3.5300000000000002</v>
      </c>
      <c r="M947" s="6">
        <f t="shared" si="58"/>
        <v>312.98368852459021</v>
      </c>
      <c r="N947" s="8">
        <f t="shared" si="59"/>
        <v>0.19264372704700211</v>
      </c>
    </row>
    <row r="948" spans="1:14" x14ac:dyDescent="0.45">
      <c r="A948" s="12">
        <v>45616</v>
      </c>
      <c r="B948" s="2" t="s">
        <v>20</v>
      </c>
      <c r="C948" s="2" t="s">
        <v>28</v>
      </c>
      <c r="D948" s="2" t="s">
        <v>17</v>
      </c>
      <c r="E948" s="2" t="s">
        <v>33</v>
      </c>
      <c r="F948" s="2">
        <v>18181</v>
      </c>
      <c r="G948" s="2">
        <v>1179</v>
      </c>
      <c r="H948" s="2">
        <v>754.56</v>
      </c>
      <c r="I948" s="2">
        <v>24</v>
      </c>
      <c r="J948" s="2">
        <v>4581.7</v>
      </c>
      <c r="K948" s="4">
        <f t="shared" si="56"/>
        <v>6.4847918156317033E-2</v>
      </c>
      <c r="L948" s="6">
        <f t="shared" si="57"/>
        <v>0.6399999999999999</v>
      </c>
      <c r="M948" s="6">
        <f t="shared" si="58"/>
        <v>31.439999999999998</v>
      </c>
      <c r="N948" s="8">
        <f t="shared" si="59"/>
        <v>6.0720154792196777</v>
      </c>
    </row>
    <row r="949" spans="1:14" x14ac:dyDescent="0.45">
      <c r="A949" s="12">
        <v>45408</v>
      </c>
      <c r="B949" s="2" t="s">
        <v>15</v>
      </c>
      <c r="C949" s="2" t="s">
        <v>24</v>
      </c>
      <c r="D949" s="2" t="s">
        <v>29</v>
      </c>
      <c r="E949" s="2" t="s">
        <v>26</v>
      </c>
      <c r="F949" s="2">
        <v>86560</v>
      </c>
      <c r="G949" s="2">
        <v>5323</v>
      </c>
      <c r="H949" s="2">
        <v>4843.93</v>
      </c>
      <c r="I949" s="2">
        <v>94</v>
      </c>
      <c r="J949" s="2">
        <v>8283.6200000000008</v>
      </c>
      <c r="K949" s="4">
        <f t="shared" si="56"/>
        <v>6.1494916820702406E-2</v>
      </c>
      <c r="L949" s="6">
        <f t="shared" si="57"/>
        <v>0.91</v>
      </c>
      <c r="M949" s="6">
        <f t="shared" si="58"/>
        <v>51.531170212765957</v>
      </c>
      <c r="N949" s="8">
        <f t="shared" si="59"/>
        <v>1.7101031600374077</v>
      </c>
    </row>
    <row r="950" spans="1:14" x14ac:dyDescent="0.45">
      <c r="A950" s="12">
        <v>45362</v>
      </c>
      <c r="B950" s="2" t="s">
        <v>15</v>
      </c>
      <c r="C950" s="2" t="s">
        <v>24</v>
      </c>
      <c r="D950" s="2" t="s">
        <v>17</v>
      </c>
      <c r="E950" s="2" t="s">
        <v>26</v>
      </c>
      <c r="F950" s="2">
        <v>89845</v>
      </c>
      <c r="G950" s="2">
        <v>2605</v>
      </c>
      <c r="H950" s="2">
        <v>4532.7</v>
      </c>
      <c r="I950" s="2">
        <v>155</v>
      </c>
      <c r="J950" s="2">
        <v>14107.55</v>
      </c>
      <c r="K950" s="4">
        <f t="shared" si="56"/>
        <v>2.8994379208637098E-2</v>
      </c>
      <c r="L950" s="6">
        <f t="shared" si="57"/>
        <v>1.74</v>
      </c>
      <c r="M950" s="6">
        <f t="shared" si="58"/>
        <v>29.243225806451612</v>
      </c>
      <c r="N950" s="8">
        <f t="shared" si="59"/>
        <v>3.1123943786264259</v>
      </c>
    </row>
    <row r="951" spans="1:14" x14ac:dyDescent="0.45">
      <c r="A951" s="12">
        <v>45451</v>
      </c>
      <c r="B951" s="2" t="s">
        <v>35</v>
      </c>
      <c r="C951" s="2" t="s">
        <v>28</v>
      </c>
      <c r="D951" s="2" t="s">
        <v>17</v>
      </c>
      <c r="E951" s="2" t="s">
        <v>30</v>
      </c>
      <c r="F951" s="2">
        <v>194121</v>
      </c>
      <c r="G951" s="2">
        <v>6270</v>
      </c>
      <c r="H951" s="2">
        <v>4326.3</v>
      </c>
      <c r="I951" s="2">
        <v>133</v>
      </c>
      <c r="J951" s="2">
        <v>11409.44</v>
      </c>
      <c r="K951" s="4">
        <f t="shared" si="56"/>
        <v>3.2299442100545535E-2</v>
      </c>
      <c r="L951" s="6">
        <f t="shared" si="57"/>
        <v>0.69000000000000006</v>
      </c>
      <c r="M951" s="6">
        <f t="shared" si="58"/>
        <v>32.528571428571432</v>
      </c>
      <c r="N951" s="8">
        <f t="shared" si="59"/>
        <v>2.6372281164043176</v>
      </c>
    </row>
    <row r="952" spans="1:14" x14ac:dyDescent="0.45">
      <c r="A952" s="12">
        <v>45588</v>
      </c>
      <c r="B952" s="2" t="s">
        <v>35</v>
      </c>
      <c r="C952" s="2" t="s">
        <v>24</v>
      </c>
      <c r="D952" s="2" t="s">
        <v>29</v>
      </c>
      <c r="E952" s="2" t="s">
        <v>33</v>
      </c>
      <c r="F952" s="2">
        <v>81313</v>
      </c>
      <c r="G952" s="2">
        <v>1089</v>
      </c>
      <c r="H952" s="2">
        <v>1557.27</v>
      </c>
      <c r="I952" s="2">
        <v>77</v>
      </c>
      <c r="J952" s="2">
        <v>3549.91</v>
      </c>
      <c r="K952" s="4">
        <f t="shared" si="56"/>
        <v>1.3392692435403933E-2</v>
      </c>
      <c r="L952" s="6">
        <f t="shared" si="57"/>
        <v>1.43</v>
      </c>
      <c r="M952" s="6">
        <f t="shared" si="58"/>
        <v>20.224285714285713</v>
      </c>
      <c r="N952" s="8">
        <f t="shared" si="59"/>
        <v>2.2795725853577093</v>
      </c>
    </row>
    <row r="953" spans="1:14" x14ac:dyDescent="0.45">
      <c r="A953" s="12">
        <v>45519</v>
      </c>
      <c r="B953" s="2" t="s">
        <v>15</v>
      </c>
      <c r="C953" s="2" t="s">
        <v>38</v>
      </c>
      <c r="D953" s="2" t="s">
        <v>25</v>
      </c>
      <c r="E953" s="2" t="s">
        <v>26</v>
      </c>
      <c r="F953" s="2">
        <v>95153</v>
      </c>
      <c r="G953" s="2">
        <v>5404</v>
      </c>
      <c r="H953" s="2">
        <v>9186.7999999999993</v>
      </c>
      <c r="I953" s="2">
        <v>74</v>
      </c>
      <c r="J953" s="2">
        <v>20688.95</v>
      </c>
      <c r="K953" s="4">
        <f t="shared" si="56"/>
        <v>5.6792744317047283E-2</v>
      </c>
      <c r="L953" s="6">
        <f t="shared" si="57"/>
        <v>1.7</v>
      </c>
      <c r="M953" s="6">
        <f t="shared" si="58"/>
        <v>124.14594594594594</v>
      </c>
      <c r="N953" s="8">
        <f t="shared" si="59"/>
        <v>2.2520300866460579</v>
      </c>
    </row>
    <row r="954" spans="1:14" x14ac:dyDescent="0.45">
      <c r="A954" s="12">
        <v>45339</v>
      </c>
      <c r="B954" s="2" t="s">
        <v>35</v>
      </c>
      <c r="C954" s="2" t="s">
        <v>38</v>
      </c>
      <c r="D954" s="2" t="s">
        <v>17</v>
      </c>
      <c r="E954" s="2" t="s">
        <v>30</v>
      </c>
      <c r="F954" s="2">
        <v>104926</v>
      </c>
      <c r="G954" s="2">
        <v>3273</v>
      </c>
      <c r="H954" s="2">
        <v>4844.04</v>
      </c>
      <c r="I954" s="2">
        <v>65</v>
      </c>
      <c r="J954" s="2">
        <v>12449.27</v>
      </c>
      <c r="K954" s="4">
        <f t="shared" si="56"/>
        <v>3.1193412500238264E-2</v>
      </c>
      <c r="L954" s="6">
        <f t="shared" si="57"/>
        <v>1.48</v>
      </c>
      <c r="M954" s="6">
        <f t="shared" si="58"/>
        <v>74.523692307692301</v>
      </c>
      <c r="N954" s="8">
        <f t="shared" si="59"/>
        <v>2.570018001502878</v>
      </c>
    </row>
    <row r="955" spans="1:14" x14ac:dyDescent="0.45">
      <c r="A955" s="12">
        <v>45632</v>
      </c>
      <c r="B955" s="2" t="s">
        <v>35</v>
      </c>
      <c r="C955" s="2" t="s">
        <v>28</v>
      </c>
      <c r="D955" s="2" t="s">
        <v>29</v>
      </c>
      <c r="E955" s="2" t="s">
        <v>30</v>
      </c>
      <c r="F955" s="2">
        <v>16093</v>
      </c>
      <c r="G955" s="2">
        <v>466</v>
      </c>
      <c r="H955" s="2">
        <v>386.78</v>
      </c>
      <c r="I955" s="2">
        <v>28</v>
      </c>
      <c r="J955" s="2">
        <v>5468.73</v>
      </c>
      <c r="K955" s="4">
        <f t="shared" si="56"/>
        <v>2.8956689243770584E-2</v>
      </c>
      <c r="L955" s="6">
        <f t="shared" si="57"/>
        <v>0.83</v>
      </c>
      <c r="M955" s="6">
        <f t="shared" si="58"/>
        <v>13.813571428571427</v>
      </c>
      <c r="N955" s="8">
        <f t="shared" si="59"/>
        <v>14.13912301566782</v>
      </c>
    </row>
    <row r="956" spans="1:14" x14ac:dyDescent="0.45">
      <c r="A956" s="12">
        <v>45623</v>
      </c>
      <c r="B956" s="2" t="s">
        <v>15</v>
      </c>
      <c r="C956" s="2" t="s">
        <v>28</v>
      </c>
      <c r="D956" s="2" t="s">
        <v>21</v>
      </c>
      <c r="E956" s="2" t="s">
        <v>33</v>
      </c>
      <c r="F956" s="2">
        <v>155338</v>
      </c>
      <c r="G956" s="2">
        <v>10718</v>
      </c>
      <c r="H956" s="2">
        <v>19935.48</v>
      </c>
      <c r="I956" s="2">
        <v>411</v>
      </c>
      <c r="J956" s="2">
        <v>112821.78</v>
      </c>
      <c r="K956" s="4">
        <f t="shared" si="56"/>
        <v>6.8997927100902551E-2</v>
      </c>
      <c r="L956" s="6">
        <f t="shared" si="57"/>
        <v>1.8599999999999999</v>
      </c>
      <c r="M956" s="6">
        <f t="shared" si="58"/>
        <v>48.504817518248174</v>
      </c>
      <c r="N956" s="8">
        <f t="shared" si="59"/>
        <v>5.6593460503584563</v>
      </c>
    </row>
    <row r="957" spans="1:14" x14ac:dyDescent="0.45">
      <c r="A957" s="12">
        <v>45609</v>
      </c>
      <c r="B957" s="2" t="s">
        <v>15</v>
      </c>
      <c r="C957" s="2" t="s">
        <v>24</v>
      </c>
      <c r="D957" s="2" t="s">
        <v>21</v>
      </c>
      <c r="E957" s="2" t="s">
        <v>33</v>
      </c>
      <c r="F957" s="2">
        <v>179877</v>
      </c>
      <c r="G957" s="2">
        <v>4317</v>
      </c>
      <c r="H957" s="2">
        <v>10965.18</v>
      </c>
      <c r="I957" s="2">
        <v>215</v>
      </c>
      <c r="J957" s="2">
        <v>13004.03</v>
      </c>
      <c r="K957" s="4">
        <f t="shared" si="56"/>
        <v>2.3999733150986507E-2</v>
      </c>
      <c r="L957" s="6">
        <f t="shared" si="57"/>
        <v>2.54</v>
      </c>
      <c r="M957" s="6">
        <f t="shared" si="58"/>
        <v>51.000837209302325</v>
      </c>
      <c r="N957" s="8">
        <f t="shared" si="59"/>
        <v>1.1859385801236277</v>
      </c>
    </row>
    <row r="958" spans="1:14" x14ac:dyDescent="0.45">
      <c r="A958" s="12">
        <v>45528</v>
      </c>
      <c r="B958" s="2" t="s">
        <v>20</v>
      </c>
      <c r="C958" s="2" t="s">
        <v>24</v>
      </c>
      <c r="D958" s="2" t="s">
        <v>41</v>
      </c>
      <c r="E958" s="2" t="s">
        <v>54</v>
      </c>
      <c r="F958" s="2">
        <v>185510</v>
      </c>
      <c r="G958" s="2">
        <v>9739</v>
      </c>
      <c r="H958" s="2">
        <v>19964.95</v>
      </c>
      <c r="I958" s="2">
        <v>461</v>
      </c>
      <c r="J958" s="2">
        <v>116711.4</v>
      </c>
      <c r="K958" s="4">
        <f t="shared" si="56"/>
        <v>5.2498517600129371E-2</v>
      </c>
      <c r="L958" s="6">
        <f t="shared" si="57"/>
        <v>2.0500000000000003</v>
      </c>
      <c r="M958" s="6">
        <f t="shared" si="58"/>
        <v>43.307917570498915</v>
      </c>
      <c r="N958" s="8">
        <f t="shared" si="59"/>
        <v>5.8458147904202109</v>
      </c>
    </row>
    <row r="959" spans="1:14" x14ac:dyDescent="0.45">
      <c r="A959" s="12">
        <v>45524</v>
      </c>
      <c r="B959" s="2" t="s">
        <v>20</v>
      </c>
      <c r="C959" s="2" t="s">
        <v>16</v>
      </c>
      <c r="D959" s="2" t="s">
        <v>21</v>
      </c>
      <c r="E959" s="2" t="s">
        <v>30</v>
      </c>
      <c r="F959" s="2">
        <v>135992</v>
      </c>
      <c r="G959" s="2">
        <v>8023</v>
      </c>
      <c r="H959" s="2">
        <v>3209.2</v>
      </c>
      <c r="I959" s="2">
        <v>640</v>
      </c>
      <c r="J959" s="2">
        <v>50560.98</v>
      </c>
      <c r="K959" s="4">
        <f t="shared" si="56"/>
        <v>5.8996117418671688E-2</v>
      </c>
      <c r="L959" s="6">
        <f t="shared" si="57"/>
        <v>0.39999999999999997</v>
      </c>
      <c r="M959" s="6">
        <f t="shared" si="58"/>
        <v>5.0143749999999994</v>
      </c>
      <c r="N959" s="8">
        <f t="shared" si="59"/>
        <v>15.755010594540698</v>
      </c>
    </row>
    <row r="960" spans="1:14" x14ac:dyDescent="0.45">
      <c r="A960" s="12">
        <v>45307</v>
      </c>
      <c r="B960" s="2" t="s">
        <v>15</v>
      </c>
      <c r="C960" s="2" t="s">
        <v>16</v>
      </c>
      <c r="D960" s="2" t="s">
        <v>21</v>
      </c>
      <c r="E960" s="2" t="s">
        <v>30</v>
      </c>
      <c r="F960" s="2">
        <v>192593</v>
      </c>
      <c r="G960" s="2">
        <v>4949</v>
      </c>
      <c r="H960" s="2">
        <v>9056.67</v>
      </c>
      <c r="I960" s="2">
        <v>172</v>
      </c>
      <c r="J960" s="2">
        <v>20836.16</v>
      </c>
      <c r="K960" s="4">
        <f t="shared" si="56"/>
        <v>2.5696676410876824E-2</v>
      </c>
      <c r="L960" s="6">
        <f t="shared" si="57"/>
        <v>1.83</v>
      </c>
      <c r="M960" s="6">
        <f t="shared" si="58"/>
        <v>52.655058139534887</v>
      </c>
      <c r="N960" s="8">
        <f t="shared" si="59"/>
        <v>2.3006425098849799</v>
      </c>
    </row>
    <row r="961" spans="1:14" x14ac:dyDescent="0.45">
      <c r="A961" s="12">
        <v>45656</v>
      </c>
      <c r="B961" s="2" t="s">
        <v>35</v>
      </c>
      <c r="C961" s="2" t="s">
        <v>16</v>
      </c>
      <c r="D961" s="2" t="s">
        <v>21</v>
      </c>
      <c r="E961" s="2" t="s">
        <v>18</v>
      </c>
      <c r="F961" s="2">
        <v>18487</v>
      </c>
      <c r="G961" s="2">
        <v>693</v>
      </c>
      <c r="H961" s="2">
        <v>339.57</v>
      </c>
      <c r="I961" s="2">
        <v>36</v>
      </c>
      <c r="J961" s="2">
        <v>7765.15</v>
      </c>
      <c r="K961" s="4">
        <f t="shared" si="56"/>
        <v>3.7485800833017793E-2</v>
      </c>
      <c r="L961" s="6">
        <f t="shared" si="57"/>
        <v>0.49</v>
      </c>
      <c r="M961" s="6">
        <f t="shared" si="58"/>
        <v>9.4324999999999992</v>
      </c>
      <c r="N961" s="8">
        <f t="shared" si="59"/>
        <v>22.867597255352358</v>
      </c>
    </row>
    <row r="962" spans="1:14" x14ac:dyDescent="0.45">
      <c r="A962" s="12">
        <v>45620</v>
      </c>
      <c r="B962" s="2" t="s">
        <v>35</v>
      </c>
      <c r="C962" s="2" t="s">
        <v>24</v>
      </c>
      <c r="D962" s="2" t="s">
        <v>21</v>
      </c>
      <c r="E962" s="2" t="s">
        <v>22</v>
      </c>
      <c r="F962" s="2">
        <v>88452</v>
      </c>
      <c r="G962" s="2">
        <v>3361</v>
      </c>
      <c r="H962" s="2">
        <v>5478.43</v>
      </c>
      <c r="I962" s="2">
        <v>180</v>
      </c>
      <c r="J962" s="2">
        <v>8119.45</v>
      </c>
      <c r="K962" s="4">
        <f t="shared" si="56"/>
        <v>3.7998010220232442E-2</v>
      </c>
      <c r="L962" s="6">
        <f t="shared" si="57"/>
        <v>1.6300000000000001</v>
      </c>
      <c r="M962" s="6">
        <f t="shared" si="58"/>
        <v>30.435722222222225</v>
      </c>
      <c r="N962" s="8">
        <f t="shared" si="59"/>
        <v>1.4820760692388146</v>
      </c>
    </row>
    <row r="963" spans="1:14" x14ac:dyDescent="0.45">
      <c r="A963" s="12">
        <v>45581</v>
      </c>
      <c r="B963" s="2" t="s">
        <v>20</v>
      </c>
      <c r="C963" s="2" t="s">
        <v>38</v>
      </c>
      <c r="D963" s="2" t="s">
        <v>17</v>
      </c>
      <c r="E963" s="2" t="s">
        <v>26</v>
      </c>
      <c r="F963" s="2">
        <v>178714</v>
      </c>
      <c r="G963" s="2">
        <v>7559</v>
      </c>
      <c r="H963" s="2">
        <v>8617.26</v>
      </c>
      <c r="I963" s="2">
        <v>312</v>
      </c>
      <c r="J963" s="2">
        <v>39985.980000000003</v>
      </c>
      <c r="K963" s="4">
        <f t="shared" ref="K963:K1026" si="60" xml:space="preserve"> G963 / F963</f>
        <v>4.2296630370312345E-2</v>
      </c>
      <c r="L963" s="6">
        <f t="shared" ref="L963:L1026" si="61">H963/G963</f>
        <v>1.1400000000000001</v>
      </c>
      <c r="M963" s="6">
        <f t="shared" ref="M963:M1026" si="62">H963/I963</f>
        <v>27.619423076923077</v>
      </c>
      <c r="N963" s="8">
        <f t="shared" ref="N963:N1026" si="63">J963/H963</f>
        <v>4.6402197450233604</v>
      </c>
    </row>
    <row r="964" spans="1:14" x14ac:dyDescent="0.45">
      <c r="A964" s="12">
        <v>45478</v>
      </c>
      <c r="B964" s="2" t="s">
        <v>20</v>
      </c>
      <c r="C964" s="2" t="s">
        <v>38</v>
      </c>
      <c r="D964" s="2" t="s">
        <v>29</v>
      </c>
      <c r="E964" s="2" t="s">
        <v>22</v>
      </c>
      <c r="F964" s="2">
        <v>113190</v>
      </c>
      <c r="G964" s="2">
        <v>3984</v>
      </c>
      <c r="H964" s="2">
        <v>5617.44</v>
      </c>
      <c r="I964" s="2">
        <v>172</v>
      </c>
      <c r="J964" s="2">
        <v>10269.39</v>
      </c>
      <c r="K964" s="4">
        <f t="shared" si="60"/>
        <v>3.519745560561887E-2</v>
      </c>
      <c r="L964" s="6">
        <f t="shared" si="61"/>
        <v>1.41</v>
      </c>
      <c r="M964" s="6">
        <f t="shared" si="62"/>
        <v>32.65953488372093</v>
      </c>
      <c r="N964" s="8">
        <f t="shared" si="63"/>
        <v>1.828126335127745</v>
      </c>
    </row>
    <row r="965" spans="1:14" x14ac:dyDescent="0.45">
      <c r="A965" s="12">
        <v>45395</v>
      </c>
      <c r="B965" s="2" t="s">
        <v>35</v>
      </c>
      <c r="C965" s="2" t="s">
        <v>24</v>
      </c>
      <c r="D965" s="2" t="s">
        <v>41</v>
      </c>
      <c r="E965" s="2" t="s">
        <v>54</v>
      </c>
      <c r="F965" s="2">
        <v>126103</v>
      </c>
      <c r="G965" s="2">
        <v>4300</v>
      </c>
      <c r="H965" s="2">
        <v>4687</v>
      </c>
      <c r="I965" s="2">
        <v>313</v>
      </c>
      <c r="J965" s="2">
        <v>18027.88</v>
      </c>
      <c r="K965" s="4">
        <f t="shared" si="60"/>
        <v>3.4099109458141361E-2</v>
      </c>
      <c r="L965" s="6">
        <f t="shared" si="61"/>
        <v>1.0900000000000001</v>
      </c>
      <c r="M965" s="6">
        <f t="shared" si="62"/>
        <v>14.974440894568691</v>
      </c>
      <c r="N965" s="8">
        <f t="shared" si="63"/>
        <v>3.8463580115212292</v>
      </c>
    </row>
    <row r="966" spans="1:14" x14ac:dyDescent="0.45">
      <c r="A966" s="12">
        <v>45647</v>
      </c>
      <c r="B966" s="2" t="s">
        <v>15</v>
      </c>
      <c r="C966" s="2" t="s">
        <v>16</v>
      </c>
      <c r="D966" s="2" t="s">
        <v>25</v>
      </c>
      <c r="E966" s="2" t="s">
        <v>51</v>
      </c>
      <c r="F966" s="2">
        <v>101355</v>
      </c>
      <c r="G966" s="2">
        <v>4459</v>
      </c>
      <c r="H966" s="2">
        <v>11370.45</v>
      </c>
      <c r="I966" s="2">
        <v>122</v>
      </c>
      <c r="J966" s="2">
        <v>10455.25</v>
      </c>
      <c r="K966" s="4">
        <f t="shared" si="60"/>
        <v>4.3993882886882739E-2</v>
      </c>
      <c r="L966" s="6">
        <f t="shared" si="61"/>
        <v>2.5500000000000003</v>
      </c>
      <c r="M966" s="6">
        <f t="shared" si="62"/>
        <v>93.200409836065575</v>
      </c>
      <c r="N966" s="8">
        <f t="shared" si="63"/>
        <v>0.9195106614074201</v>
      </c>
    </row>
    <row r="967" spans="1:14" x14ac:dyDescent="0.45">
      <c r="A967" s="12">
        <v>45338</v>
      </c>
      <c r="B967" s="2" t="s">
        <v>15</v>
      </c>
      <c r="C967" s="2" t="s">
        <v>38</v>
      </c>
      <c r="D967" s="2" t="s">
        <v>21</v>
      </c>
      <c r="E967" s="2" t="s">
        <v>33</v>
      </c>
      <c r="F967" s="2">
        <v>197974</v>
      </c>
      <c r="G967" s="2">
        <v>4375</v>
      </c>
      <c r="H967" s="2">
        <v>10631.25</v>
      </c>
      <c r="I967" s="2">
        <v>347</v>
      </c>
      <c r="J967" s="2">
        <v>73971.789999999994</v>
      </c>
      <c r="K967" s="4">
        <f t="shared" si="60"/>
        <v>2.2098861466657238E-2</v>
      </c>
      <c r="L967" s="6">
        <f t="shared" si="61"/>
        <v>2.4300000000000002</v>
      </c>
      <c r="M967" s="6">
        <f t="shared" si="62"/>
        <v>30.637608069164266</v>
      </c>
      <c r="N967" s="8">
        <f t="shared" si="63"/>
        <v>6.9579579071134621</v>
      </c>
    </row>
    <row r="968" spans="1:14" x14ac:dyDescent="0.45">
      <c r="A968" s="12">
        <v>45389</v>
      </c>
      <c r="B968" s="2" t="s">
        <v>35</v>
      </c>
      <c r="C968" s="2" t="s">
        <v>28</v>
      </c>
      <c r="D968" s="2" t="s">
        <v>17</v>
      </c>
      <c r="E968" s="2" t="s">
        <v>22</v>
      </c>
      <c r="F968" s="2">
        <v>49261</v>
      </c>
      <c r="G968" s="2">
        <v>724</v>
      </c>
      <c r="H968" s="2">
        <v>448.88</v>
      </c>
      <c r="I968" s="2">
        <v>31</v>
      </c>
      <c r="J968" s="2">
        <v>1397.37</v>
      </c>
      <c r="K968" s="4">
        <f t="shared" si="60"/>
        <v>1.4697224985282475E-2</v>
      </c>
      <c r="L968" s="6">
        <f t="shared" si="61"/>
        <v>0.62</v>
      </c>
      <c r="M968" s="6">
        <f t="shared" si="62"/>
        <v>14.48</v>
      </c>
      <c r="N968" s="8">
        <f t="shared" si="63"/>
        <v>3.1130146141507749</v>
      </c>
    </row>
    <row r="969" spans="1:14" x14ac:dyDescent="0.45">
      <c r="A969" s="12">
        <v>45322</v>
      </c>
      <c r="B969" s="2" t="s">
        <v>20</v>
      </c>
      <c r="C969" s="2" t="s">
        <v>28</v>
      </c>
      <c r="D969" s="2" t="s">
        <v>29</v>
      </c>
      <c r="E969" s="2" t="s">
        <v>51</v>
      </c>
      <c r="F969" s="2">
        <v>174668</v>
      </c>
      <c r="G969" s="2">
        <v>10916</v>
      </c>
      <c r="H969" s="2">
        <v>6877.08</v>
      </c>
      <c r="I969" s="2">
        <v>310</v>
      </c>
      <c r="J969" s="2">
        <v>37599.64</v>
      </c>
      <c r="K969" s="4">
        <f t="shared" si="60"/>
        <v>6.2495706139647791E-2</v>
      </c>
      <c r="L969" s="6">
        <f t="shared" si="61"/>
        <v>0.63</v>
      </c>
      <c r="M969" s="6">
        <f t="shared" si="62"/>
        <v>22.184129032258063</v>
      </c>
      <c r="N969" s="8">
        <f t="shared" si="63"/>
        <v>5.4673844131520939</v>
      </c>
    </row>
    <row r="970" spans="1:14" x14ac:dyDescent="0.45">
      <c r="A970" s="12">
        <v>45581</v>
      </c>
      <c r="B970" s="2" t="s">
        <v>15</v>
      </c>
      <c r="C970" s="2" t="s">
        <v>28</v>
      </c>
      <c r="D970" s="2" t="s">
        <v>17</v>
      </c>
      <c r="E970" s="2" t="s">
        <v>26</v>
      </c>
      <c r="F970" s="2">
        <v>163178</v>
      </c>
      <c r="G970" s="2">
        <v>5172</v>
      </c>
      <c r="H970" s="2">
        <v>11430.12</v>
      </c>
      <c r="I970" s="2">
        <v>325</v>
      </c>
      <c r="J970" s="2">
        <v>14305.21</v>
      </c>
      <c r="K970" s="4">
        <f t="shared" si="60"/>
        <v>3.1695449141428376E-2</v>
      </c>
      <c r="L970" s="6">
        <f t="shared" si="61"/>
        <v>2.21</v>
      </c>
      <c r="M970" s="6">
        <f t="shared" si="62"/>
        <v>35.169600000000003</v>
      </c>
      <c r="N970" s="8">
        <f t="shared" si="63"/>
        <v>1.2515362918324566</v>
      </c>
    </row>
    <row r="971" spans="1:14" x14ac:dyDescent="0.45">
      <c r="A971" s="12">
        <v>45613</v>
      </c>
      <c r="B971" s="2" t="s">
        <v>20</v>
      </c>
      <c r="C971" s="2" t="s">
        <v>16</v>
      </c>
      <c r="D971" s="2" t="s">
        <v>21</v>
      </c>
      <c r="E971" s="2" t="s">
        <v>26</v>
      </c>
      <c r="F971" s="2">
        <v>105726</v>
      </c>
      <c r="G971" s="2">
        <v>8542</v>
      </c>
      <c r="H971" s="2">
        <v>11958.8</v>
      </c>
      <c r="I971" s="2">
        <v>662</v>
      </c>
      <c r="J971" s="2">
        <v>104498.78</v>
      </c>
      <c r="K971" s="4">
        <f t="shared" si="60"/>
        <v>8.0793749881769863E-2</v>
      </c>
      <c r="L971" s="6">
        <f t="shared" si="61"/>
        <v>1.4</v>
      </c>
      <c r="M971" s="6">
        <f t="shared" si="62"/>
        <v>18.064652567975831</v>
      </c>
      <c r="N971" s="8">
        <f t="shared" si="63"/>
        <v>8.7382329330702078</v>
      </c>
    </row>
    <row r="972" spans="1:14" x14ac:dyDescent="0.45">
      <c r="A972" s="12">
        <v>45334</v>
      </c>
      <c r="B972" s="2" t="s">
        <v>20</v>
      </c>
      <c r="C972" s="2" t="s">
        <v>38</v>
      </c>
      <c r="D972" s="2" t="s">
        <v>25</v>
      </c>
      <c r="E972" s="2" t="s">
        <v>18</v>
      </c>
      <c r="F972" s="2">
        <v>74285</v>
      </c>
      <c r="G972" s="2">
        <v>2094</v>
      </c>
      <c r="H972" s="2">
        <v>1319.22</v>
      </c>
      <c r="I972" s="2">
        <v>92</v>
      </c>
      <c r="J972" s="2">
        <v>18972.8</v>
      </c>
      <c r="K972" s="4">
        <f t="shared" si="60"/>
        <v>2.8188732583967153E-2</v>
      </c>
      <c r="L972" s="6">
        <f t="shared" si="61"/>
        <v>0.63</v>
      </c>
      <c r="M972" s="6">
        <f t="shared" si="62"/>
        <v>14.339347826086957</v>
      </c>
      <c r="N972" s="8">
        <f t="shared" si="63"/>
        <v>14.381831688421945</v>
      </c>
    </row>
    <row r="973" spans="1:14" x14ac:dyDescent="0.45">
      <c r="A973" s="12">
        <v>45320</v>
      </c>
      <c r="B973" s="2" t="s">
        <v>15</v>
      </c>
      <c r="C973" s="2" t="s">
        <v>38</v>
      </c>
      <c r="D973" s="2" t="s">
        <v>21</v>
      </c>
      <c r="E973" s="2" t="s">
        <v>26</v>
      </c>
      <c r="F973" s="2">
        <v>168471</v>
      </c>
      <c r="G973" s="2">
        <v>6014</v>
      </c>
      <c r="H973" s="2">
        <v>5833.58</v>
      </c>
      <c r="I973" s="2">
        <v>117</v>
      </c>
      <c r="J973" s="2">
        <v>25231.33</v>
      </c>
      <c r="K973" s="4">
        <f t="shared" si="60"/>
        <v>3.5697538448753792E-2</v>
      </c>
      <c r="L973" s="6">
        <f t="shared" si="61"/>
        <v>0.97</v>
      </c>
      <c r="M973" s="6">
        <f t="shared" si="62"/>
        <v>49.859658119658121</v>
      </c>
      <c r="N973" s="8">
        <f t="shared" si="63"/>
        <v>4.3251879634804018</v>
      </c>
    </row>
    <row r="974" spans="1:14" x14ac:dyDescent="0.45">
      <c r="A974" s="12">
        <v>45574</v>
      </c>
      <c r="B974" s="2" t="s">
        <v>20</v>
      </c>
      <c r="C974" s="2" t="s">
        <v>16</v>
      </c>
      <c r="D974" s="2" t="s">
        <v>41</v>
      </c>
      <c r="E974" s="2" t="s">
        <v>22</v>
      </c>
      <c r="F974" s="2">
        <v>128295</v>
      </c>
      <c r="G974" s="2">
        <v>4695</v>
      </c>
      <c r="H974" s="2">
        <v>3943.8</v>
      </c>
      <c r="I974" s="2">
        <v>276</v>
      </c>
      <c r="J974" s="2">
        <v>42279.01</v>
      </c>
      <c r="K974" s="4">
        <f t="shared" si="60"/>
        <v>3.6595346661989943E-2</v>
      </c>
      <c r="L974" s="6">
        <f t="shared" si="61"/>
        <v>0.84000000000000008</v>
      </c>
      <c r="M974" s="6">
        <f t="shared" si="62"/>
        <v>14.28913043478261</v>
      </c>
      <c r="N974" s="8">
        <f t="shared" si="63"/>
        <v>10.720373751204422</v>
      </c>
    </row>
    <row r="975" spans="1:14" x14ac:dyDescent="0.45">
      <c r="A975" s="12">
        <v>45622</v>
      </c>
      <c r="B975" s="2" t="s">
        <v>35</v>
      </c>
      <c r="C975" s="2" t="s">
        <v>16</v>
      </c>
      <c r="D975" s="2" t="s">
        <v>25</v>
      </c>
      <c r="E975" s="2" t="s">
        <v>54</v>
      </c>
      <c r="F975" s="2">
        <v>109777</v>
      </c>
      <c r="G975" s="2">
        <v>2722</v>
      </c>
      <c r="H975" s="2">
        <v>3919.68</v>
      </c>
      <c r="I975" s="2">
        <v>170</v>
      </c>
      <c r="J975" s="2">
        <v>47040.47</v>
      </c>
      <c r="K975" s="4">
        <f t="shared" si="60"/>
        <v>2.4795722236898441E-2</v>
      </c>
      <c r="L975" s="6">
        <f t="shared" si="61"/>
        <v>1.44</v>
      </c>
      <c r="M975" s="6">
        <f t="shared" si="62"/>
        <v>23.056941176470588</v>
      </c>
      <c r="N975" s="8">
        <f t="shared" si="63"/>
        <v>12.001099579557515</v>
      </c>
    </row>
    <row r="976" spans="1:14" x14ac:dyDescent="0.45">
      <c r="A976" s="12">
        <v>45552</v>
      </c>
      <c r="B976" s="2" t="s">
        <v>20</v>
      </c>
      <c r="C976" s="2" t="s">
        <v>24</v>
      </c>
      <c r="D976" s="2" t="s">
        <v>25</v>
      </c>
      <c r="E976" s="2" t="s">
        <v>18</v>
      </c>
      <c r="F976" s="2">
        <v>153537</v>
      </c>
      <c r="G976" s="2">
        <v>7277</v>
      </c>
      <c r="H976" s="2">
        <v>7277</v>
      </c>
      <c r="I976" s="2">
        <v>175</v>
      </c>
      <c r="J976" s="2">
        <v>48117.42</v>
      </c>
      <c r="K976" s="4">
        <f t="shared" si="60"/>
        <v>4.7395741743032627E-2</v>
      </c>
      <c r="L976" s="6">
        <f t="shared" si="61"/>
        <v>1</v>
      </c>
      <c r="M976" s="6">
        <f t="shared" si="62"/>
        <v>41.582857142857144</v>
      </c>
      <c r="N976" s="8">
        <f t="shared" si="63"/>
        <v>6.6122605469286793</v>
      </c>
    </row>
    <row r="977" spans="1:14" x14ac:dyDescent="0.45">
      <c r="A977" s="12">
        <v>45534</v>
      </c>
      <c r="B977" s="2" t="s">
        <v>15</v>
      </c>
      <c r="C977" s="2" t="s">
        <v>28</v>
      </c>
      <c r="D977" s="2" t="s">
        <v>17</v>
      </c>
      <c r="E977" s="2" t="s">
        <v>30</v>
      </c>
      <c r="F977" s="2">
        <v>20915</v>
      </c>
      <c r="G977" s="2">
        <v>913</v>
      </c>
      <c r="H977" s="2">
        <v>940.39</v>
      </c>
      <c r="I977" s="2">
        <v>37</v>
      </c>
      <c r="J977" s="2">
        <v>3637.08</v>
      </c>
      <c r="K977" s="4">
        <f t="shared" si="60"/>
        <v>4.3652880707626109E-2</v>
      </c>
      <c r="L977" s="6">
        <f t="shared" si="61"/>
        <v>1.03</v>
      </c>
      <c r="M977" s="6">
        <f t="shared" si="62"/>
        <v>25.415945945945946</v>
      </c>
      <c r="N977" s="8">
        <f t="shared" si="63"/>
        <v>3.8676293878071863</v>
      </c>
    </row>
    <row r="978" spans="1:14" x14ac:dyDescent="0.45">
      <c r="A978" s="12">
        <v>45499</v>
      </c>
      <c r="B978" s="2" t="s">
        <v>35</v>
      </c>
      <c r="C978" s="2" t="s">
        <v>16</v>
      </c>
      <c r="D978" s="2" t="s">
        <v>21</v>
      </c>
      <c r="E978" s="2" t="s">
        <v>22</v>
      </c>
      <c r="F978" s="2">
        <v>29992</v>
      </c>
      <c r="G978" s="2">
        <v>605</v>
      </c>
      <c r="H978" s="2">
        <v>369.05</v>
      </c>
      <c r="I978" s="2">
        <v>35</v>
      </c>
      <c r="J978" s="2">
        <v>5311.42</v>
      </c>
      <c r="K978" s="4">
        <f t="shared" si="60"/>
        <v>2.0172045878901042E-2</v>
      </c>
      <c r="L978" s="6">
        <f t="shared" si="61"/>
        <v>0.61</v>
      </c>
      <c r="M978" s="6">
        <f t="shared" si="62"/>
        <v>10.544285714285715</v>
      </c>
      <c r="N978" s="8">
        <f t="shared" si="63"/>
        <v>14.392141986180734</v>
      </c>
    </row>
    <row r="979" spans="1:14" x14ac:dyDescent="0.45">
      <c r="A979" s="12">
        <v>45356</v>
      </c>
      <c r="B979" s="2" t="s">
        <v>35</v>
      </c>
      <c r="C979" s="2" t="s">
        <v>16</v>
      </c>
      <c r="D979" s="2" t="s">
        <v>17</v>
      </c>
      <c r="E979" s="2" t="s">
        <v>22</v>
      </c>
      <c r="F979" s="2">
        <v>187461</v>
      </c>
      <c r="G979" s="2">
        <v>2511</v>
      </c>
      <c r="H979" s="2">
        <v>4268.7</v>
      </c>
      <c r="I979" s="2">
        <v>189</v>
      </c>
      <c r="J979" s="2">
        <v>16540.060000000001</v>
      </c>
      <c r="K979" s="4">
        <f t="shared" si="60"/>
        <v>1.3394786115512026E-2</v>
      </c>
      <c r="L979" s="6">
        <f t="shared" si="61"/>
        <v>1.7</v>
      </c>
      <c r="M979" s="6">
        <f t="shared" si="62"/>
        <v>22.585714285714285</v>
      </c>
      <c r="N979" s="8">
        <f t="shared" si="63"/>
        <v>3.8747300114789049</v>
      </c>
    </row>
    <row r="980" spans="1:14" x14ac:dyDescent="0.45">
      <c r="A980" s="12">
        <v>45429</v>
      </c>
      <c r="B980" s="2" t="s">
        <v>15</v>
      </c>
      <c r="C980" s="2" t="s">
        <v>38</v>
      </c>
      <c r="D980" s="2" t="s">
        <v>41</v>
      </c>
      <c r="E980" s="2" t="s">
        <v>54</v>
      </c>
      <c r="F980" s="2">
        <v>107885</v>
      </c>
      <c r="G980" s="2">
        <v>3344</v>
      </c>
      <c r="H980" s="2">
        <v>6988.96</v>
      </c>
      <c r="I980" s="2">
        <v>262</v>
      </c>
      <c r="J980" s="2">
        <v>51456.480000000003</v>
      </c>
      <c r="K980" s="4">
        <f t="shared" si="60"/>
        <v>3.0995967928813088E-2</v>
      </c>
      <c r="L980" s="6">
        <f t="shared" si="61"/>
        <v>2.09</v>
      </c>
      <c r="M980" s="6">
        <f t="shared" si="62"/>
        <v>26.675419847328243</v>
      </c>
      <c r="N980" s="8">
        <f t="shared" si="63"/>
        <v>7.3625374876948788</v>
      </c>
    </row>
    <row r="981" spans="1:14" x14ac:dyDescent="0.45">
      <c r="A981" s="12">
        <v>45435</v>
      </c>
      <c r="B981" s="2" t="s">
        <v>15</v>
      </c>
      <c r="C981" s="2" t="s">
        <v>24</v>
      </c>
      <c r="D981" s="2" t="s">
        <v>41</v>
      </c>
      <c r="E981" s="2" t="s">
        <v>30</v>
      </c>
      <c r="F981" s="2">
        <v>162242</v>
      </c>
      <c r="G981" s="2">
        <v>5110</v>
      </c>
      <c r="H981" s="2">
        <v>13643.7</v>
      </c>
      <c r="I981" s="2">
        <v>118</v>
      </c>
      <c r="J981" s="2">
        <v>30643.55</v>
      </c>
      <c r="K981" s="4">
        <f t="shared" si="60"/>
        <v>3.1496160057198505E-2</v>
      </c>
      <c r="L981" s="6">
        <f t="shared" si="61"/>
        <v>2.67</v>
      </c>
      <c r="M981" s="6">
        <f t="shared" si="62"/>
        <v>115.62457627118644</v>
      </c>
      <c r="N981" s="8">
        <f t="shared" si="63"/>
        <v>2.2459853265609766</v>
      </c>
    </row>
    <row r="982" spans="1:14" x14ac:dyDescent="0.45">
      <c r="A982" s="12">
        <v>45418</v>
      </c>
      <c r="B982" s="2" t="s">
        <v>35</v>
      </c>
      <c r="C982" s="2" t="s">
        <v>24</v>
      </c>
      <c r="D982" s="2" t="s">
        <v>21</v>
      </c>
      <c r="E982" s="2" t="s">
        <v>26</v>
      </c>
      <c r="F982" s="2">
        <v>34404</v>
      </c>
      <c r="G982" s="2">
        <v>1204</v>
      </c>
      <c r="H982" s="2">
        <v>1709.68</v>
      </c>
      <c r="I982" s="2">
        <v>94</v>
      </c>
      <c r="J982" s="2">
        <v>17655.16</v>
      </c>
      <c r="K982" s="4">
        <f t="shared" si="60"/>
        <v>3.4995930705731891E-2</v>
      </c>
      <c r="L982" s="6">
        <f t="shared" si="61"/>
        <v>1.4200000000000002</v>
      </c>
      <c r="M982" s="6">
        <f t="shared" si="62"/>
        <v>18.188085106382978</v>
      </c>
      <c r="N982" s="8">
        <f t="shared" si="63"/>
        <v>10.326587431566141</v>
      </c>
    </row>
    <row r="983" spans="1:14" x14ac:dyDescent="0.45">
      <c r="A983" s="12">
        <v>45598</v>
      </c>
      <c r="B983" s="2" t="s">
        <v>35</v>
      </c>
      <c r="C983" s="2" t="s">
        <v>38</v>
      </c>
      <c r="D983" s="2" t="s">
        <v>21</v>
      </c>
      <c r="E983" s="2" t="s">
        <v>54</v>
      </c>
      <c r="F983" s="2">
        <v>133773</v>
      </c>
      <c r="G983" s="2">
        <v>3491</v>
      </c>
      <c r="H983" s="2">
        <v>6388.53</v>
      </c>
      <c r="I983" s="2">
        <v>181</v>
      </c>
      <c r="J983" s="2">
        <v>21663.32</v>
      </c>
      <c r="K983" s="4">
        <f t="shared" si="60"/>
        <v>2.6096446966129189E-2</v>
      </c>
      <c r="L983" s="6">
        <f t="shared" si="61"/>
        <v>1.8299999999999998</v>
      </c>
      <c r="M983" s="6">
        <f t="shared" si="62"/>
        <v>35.295745856353591</v>
      </c>
      <c r="N983" s="8">
        <f t="shared" si="63"/>
        <v>3.3909710058495461</v>
      </c>
    </row>
    <row r="984" spans="1:14" x14ac:dyDescent="0.45">
      <c r="A984" s="12">
        <v>45507</v>
      </c>
      <c r="B984" s="2" t="s">
        <v>15</v>
      </c>
      <c r="C984" s="2" t="s">
        <v>24</v>
      </c>
      <c r="D984" s="2" t="s">
        <v>29</v>
      </c>
      <c r="E984" s="2" t="s">
        <v>33</v>
      </c>
      <c r="F984" s="2">
        <v>185948</v>
      </c>
      <c r="G984" s="2">
        <v>5373</v>
      </c>
      <c r="H984" s="2">
        <v>3922.29</v>
      </c>
      <c r="I984" s="2">
        <v>82</v>
      </c>
      <c r="J984" s="2">
        <v>15594.76</v>
      </c>
      <c r="K984" s="4">
        <f t="shared" si="60"/>
        <v>2.8895174995159936E-2</v>
      </c>
      <c r="L984" s="6">
        <f t="shared" si="61"/>
        <v>0.73</v>
      </c>
      <c r="M984" s="6">
        <f t="shared" si="62"/>
        <v>47.832804878048783</v>
      </c>
      <c r="N984" s="8">
        <f t="shared" si="63"/>
        <v>3.9759324272300112</v>
      </c>
    </row>
    <row r="985" spans="1:14" x14ac:dyDescent="0.45">
      <c r="A985" s="12">
        <v>45486</v>
      </c>
      <c r="B985" s="2" t="s">
        <v>15</v>
      </c>
      <c r="C985" s="2" t="s">
        <v>28</v>
      </c>
      <c r="D985" s="2" t="s">
        <v>25</v>
      </c>
      <c r="E985" s="2" t="s">
        <v>54</v>
      </c>
      <c r="F985" s="2">
        <v>98375</v>
      </c>
      <c r="G985" s="2">
        <v>1898</v>
      </c>
      <c r="H985" s="2">
        <v>6358.3</v>
      </c>
      <c r="I985" s="2">
        <v>45</v>
      </c>
      <c r="J985" s="2">
        <v>2253.91</v>
      </c>
      <c r="K985" s="4">
        <f t="shared" si="60"/>
        <v>1.9293519695044472E-2</v>
      </c>
      <c r="L985" s="6">
        <f t="shared" si="61"/>
        <v>3.35</v>
      </c>
      <c r="M985" s="6">
        <f t="shared" si="62"/>
        <v>141.29555555555555</v>
      </c>
      <c r="N985" s="8">
        <f t="shared" si="63"/>
        <v>0.35448311655631221</v>
      </c>
    </row>
    <row r="986" spans="1:14" x14ac:dyDescent="0.45">
      <c r="A986" s="12">
        <v>45495</v>
      </c>
      <c r="B986" s="2" t="s">
        <v>15</v>
      </c>
      <c r="C986" s="2" t="s">
        <v>24</v>
      </c>
      <c r="D986" s="2" t="s">
        <v>25</v>
      </c>
      <c r="E986" s="2" t="s">
        <v>26</v>
      </c>
      <c r="F986" s="2">
        <v>190826</v>
      </c>
      <c r="G986" s="2">
        <v>12174</v>
      </c>
      <c r="H986" s="2">
        <v>21304.5</v>
      </c>
      <c r="I986" s="2">
        <v>933</v>
      </c>
      <c r="J986" s="2">
        <v>139478.01</v>
      </c>
      <c r="K986" s="4">
        <f t="shared" si="60"/>
        <v>6.3796338025216684E-2</v>
      </c>
      <c r="L986" s="6">
        <f t="shared" si="61"/>
        <v>1.75</v>
      </c>
      <c r="M986" s="6">
        <f t="shared" si="62"/>
        <v>22.834405144694532</v>
      </c>
      <c r="N986" s="8">
        <f t="shared" si="63"/>
        <v>6.5468802365697396</v>
      </c>
    </row>
    <row r="987" spans="1:14" x14ac:dyDescent="0.45">
      <c r="A987" s="12">
        <v>45480</v>
      </c>
      <c r="B987" s="2" t="s">
        <v>35</v>
      </c>
      <c r="C987" s="2" t="s">
        <v>38</v>
      </c>
      <c r="D987" s="2" t="s">
        <v>25</v>
      </c>
      <c r="E987" s="2" t="s">
        <v>18</v>
      </c>
      <c r="F987" s="2">
        <v>105050</v>
      </c>
      <c r="G987" s="2">
        <v>3077</v>
      </c>
      <c r="H987" s="2">
        <v>1538.5</v>
      </c>
      <c r="I987" s="2">
        <v>206</v>
      </c>
      <c r="J987" s="2">
        <v>55580.46</v>
      </c>
      <c r="K987" s="4">
        <f t="shared" si="60"/>
        <v>2.9290813898143742E-2</v>
      </c>
      <c r="L987" s="6">
        <f t="shared" si="61"/>
        <v>0.5</v>
      </c>
      <c r="M987" s="6">
        <f t="shared" si="62"/>
        <v>7.4684466019417473</v>
      </c>
      <c r="N987" s="8">
        <f t="shared" si="63"/>
        <v>36.126395840103996</v>
      </c>
    </row>
    <row r="988" spans="1:14" x14ac:dyDescent="0.45">
      <c r="A988" s="12">
        <v>45492</v>
      </c>
      <c r="B988" s="2" t="s">
        <v>15</v>
      </c>
      <c r="C988" s="2" t="s">
        <v>28</v>
      </c>
      <c r="D988" s="2" t="s">
        <v>41</v>
      </c>
      <c r="E988" s="2" t="s">
        <v>51</v>
      </c>
      <c r="F988" s="2">
        <v>52547</v>
      </c>
      <c r="G988" s="2">
        <v>2806</v>
      </c>
      <c r="H988" s="2">
        <v>6032.9</v>
      </c>
      <c r="I988" s="2">
        <v>47</v>
      </c>
      <c r="J988" s="2">
        <v>13262.4</v>
      </c>
      <c r="K988" s="4">
        <f t="shared" si="60"/>
        <v>5.3399813500294976E-2</v>
      </c>
      <c r="L988" s="6">
        <f t="shared" si="61"/>
        <v>2.15</v>
      </c>
      <c r="M988" s="6">
        <f t="shared" si="62"/>
        <v>128.3595744680851</v>
      </c>
      <c r="N988" s="8">
        <f t="shared" si="63"/>
        <v>2.1983457375391602</v>
      </c>
    </row>
    <row r="989" spans="1:14" x14ac:dyDescent="0.45">
      <c r="A989" s="12">
        <v>45427</v>
      </c>
      <c r="B989" s="2" t="s">
        <v>15</v>
      </c>
      <c r="C989" s="2" t="s">
        <v>16</v>
      </c>
      <c r="D989" s="2" t="s">
        <v>25</v>
      </c>
      <c r="E989" s="2" t="s">
        <v>51</v>
      </c>
      <c r="F989" s="2">
        <v>139648</v>
      </c>
      <c r="G989" s="2">
        <v>4398</v>
      </c>
      <c r="H989" s="2">
        <v>13194</v>
      </c>
      <c r="I989" s="2">
        <v>347</v>
      </c>
      <c r="J989" s="2">
        <v>82597.149999999994</v>
      </c>
      <c r="K989" s="4">
        <f t="shared" si="60"/>
        <v>3.149346929422548E-2</v>
      </c>
      <c r="L989" s="6">
        <f t="shared" si="61"/>
        <v>3</v>
      </c>
      <c r="M989" s="6">
        <f t="shared" si="62"/>
        <v>38.023054755043226</v>
      </c>
      <c r="N989" s="8">
        <f t="shared" si="63"/>
        <v>6.2602053963922994</v>
      </c>
    </row>
    <row r="990" spans="1:14" x14ac:dyDescent="0.45">
      <c r="A990" s="12">
        <v>45464</v>
      </c>
      <c r="B990" s="2" t="s">
        <v>20</v>
      </c>
      <c r="C990" s="2" t="s">
        <v>16</v>
      </c>
      <c r="D990" s="2" t="s">
        <v>17</v>
      </c>
      <c r="E990" s="2" t="s">
        <v>30</v>
      </c>
      <c r="F990" s="2">
        <v>186434</v>
      </c>
      <c r="G990" s="2">
        <v>8743</v>
      </c>
      <c r="H990" s="2">
        <v>14425.95</v>
      </c>
      <c r="I990" s="2">
        <v>87</v>
      </c>
      <c r="J990" s="2">
        <v>21530.58</v>
      </c>
      <c r="K990" s="4">
        <f t="shared" si="60"/>
        <v>4.6895952455024301E-2</v>
      </c>
      <c r="L990" s="6">
        <f t="shared" si="61"/>
        <v>1.6500000000000001</v>
      </c>
      <c r="M990" s="6">
        <f t="shared" si="62"/>
        <v>165.81551724137933</v>
      </c>
      <c r="N990" s="8">
        <f t="shared" si="63"/>
        <v>1.4924895760764456</v>
      </c>
    </row>
    <row r="991" spans="1:14" x14ac:dyDescent="0.45">
      <c r="A991" s="12">
        <v>45502</v>
      </c>
      <c r="B991" s="2" t="s">
        <v>15</v>
      </c>
      <c r="C991" s="2" t="s">
        <v>16</v>
      </c>
      <c r="D991" s="2" t="s">
        <v>17</v>
      </c>
      <c r="E991" s="2" t="s">
        <v>30</v>
      </c>
      <c r="F991" s="2">
        <v>63001</v>
      </c>
      <c r="G991" s="2">
        <v>3181</v>
      </c>
      <c r="H991" s="2">
        <v>4707.88</v>
      </c>
      <c r="I991" s="2">
        <v>94</v>
      </c>
      <c r="J991" s="2">
        <v>3324.55</v>
      </c>
      <c r="K991" s="4">
        <f t="shared" si="60"/>
        <v>5.0491262043459627E-2</v>
      </c>
      <c r="L991" s="6">
        <f t="shared" si="61"/>
        <v>1.48</v>
      </c>
      <c r="M991" s="6">
        <f t="shared" si="62"/>
        <v>50.083829787234045</v>
      </c>
      <c r="N991" s="8">
        <f t="shared" si="63"/>
        <v>0.70616710706305175</v>
      </c>
    </row>
    <row r="992" spans="1:14" x14ac:dyDescent="0.45">
      <c r="A992" s="12">
        <v>45394</v>
      </c>
      <c r="B992" s="2" t="s">
        <v>35</v>
      </c>
      <c r="C992" s="2" t="s">
        <v>28</v>
      </c>
      <c r="D992" s="2" t="s">
        <v>41</v>
      </c>
      <c r="E992" s="2" t="s">
        <v>22</v>
      </c>
      <c r="F992" s="2">
        <v>132343</v>
      </c>
      <c r="G992" s="2">
        <v>3507</v>
      </c>
      <c r="H992" s="2">
        <v>3997.98</v>
      </c>
      <c r="I992" s="2">
        <v>238</v>
      </c>
      <c r="J992" s="2">
        <v>17184.939999999999</v>
      </c>
      <c r="K992" s="4">
        <f t="shared" si="60"/>
        <v>2.649932372698216E-2</v>
      </c>
      <c r="L992" s="6">
        <f t="shared" si="61"/>
        <v>1.1399999999999999</v>
      </c>
      <c r="M992" s="6">
        <f t="shared" si="62"/>
        <v>16.798235294117646</v>
      </c>
      <c r="N992" s="8">
        <f t="shared" si="63"/>
        <v>4.2984056948759122</v>
      </c>
    </row>
    <row r="993" spans="1:14" x14ac:dyDescent="0.45">
      <c r="A993" s="12">
        <v>45462</v>
      </c>
      <c r="B993" s="2" t="s">
        <v>15</v>
      </c>
      <c r="C993" s="2" t="s">
        <v>28</v>
      </c>
      <c r="D993" s="2" t="s">
        <v>25</v>
      </c>
      <c r="E993" s="2" t="s">
        <v>22</v>
      </c>
      <c r="F993" s="2">
        <v>172570</v>
      </c>
      <c r="G993" s="2">
        <v>3692</v>
      </c>
      <c r="H993" s="2">
        <v>7974.72</v>
      </c>
      <c r="I993" s="2">
        <v>53</v>
      </c>
      <c r="J993" s="2">
        <v>15699.11</v>
      </c>
      <c r="K993" s="4">
        <f t="shared" si="60"/>
        <v>2.1394216839543373E-2</v>
      </c>
      <c r="L993" s="6">
        <f t="shared" si="61"/>
        <v>2.16</v>
      </c>
      <c r="M993" s="6">
        <f t="shared" si="62"/>
        <v>150.46641509433962</v>
      </c>
      <c r="N993" s="8">
        <f t="shared" si="63"/>
        <v>1.9686095561975845</v>
      </c>
    </row>
    <row r="994" spans="1:14" x14ac:dyDescent="0.45">
      <c r="A994" s="12">
        <v>45391</v>
      </c>
      <c r="B994" s="2" t="s">
        <v>15</v>
      </c>
      <c r="C994" s="2" t="s">
        <v>24</v>
      </c>
      <c r="D994" s="2" t="s">
        <v>17</v>
      </c>
      <c r="E994" s="2" t="s">
        <v>18</v>
      </c>
      <c r="F994" s="2">
        <v>196510</v>
      </c>
      <c r="G994" s="2">
        <v>10316</v>
      </c>
      <c r="H994" s="2">
        <v>20632</v>
      </c>
      <c r="I994" s="2">
        <v>282</v>
      </c>
      <c r="J994" s="2">
        <v>66245.27</v>
      </c>
      <c r="K994" s="4">
        <f t="shared" si="60"/>
        <v>5.2496056180347056E-2</v>
      </c>
      <c r="L994" s="6">
        <f t="shared" si="61"/>
        <v>2</v>
      </c>
      <c r="M994" s="6">
        <f t="shared" si="62"/>
        <v>73.163120567375884</v>
      </c>
      <c r="N994" s="8">
        <f t="shared" si="63"/>
        <v>3.2108021519968983</v>
      </c>
    </row>
    <row r="995" spans="1:14" x14ac:dyDescent="0.45">
      <c r="A995" s="12">
        <v>45425</v>
      </c>
      <c r="B995" s="2" t="s">
        <v>15</v>
      </c>
      <c r="C995" s="2" t="s">
        <v>38</v>
      </c>
      <c r="D995" s="2" t="s">
        <v>21</v>
      </c>
      <c r="E995" s="2" t="s">
        <v>33</v>
      </c>
      <c r="F995" s="2">
        <v>140875</v>
      </c>
      <c r="G995" s="2">
        <v>6818</v>
      </c>
      <c r="H995" s="2">
        <v>15340.5</v>
      </c>
      <c r="I995" s="2">
        <v>142</v>
      </c>
      <c r="J995" s="2">
        <v>28774.25</v>
      </c>
      <c r="K995" s="4">
        <f t="shared" si="60"/>
        <v>4.8397515527950311E-2</v>
      </c>
      <c r="L995" s="6">
        <f t="shared" si="61"/>
        <v>2.25</v>
      </c>
      <c r="M995" s="6">
        <f t="shared" si="62"/>
        <v>108.03169014084507</v>
      </c>
      <c r="N995" s="8">
        <f t="shared" si="63"/>
        <v>1.8757048336103777</v>
      </c>
    </row>
    <row r="996" spans="1:14" x14ac:dyDescent="0.45">
      <c r="A996" s="12">
        <v>45506</v>
      </c>
      <c r="B996" s="2" t="s">
        <v>20</v>
      </c>
      <c r="C996" s="2" t="s">
        <v>28</v>
      </c>
      <c r="D996" s="2" t="s">
        <v>29</v>
      </c>
      <c r="E996" s="2" t="s">
        <v>26</v>
      </c>
      <c r="F996" s="2">
        <v>50955</v>
      </c>
      <c r="G996" s="2">
        <v>3892</v>
      </c>
      <c r="H996" s="2">
        <v>4942.84</v>
      </c>
      <c r="I996" s="2">
        <v>224</v>
      </c>
      <c r="J996" s="2">
        <v>60995.17</v>
      </c>
      <c r="K996" s="4">
        <f t="shared" si="60"/>
        <v>7.6381120596604846E-2</v>
      </c>
      <c r="L996" s="6">
        <f t="shared" si="61"/>
        <v>1.27</v>
      </c>
      <c r="M996" s="6">
        <f t="shared" si="62"/>
        <v>22.06625</v>
      </c>
      <c r="N996" s="8">
        <f t="shared" si="63"/>
        <v>12.340106092853501</v>
      </c>
    </row>
    <row r="997" spans="1:14" x14ac:dyDescent="0.45">
      <c r="A997" s="12">
        <v>45584</v>
      </c>
      <c r="B997" s="2" t="s">
        <v>15</v>
      </c>
      <c r="C997" s="2" t="s">
        <v>16</v>
      </c>
      <c r="D997" s="2" t="s">
        <v>17</v>
      </c>
      <c r="E997" s="2" t="s">
        <v>26</v>
      </c>
      <c r="F997" s="2">
        <v>103991</v>
      </c>
      <c r="G997" s="2">
        <v>3067</v>
      </c>
      <c r="H997" s="2">
        <v>7943.53</v>
      </c>
      <c r="I997" s="2">
        <v>142</v>
      </c>
      <c r="J997" s="2">
        <v>36045.300000000003</v>
      </c>
      <c r="K997" s="4">
        <f t="shared" si="60"/>
        <v>2.9492936888769219E-2</v>
      </c>
      <c r="L997" s="6">
        <f t="shared" si="61"/>
        <v>2.59</v>
      </c>
      <c r="M997" s="6">
        <f t="shared" si="62"/>
        <v>55.940352112676052</v>
      </c>
      <c r="N997" s="8">
        <f t="shared" si="63"/>
        <v>4.537692940040511</v>
      </c>
    </row>
    <row r="998" spans="1:14" x14ac:dyDescent="0.45">
      <c r="A998" s="12">
        <v>45590</v>
      </c>
      <c r="B998" s="2" t="s">
        <v>15</v>
      </c>
      <c r="C998" s="2" t="s">
        <v>24</v>
      </c>
      <c r="D998" s="2" t="s">
        <v>21</v>
      </c>
      <c r="E998" s="2" t="s">
        <v>30</v>
      </c>
      <c r="F998" s="2">
        <v>22637</v>
      </c>
      <c r="G998" s="2">
        <v>876</v>
      </c>
      <c r="H998" s="2">
        <v>1068.72</v>
      </c>
      <c r="I998" s="2">
        <v>16</v>
      </c>
      <c r="J998" s="2">
        <v>2623.14</v>
      </c>
      <c r="K998" s="4">
        <f t="shared" si="60"/>
        <v>3.8697707293369264E-2</v>
      </c>
      <c r="L998" s="6">
        <f t="shared" si="61"/>
        <v>1.22</v>
      </c>
      <c r="M998" s="6">
        <f t="shared" si="62"/>
        <v>66.795000000000002</v>
      </c>
      <c r="N998" s="8">
        <f t="shared" si="63"/>
        <v>2.4544688973725575</v>
      </c>
    </row>
    <row r="999" spans="1:14" x14ac:dyDescent="0.45">
      <c r="A999" s="12">
        <v>45646</v>
      </c>
      <c r="B999" s="2" t="s">
        <v>35</v>
      </c>
      <c r="C999" s="2" t="s">
        <v>38</v>
      </c>
      <c r="D999" s="2" t="s">
        <v>17</v>
      </c>
      <c r="E999" s="2" t="s">
        <v>33</v>
      </c>
      <c r="F999" s="2">
        <v>86099</v>
      </c>
      <c r="G999" s="2">
        <v>2910</v>
      </c>
      <c r="H999" s="2">
        <v>6372.9</v>
      </c>
      <c r="I999" s="2">
        <v>194</v>
      </c>
      <c r="J999" s="2">
        <v>39485.519999999997</v>
      </c>
      <c r="K999" s="4">
        <f t="shared" si="60"/>
        <v>3.3798301954726537E-2</v>
      </c>
      <c r="L999" s="6">
        <f t="shared" si="61"/>
        <v>2.19</v>
      </c>
      <c r="M999" s="6">
        <f t="shared" si="62"/>
        <v>32.85</v>
      </c>
      <c r="N999" s="8">
        <f t="shared" si="63"/>
        <v>6.1958480440615729</v>
      </c>
    </row>
    <row r="1000" spans="1:14" x14ac:dyDescent="0.45">
      <c r="A1000" s="12">
        <v>45604</v>
      </c>
      <c r="B1000" s="2" t="s">
        <v>35</v>
      </c>
      <c r="C1000" s="2" t="s">
        <v>38</v>
      </c>
      <c r="D1000" s="2" t="s">
        <v>17</v>
      </c>
      <c r="E1000" s="2" t="s">
        <v>18</v>
      </c>
      <c r="F1000" s="2">
        <v>181950</v>
      </c>
      <c r="G1000" s="2">
        <v>2401</v>
      </c>
      <c r="H1000" s="2">
        <v>1608.67</v>
      </c>
      <c r="I1000" s="2">
        <v>168</v>
      </c>
      <c r="J1000" s="2">
        <v>30028.61</v>
      </c>
      <c r="K1000" s="4">
        <f t="shared" si="60"/>
        <v>1.3195932948612257E-2</v>
      </c>
      <c r="L1000" s="6">
        <f t="shared" si="61"/>
        <v>0.67</v>
      </c>
      <c r="M1000" s="6">
        <f t="shared" si="62"/>
        <v>9.5754166666666674</v>
      </c>
      <c r="N1000" s="8">
        <f t="shared" si="63"/>
        <v>18.666730901925192</v>
      </c>
    </row>
    <row r="1001" spans="1:14" x14ac:dyDescent="0.45">
      <c r="A1001" s="12">
        <v>45454</v>
      </c>
      <c r="B1001" s="2" t="s">
        <v>35</v>
      </c>
      <c r="C1001" s="2" t="s">
        <v>24</v>
      </c>
      <c r="D1001" s="2" t="s">
        <v>41</v>
      </c>
      <c r="E1001" s="2" t="s">
        <v>54</v>
      </c>
      <c r="F1001" s="2">
        <v>102229</v>
      </c>
      <c r="G1001" s="2">
        <v>2146</v>
      </c>
      <c r="H1001" s="2">
        <v>1309.06</v>
      </c>
      <c r="I1001" s="2">
        <v>52</v>
      </c>
      <c r="J1001" s="2">
        <v>14121.79</v>
      </c>
      <c r="K1001" s="4">
        <f t="shared" si="60"/>
        <v>2.0992086394271685E-2</v>
      </c>
      <c r="L1001" s="6">
        <f t="shared" si="61"/>
        <v>0.61</v>
      </c>
      <c r="M1001" s="6">
        <f t="shared" si="62"/>
        <v>25.174230769230768</v>
      </c>
      <c r="N1001" s="8">
        <f t="shared" si="63"/>
        <v>10.787733182589035</v>
      </c>
    </row>
    <row r="1002" spans="1:14" x14ac:dyDescent="0.45">
      <c r="A1002" s="12">
        <v>45557</v>
      </c>
      <c r="B1002" s="2" t="s">
        <v>20</v>
      </c>
      <c r="C1002" s="2" t="s">
        <v>24</v>
      </c>
      <c r="D1002" s="2" t="s">
        <v>29</v>
      </c>
      <c r="E1002" s="2" t="s">
        <v>30</v>
      </c>
      <c r="F1002" s="2">
        <v>53167</v>
      </c>
      <c r="G1002" s="2">
        <v>2536</v>
      </c>
      <c r="H1002" s="2">
        <v>1115.8399999999999</v>
      </c>
      <c r="I1002" s="2">
        <v>145</v>
      </c>
      <c r="J1002" s="2">
        <v>11216.46</v>
      </c>
      <c r="K1002" s="4">
        <f t="shared" si="60"/>
        <v>4.7698760509338502E-2</v>
      </c>
      <c r="L1002" s="6">
        <f t="shared" si="61"/>
        <v>0.43999999999999995</v>
      </c>
      <c r="M1002" s="6">
        <f t="shared" si="62"/>
        <v>7.6954482758620681</v>
      </c>
      <c r="N1002" s="8">
        <f t="shared" si="63"/>
        <v>10.052032549469457</v>
      </c>
    </row>
    <row r="1003" spans="1:14" x14ac:dyDescent="0.45">
      <c r="A1003" s="12">
        <v>45418</v>
      </c>
      <c r="B1003" s="2" t="s">
        <v>35</v>
      </c>
      <c r="C1003" s="2" t="s">
        <v>28</v>
      </c>
      <c r="D1003" s="2" t="s">
        <v>29</v>
      </c>
      <c r="E1003" s="2" t="s">
        <v>33</v>
      </c>
      <c r="F1003" s="2">
        <v>10177</v>
      </c>
      <c r="G1003" s="2">
        <v>413</v>
      </c>
      <c r="H1003" s="2">
        <v>764.05</v>
      </c>
      <c r="I1003" s="2">
        <v>16</v>
      </c>
      <c r="J1003" s="2">
        <v>4058.36</v>
      </c>
      <c r="K1003" s="4">
        <f t="shared" si="60"/>
        <v>4.0581703841996657E-2</v>
      </c>
      <c r="L1003" s="6">
        <f t="shared" si="61"/>
        <v>1.8499999999999999</v>
      </c>
      <c r="M1003" s="6">
        <f t="shared" si="62"/>
        <v>47.753124999999997</v>
      </c>
      <c r="N1003" s="8">
        <f t="shared" si="63"/>
        <v>5.3116419082520778</v>
      </c>
    </row>
    <row r="1004" spans="1:14" x14ac:dyDescent="0.45">
      <c r="A1004" s="12">
        <v>45634</v>
      </c>
      <c r="B1004" s="2" t="s">
        <v>35</v>
      </c>
      <c r="C1004" s="2" t="s">
        <v>28</v>
      </c>
      <c r="D1004" s="2" t="s">
        <v>41</v>
      </c>
      <c r="E1004" s="2" t="s">
        <v>33</v>
      </c>
      <c r="F1004" s="2">
        <v>67714</v>
      </c>
      <c r="G1004" s="2">
        <v>738</v>
      </c>
      <c r="H1004" s="2">
        <v>819.18</v>
      </c>
      <c r="I1004" s="2">
        <v>17</v>
      </c>
      <c r="J1004" s="2">
        <v>1445.84</v>
      </c>
      <c r="K1004" s="4">
        <f t="shared" si="60"/>
        <v>1.0898780163629383E-2</v>
      </c>
      <c r="L1004" s="6">
        <f t="shared" si="61"/>
        <v>1.1099999999999999</v>
      </c>
      <c r="M1004" s="6">
        <f t="shared" si="62"/>
        <v>48.187058823529412</v>
      </c>
      <c r="N1004" s="8">
        <f t="shared" si="63"/>
        <v>1.7649844966918138</v>
      </c>
    </row>
    <row r="1005" spans="1:14" x14ac:dyDescent="0.45">
      <c r="A1005" s="12">
        <v>45588</v>
      </c>
      <c r="B1005" s="2" t="s">
        <v>15</v>
      </c>
      <c r="C1005" s="2" t="s">
        <v>28</v>
      </c>
      <c r="D1005" s="2" t="s">
        <v>17</v>
      </c>
      <c r="E1005" s="2" t="s">
        <v>22</v>
      </c>
      <c r="F1005" s="2">
        <v>51032</v>
      </c>
      <c r="G1005" s="2">
        <v>3036</v>
      </c>
      <c r="H1005" s="2">
        <v>6770.28</v>
      </c>
      <c r="I1005" s="2">
        <v>195</v>
      </c>
      <c r="J1005" s="2">
        <v>18761.36</v>
      </c>
      <c r="K1005" s="4">
        <f t="shared" si="60"/>
        <v>5.9492083398651828E-2</v>
      </c>
      <c r="L1005" s="6">
        <f t="shared" si="61"/>
        <v>2.23</v>
      </c>
      <c r="M1005" s="6">
        <f t="shared" si="62"/>
        <v>34.719384615384612</v>
      </c>
      <c r="N1005" s="8">
        <f t="shared" si="63"/>
        <v>2.7711350195265192</v>
      </c>
    </row>
    <row r="1006" spans="1:14" x14ac:dyDescent="0.45">
      <c r="A1006" s="12">
        <v>45515</v>
      </c>
      <c r="B1006" s="2" t="s">
        <v>20</v>
      </c>
      <c r="C1006" s="2" t="s">
        <v>38</v>
      </c>
      <c r="D1006" s="2" t="s">
        <v>29</v>
      </c>
      <c r="E1006" s="2" t="s">
        <v>26</v>
      </c>
      <c r="F1006" s="2">
        <v>68474</v>
      </c>
      <c r="G1006" s="2">
        <v>4923</v>
      </c>
      <c r="H1006" s="2">
        <v>2313.81</v>
      </c>
      <c r="I1006" s="2">
        <v>198</v>
      </c>
      <c r="J1006" s="2">
        <v>32574.400000000001</v>
      </c>
      <c r="K1006" s="4">
        <f t="shared" si="60"/>
        <v>7.1895902094225542E-2</v>
      </c>
      <c r="L1006" s="6">
        <f t="shared" si="61"/>
        <v>0.47</v>
      </c>
      <c r="M1006" s="6">
        <f t="shared" si="62"/>
        <v>11.685909090909091</v>
      </c>
      <c r="N1006" s="8">
        <f t="shared" si="63"/>
        <v>14.078251887579361</v>
      </c>
    </row>
    <row r="1007" spans="1:14" x14ac:dyDescent="0.45">
      <c r="A1007" s="12">
        <v>45516</v>
      </c>
      <c r="B1007" s="2" t="s">
        <v>20</v>
      </c>
      <c r="C1007" s="2" t="s">
        <v>24</v>
      </c>
      <c r="D1007" s="2" t="s">
        <v>29</v>
      </c>
      <c r="E1007" s="2" t="s">
        <v>54</v>
      </c>
      <c r="F1007" s="2">
        <v>12838</v>
      </c>
      <c r="G1007" s="2">
        <v>784</v>
      </c>
      <c r="H1007" s="2">
        <v>329.28</v>
      </c>
      <c r="I1007" s="2">
        <v>56</v>
      </c>
      <c r="J1007" s="2">
        <v>2887.05</v>
      </c>
      <c r="K1007" s="4">
        <f t="shared" si="60"/>
        <v>6.1068702290076333E-2</v>
      </c>
      <c r="L1007" s="6">
        <f t="shared" si="61"/>
        <v>0.42</v>
      </c>
      <c r="M1007" s="6">
        <f t="shared" si="62"/>
        <v>5.88</v>
      </c>
      <c r="N1007" s="8">
        <f t="shared" si="63"/>
        <v>8.7677660349854243</v>
      </c>
    </row>
    <row r="1008" spans="1:14" x14ac:dyDescent="0.45">
      <c r="A1008" s="12">
        <v>45448</v>
      </c>
      <c r="B1008" s="2" t="s">
        <v>15</v>
      </c>
      <c r="C1008" s="2" t="s">
        <v>38</v>
      </c>
      <c r="D1008" s="2" t="s">
        <v>25</v>
      </c>
      <c r="E1008" s="2" t="s">
        <v>22</v>
      </c>
      <c r="F1008" s="2">
        <v>151595</v>
      </c>
      <c r="G1008" s="2">
        <v>9262</v>
      </c>
      <c r="H1008" s="2">
        <v>16301.12</v>
      </c>
      <c r="I1008" s="2">
        <v>572</v>
      </c>
      <c r="J1008" s="2">
        <v>85249.68</v>
      </c>
      <c r="K1008" s="4">
        <f t="shared" si="60"/>
        <v>6.1097001880009237E-2</v>
      </c>
      <c r="L1008" s="6">
        <f t="shared" si="61"/>
        <v>1.76</v>
      </c>
      <c r="M1008" s="6">
        <f t="shared" si="62"/>
        <v>28.498461538461541</v>
      </c>
      <c r="N1008" s="8">
        <f t="shared" si="63"/>
        <v>5.229682377652578</v>
      </c>
    </row>
    <row r="1009" spans="1:14" x14ac:dyDescent="0.45">
      <c r="A1009" s="12">
        <v>45393</v>
      </c>
      <c r="B1009" s="2" t="s">
        <v>20</v>
      </c>
      <c r="C1009" s="2" t="s">
        <v>24</v>
      </c>
      <c r="D1009" s="2" t="s">
        <v>41</v>
      </c>
      <c r="E1009" s="2" t="s">
        <v>30</v>
      </c>
      <c r="F1009" s="2">
        <v>38799</v>
      </c>
      <c r="G1009" s="2">
        <v>1303</v>
      </c>
      <c r="H1009" s="2">
        <v>429.99</v>
      </c>
      <c r="I1009" s="2">
        <v>51</v>
      </c>
      <c r="J1009" s="2">
        <v>4095.81</v>
      </c>
      <c r="K1009" s="4">
        <f t="shared" si="60"/>
        <v>3.3583339776798372E-2</v>
      </c>
      <c r="L1009" s="6">
        <f t="shared" si="61"/>
        <v>0.33</v>
      </c>
      <c r="M1009" s="6">
        <f t="shared" si="62"/>
        <v>8.4311764705882357</v>
      </c>
      <c r="N1009" s="8">
        <f t="shared" si="63"/>
        <v>9.5253610549082541</v>
      </c>
    </row>
    <row r="1010" spans="1:14" x14ac:dyDescent="0.45">
      <c r="A1010" s="12">
        <v>45466</v>
      </c>
      <c r="B1010" s="2" t="s">
        <v>15</v>
      </c>
      <c r="C1010" s="2" t="s">
        <v>24</v>
      </c>
      <c r="D1010" s="2" t="s">
        <v>29</v>
      </c>
      <c r="E1010" s="2" t="s">
        <v>54</v>
      </c>
      <c r="F1010" s="2">
        <v>121565</v>
      </c>
      <c r="G1010" s="2">
        <v>2601</v>
      </c>
      <c r="H1010" s="2">
        <v>5306.04</v>
      </c>
      <c r="I1010" s="2">
        <v>176</v>
      </c>
      <c r="J1010" s="2">
        <v>34156.839999999997</v>
      </c>
      <c r="K1010" s="4">
        <f t="shared" si="60"/>
        <v>2.1395961008513965E-2</v>
      </c>
      <c r="L1010" s="6">
        <f t="shared" si="61"/>
        <v>2.04</v>
      </c>
      <c r="M1010" s="6">
        <f t="shared" si="62"/>
        <v>30.147954545454546</v>
      </c>
      <c r="N1010" s="8">
        <f t="shared" si="63"/>
        <v>6.4373506419099735</v>
      </c>
    </row>
    <row r="1011" spans="1:14" x14ac:dyDescent="0.45">
      <c r="A1011" s="12">
        <v>45546</v>
      </c>
      <c r="B1011" s="2" t="s">
        <v>35</v>
      </c>
      <c r="C1011" s="2" t="s">
        <v>38</v>
      </c>
      <c r="D1011" s="2" t="s">
        <v>41</v>
      </c>
      <c r="E1011" s="2" t="s">
        <v>33</v>
      </c>
      <c r="F1011" s="2">
        <v>38762</v>
      </c>
      <c r="G1011" s="2">
        <v>1007</v>
      </c>
      <c r="H1011" s="2">
        <v>684.76</v>
      </c>
      <c r="I1011" s="2">
        <v>16</v>
      </c>
      <c r="J1011" s="2">
        <v>3871.2</v>
      </c>
      <c r="K1011" s="4">
        <f t="shared" si="60"/>
        <v>2.597905164852175E-2</v>
      </c>
      <c r="L1011" s="6">
        <f t="shared" si="61"/>
        <v>0.67999999999999994</v>
      </c>
      <c r="M1011" s="6">
        <f t="shared" si="62"/>
        <v>42.797499999999999</v>
      </c>
      <c r="N1011" s="8">
        <f t="shared" si="63"/>
        <v>5.6533676032478528</v>
      </c>
    </row>
    <row r="1012" spans="1:14" x14ac:dyDescent="0.45">
      <c r="A1012" s="12">
        <v>45340</v>
      </c>
      <c r="B1012" s="2" t="s">
        <v>35</v>
      </c>
      <c r="C1012" s="2" t="s">
        <v>16</v>
      </c>
      <c r="D1012" s="2" t="s">
        <v>41</v>
      </c>
      <c r="E1012" s="2" t="s">
        <v>51</v>
      </c>
      <c r="F1012" s="2">
        <v>32410</v>
      </c>
      <c r="G1012" s="2">
        <v>693</v>
      </c>
      <c r="H1012" s="2">
        <v>1240.47</v>
      </c>
      <c r="I1012" s="2">
        <v>21</v>
      </c>
      <c r="J1012" s="2">
        <v>678.51</v>
      </c>
      <c r="K1012" s="4">
        <f t="shared" si="60"/>
        <v>2.1382289416846653E-2</v>
      </c>
      <c r="L1012" s="6">
        <f t="shared" si="61"/>
        <v>1.79</v>
      </c>
      <c r="M1012" s="6">
        <f t="shared" si="62"/>
        <v>59.07</v>
      </c>
      <c r="N1012" s="8">
        <f t="shared" si="63"/>
        <v>0.54697816150330114</v>
      </c>
    </row>
    <row r="1013" spans="1:14" x14ac:dyDescent="0.45">
      <c r="A1013" s="12">
        <v>45380</v>
      </c>
      <c r="B1013" s="2" t="s">
        <v>20</v>
      </c>
      <c r="C1013" s="2" t="s">
        <v>24</v>
      </c>
      <c r="D1013" s="2" t="s">
        <v>21</v>
      </c>
      <c r="E1013" s="2" t="s">
        <v>54</v>
      </c>
      <c r="F1013" s="2">
        <v>134132</v>
      </c>
      <c r="G1013" s="2">
        <v>4694</v>
      </c>
      <c r="H1013" s="2">
        <v>3849.08</v>
      </c>
      <c r="I1013" s="2">
        <v>306</v>
      </c>
      <c r="J1013" s="2">
        <v>52932.5</v>
      </c>
      <c r="K1013" s="4">
        <f t="shared" si="60"/>
        <v>3.4995377687650972E-2</v>
      </c>
      <c r="L1013" s="6">
        <f t="shared" si="61"/>
        <v>0.82</v>
      </c>
      <c r="M1013" s="6">
        <f t="shared" si="62"/>
        <v>12.578692810457516</v>
      </c>
      <c r="N1013" s="8">
        <f t="shared" si="63"/>
        <v>13.751987487919191</v>
      </c>
    </row>
    <row r="1014" spans="1:14" x14ac:dyDescent="0.45">
      <c r="A1014" s="12">
        <v>45319</v>
      </c>
      <c r="B1014" s="2" t="s">
        <v>15</v>
      </c>
      <c r="C1014" s="2" t="s">
        <v>38</v>
      </c>
      <c r="D1014" s="2" t="s">
        <v>41</v>
      </c>
      <c r="E1014" s="2" t="s">
        <v>54</v>
      </c>
      <c r="F1014" s="2">
        <v>38005</v>
      </c>
      <c r="G1014" s="2">
        <v>1489</v>
      </c>
      <c r="H1014" s="2">
        <v>2248.39</v>
      </c>
      <c r="I1014" s="2">
        <v>79</v>
      </c>
      <c r="J1014" s="2">
        <v>23043.93</v>
      </c>
      <c r="K1014" s="4">
        <f t="shared" si="60"/>
        <v>3.9179055387449022E-2</v>
      </c>
      <c r="L1014" s="6">
        <f t="shared" si="61"/>
        <v>1.51</v>
      </c>
      <c r="M1014" s="6">
        <f t="shared" si="62"/>
        <v>28.460632911392402</v>
      </c>
      <c r="N1014" s="8">
        <f t="shared" si="63"/>
        <v>10.249080453124236</v>
      </c>
    </row>
    <row r="1015" spans="1:14" x14ac:dyDescent="0.45">
      <c r="A1015" s="12">
        <v>45306</v>
      </c>
      <c r="B1015" s="2" t="s">
        <v>15</v>
      </c>
      <c r="C1015" s="2" t="s">
        <v>16</v>
      </c>
      <c r="D1015" s="2" t="s">
        <v>41</v>
      </c>
      <c r="E1015" s="2" t="s">
        <v>51</v>
      </c>
      <c r="F1015" s="2">
        <v>91348</v>
      </c>
      <c r="G1015" s="2">
        <v>2914</v>
      </c>
      <c r="H1015" s="2">
        <v>5041.22</v>
      </c>
      <c r="I1015" s="2">
        <v>98</v>
      </c>
      <c r="J1015" s="2">
        <v>14981.67</v>
      </c>
      <c r="K1015" s="4">
        <f t="shared" si="60"/>
        <v>3.1899986863423394E-2</v>
      </c>
      <c r="L1015" s="6">
        <f t="shared" si="61"/>
        <v>1.73</v>
      </c>
      <c r="M1015" s="6">
        <f t="shared" si="62"/>
        <v>51.441020408163268</v>
      </c>
      <c r="N1015" s="8">
        <f t="shared" si="63"/>
        <v>2.9718341988645602</v>
      </c>
    </row>
    <row r="1016" spans="1:14" x14ac:dyDescent="0.45">
      <c r="A1016" s="12">
        <v>45526</v>
      </c>
      <c r="B1016" s="2" t="s">
        <v>15</v>
      </c>
      <c r="C1016" s="2" t="s">
        <v>38</v>
      </c>
      <c r="D1016" s="2" t="s">
        <v>41</v>
      </c>
      <c r="E1016" s="2" t="s">
        <v>22</v>
      </c>
      <c r="F1016" s="2">
        <v>87607</v>
      </c>
      <c r="G1016" s="2">
        <v>3661</v>
      </c>
      <c r="H1016" s="2">
        <v>11532.15</v>
      </c>
      <c r="I1016" s="2">
        <v>106</v>
      </c>
      <c r="J1016" s="2">
        <v>31383.75</v>
      </c>
      <c r="K1016" s="4">
        <f t="shared" si="60"/>
        <v>4.1788898147408313E-2</v>
      </c>
      <c r="L1016" s="6">
        <f t="shared" si="61"/>
        <v>3.15</v>
      </c>
      <c r="M1016" s="6">
        <f t="shared" si="62"/>
        <v>108.7938679245283</v>
      </c>
      <c r="N1016" s="8">
        <f t="shared" si="63"/>
        <v>2.7214136132464457</v>
      </c>
    </row>
    <row r="1017" spans="1:14" x14ac:dyDescent="0.45">
      <c r="A1017" s="12">
        <v>45323</v>
      </c>
      <c r="B1017" s="2" t="s">
        <v>20</v>
      </c>
      <c r="C1017" s="2" t="s">
        <v>28</v>
      </c>
      <c r="D1017" s="2" t="s">
        <v>17</v>
      </c>
      <c r="E1017" s="2" t="s">
        <v>51</v>
      </c>
      <c r="F1017" s="2">
        <v>95288</v>
      </c>
      <c r="G1017" s="2">
        <v>7108</v>
      </c>
      <c r="H1017" s="2">
        <v>3625.08</v>
      </c>
      <c r="I1017" s="2">
        <v>454</v>
      </c>
      <c r="J1017" s="2">
        <v>132401.60999999999</v>
      </c>
      <c r="K1017" s="4">
        <f t="shared" si="60"/>
        <v>7.4594912265972632E-2</v>
      </c>
      <c r="L1017" s="6">
        <f t="shared" si="61"/>
        <v>0.51</v>
      </c>
      <c r="M1017" s="6">
        <f t="shared" si="62"/>
        <v>7.9847577092511015</v>
      </c>
      <c r="N1017" s="8">
        <f t="shared" si="63"/>
        <v>36.523776027011813</v>
      </c>
    </row>
    <row r="1018" spans="1:14" x14ac:dyDescent="0.45">
      <c r="A1018" s="12">
        <v>45563</v>
      </c>
      <c r="B1018" s="2" t="s">
        <v>20</v>
      </c>
      <c r="C1018" s="2" t="s">
        <v>24</v>
      </c>
      <c r="D1018" s="2" t="s">
        <v>25</v>
      </c>
      <c r="E1018" s="2" t="s">
        <v>22</v>
      </c>
      <c r="F1018" s="2">
        <v>68620</v>
      </c>
      <c r="G1018" s="2">
        <v>3602</v>
      </c>
      <c r="H1018" s="2">
        <v>1728.96</v>
      </c>
      <c r="I1018" s="2">
        <v>134</v>
      </c>
      <c r="J1018" s="2">
        <v>22980.94</v>
      </c>
      <c r="K1018" s="4">
        <f t="shared" si="60"/>
        <v>5.2491984844068786E-2</v>
      </c>
      <c r="L1018" s="6">
        <f t="shared" si="61"/>
        <v>0.48000000000000004</v>
      </c>
      <c r="M1018" s="6">
        <f t="shared" si="62"/>
        <v>12.90268656716418</v>
      </c>
      <c r="N1018" s="8">
        <f t="shared" si="63"/>
        <v>13.291770775495094</v>
      </c>
    </row>
    <row r="1019" spans="1:14" x14ac:dyDescent="0.45">
      <c r="A1019" s="12">
        <v>45479</v>
      </c>
      <c r="B1019" s="2" t="s">
        <v>20</v>
      </c>
      <c r="C1019" s="2" t="s">
        <v>24</v>
      </c>
      <c r="D1019" s="2" t="s">
        <v>25</v>
      </c>
      <c r="E1019" s="2" t="s">
        <v>54</v>
      </c>
      <c r="F1019" s="2">
        <v>95975</v>
      </c>
      <c r="G1019" s="2">
        <v>3848</v>
      </c>
      <c r="H1019" s="2">
        <v>6849.44</v>
      </c>
      <c r="I1019" s="2">
        <v>66</v>
      </c>
      <c r="J1019" s="2">
        <v>6246.82</v>
      </c>
      <c r="K1019" s="4">
        <f t="shared" si="60"/>
        <v>4.0093774420421988E-2</v>
      </c>
      <c r="L1019" s="6">
        <f t="shared" si="61"/>
        <v>1.7799999999999998</v>
      </c>
      <c r="M1019" s="6">
        <f t="shared" si="62"/>
        <v>103.77939393939393</v>
      </c>
      <c r="N1019" s="8">
        <f t="shared" si="63"/>
        <v>0.91201908477189375</v>
      </c>
    </row>
    <row r="1020" spans="1:14" x14ac:dyDescent="0.45">
      <c r="A1020" s="12">
        <v>45638</v>
      </c>
      <c r="B1020" s="2" t="s">
        <v>15</v>
      </c>
      <c r="C1020" s="2" t="s">
        <v>28</v>
      </c>
      <c r="D1020" s="2" t="s">
        <v>29</v>
      </c>
      <c r="E1020" s="2" t="s">
        <v>33</v>
      </c>
      <c r="F1020" s="2">
        <v>162064</v>
      </c>
      <c r="G1020" s="2">
        <v>5607</v>
      </c>
      <c r="H1020" s="2">
        <v>13568.94</v>
      </c>
      <c r="I1020" s="2">
        <v>77</v>
      </c>
      <c r="J1020" s="2">
        <v>8174.03</v>
      </c>
      <c r="K1020" s="4">
        <f t="shared" si="60"/>
        <v>3.4597442985487212E-2</v>
      </c>
      <c r="L1020" s="6">
        <f t="shared" si="61"/>
        <v>2.42</v>
      </c>
      <c r="M1020" s="6">
        <f t="shared" si="62"/>
        <v>176.22</v>
      </c>
      <c r="N1020" s="8">
        <f t="shared" si="63"/>
        <v>0.60240740986399821</v>
      </c>
    </row>
    <row r="1021" spans="1:14" x14ac:dyDescent="0.45">
      <c r="A1021" s="12">
        <v>45430</v>
      </c>
      <c r="B1021" s="2" t="s">
        <v>35</v>
      </c>
      <c r="C1021" s="2" t="s">
        <v>16</v>
      </c>
      <c r="D1021" s="2" t="s">
        <v>17</v>
      </c>
      <c r="E1021" s="2" t="s">
        <v>26</v>
      </c>
      <c r="F1021" s="2">
        <v>57712</v>
      </c>
      <c r="G1021" s="2">
        <v>848</v>
      </c>
      <c r="H1021" s="2">
        <v>763.2</v>
      </c>
      <c r="I1021" s="2">
        <v>64</v>
      </c>
      <c r="J1021" s="2">
        <v>2136.83</v>
      </c>
      <c r="K1021" s="4">
        <f t="shared" si="60"/>
        <v>1.4693651233712227E-2</v>
      </c>
      <c r="L1021" s="6">
        <f t="shared" si="61"/>
        <v>0.9</v>
      </c>
      <c r="M1021" s="6">
        <f t="shared" si="62"/>
        <v>11.925000000000001</v>
      </c>
      <c r="N1021" s="8">
        <f t="shared" si="63"/>
        <v>2.7998296645702303</v>
      </c>
    </row>
    <row r="1022" spans="1:14" x14ac:dyDescent="0.45">
      <c r="A1022" s="12">
        <v>45472</v>
      </c>
      <c r="B1022" s="2" t="s">
        <v>35</v>
      </c>
      <c r="C1022" s="2" t="s">
        <v>28</v>
      </c>
      <c r="D1022" s="2" t="s">
        <v>17</v>
      </c>
      <c r="E1022" s="2" t="s">
        <v>30</v>
      </c>
      <c r="F1022" s="2">
        <v>147412</v>
      </c>
      <c r="G1022" s="2">
        <v>3670</v>
      </c>
      <c r="H1022" s="2">
        <v>4293.8999999999996</v>
      </c>
      <c r="I1022" s="2">
        <v>162</v>
      </c>
      <c r="J1022" s="2">
        <v>38717.46</v>
      </c>
      <c r="K1022" s="4">
        <f t="shared" si="60"/>
        <v>2.489620926383198E-2</v>
      </c>
      <c r="L1022" s="6">
        <f t="shared" si="61"/>
        <v>1.17</v>
      </c>
      <c r="M1022" s="6">
        <f t="shared" si="62"/>
        <v>26.505555555555553</v>
      </c>
      <c r="N1022" s="8">
        <f t="shared" si="63"/>
        <v>9.0168518130370998</v>
      </c>
    </row>
    <row r="1023" spans="1:14" x14ac:dyDescent="0.45">
      <c r="A1023" s="12">
        <v>45328</v>
      </c>
      <c r="B1023" s="2" t="s">
        <v>15</v>
      </c>
      <c r="C1023" s="2" t="s">
        <v>38</v>
      </c>
      <c r="D1023" s="2" t="s">
        <v>41</v>
      </c>
      <c r="E1023" s="2" t="s">
        <v>18</v>
      </c>
      <c r="F1023" s="2">
        <v>79525</v>
      </c>
      <c r="G1023" s="2">
        <v>2298</v>
      </c>
      <c r="H1023" s="2">
        <v>3630.84</v>
      </c>
      <c r="I1023" s="2">
        <v>119</v>
      </c>
      <c r="J1023" s="2">
        <v>21777.03</v>
      </c>
      <c r="K1023" s="4">
        <f t="shared" si="60"/>
        <v>2.8896573404589752E-2</v>
      </c>
      <c r="L1023" s="6">
        <f t="shared" si="61"/>
        <v>1.58</v>
      </c>
      <c r="M1023" s="6">
        <f t="shared" si="62"/>
        <v>30.511260504201683</v>
      </c>
      <c r="N1023" s="8">
        <f t="shared" si="63"/>
        <v>5.9977938989324775</v>
      </c>
    </row>
    <row r="1024" spans="1:14" x14ac:dyDescent="0.45">
      <c r="A1024" s="12">
        <v>45400</v>
      </c>
      <c r="B1024" s="2" t="s">
        <v>35</v>
      </c>
      <c r="C1024" s="2" t="s">
        <v>28</v>
      </c>
      <c r="D1024" s="2" t="s">
        <v>41</v>
      </c>
      <c r="E1024" s="2" t="s">
        <v>22</v>
      </c>
      <c r="F1024" s="2">
        <v>78480</v>
      </c>
      <c r="G1024" s="2">
        <v>1389</v>
      </c>
      <c r="H1024" s="2">
        <v>2347.41</v>
      </c>
      <c r="I1024" s="2">
        <v>19</v>
      </c>
      <c r="J1024" s="2">
        <v>2972.32</v>
      </c>
      <c r="K1024" s="4">
        <f t="shared" si="60"/>
        <v>1.7698776758409786E-2</v>
      </c>
      <c r="L1024" s="6">
        <f t="shared" si="61"/>
        <v>1.69</v>
      </c>
      <c r="M1024" s="6">
        <f t="shared" si="62"/>
        <v>123.5478947368421</v>
      </c>
      <c r="N1024" s="8">
        <f t="shared" si="63"/>
        <v>1.2662125491499143</v>
      </c>
    </row>
    <row r="1025" spans="1:14" x14ac:dyDescent="0.45">
      <c r="A1025" s="12">
        <v>45362</v>
      </c>
      <c r="B1025" s="2" t="s">
        <v>20</v>
      </c>
      <c r="C1025" s="2" t="s">
        <v>38</v>
      </c>
      <c r="D1025" s="2" t="s">
        <v>29</v>
      </c>
      <c r="E1025" s="2" t="s">
        <v>22</v>
      </c>
      <c r="F1025" s="2">
        <v>165232</v>
      </c>
      <c r="G1025" s="2">
        <v>7617</v>
      </c>
      <c r="H1025" s="2">
        <v>5865.09</v>
      </c>
      <c r="I1025" s="2">
        <v>601</v>
      </c>
      <c r="J1025" s="2">
        <v>102707.85</v>
      </c>
      <c r="K1025" s="4">
        <f t="shared" si="60"/>
        <v>4.6098818630773697E-2</v>
      </c>
      <c r="L1025" s="6">
        <f t="shared" si="61"/>
        <v>0.77</v>
      </c>
      <c r="M1025" s="6">
        <f t="shared" si="62"/>
        <v>9.7588851913477548</v>
      </c>
      <c r="N1025" s="8">
        <f t="shared" si="63"/>
        <v>17.511726162769882</v>
      </c>
    </row>
    <row r="1026" spans="1:14" x14ac:dyDescent="0.45">
      <c r="A1026" s="12">
        <v>45430</v>
      </c>
      <c r="B1026" s="2" t="s">
        <v>15</v>
      </c>
      <c r="C1026" s="2" t="s">
        <v>38</v>
      </c>
      <c r="D1026" s="2" t="s">
        <v>29</v>
      </c>
      <c r="E1026" s="2" t="s">
        <v>18</v>
      </c>
      <c r="F1026" s="2">
        <v>13294</v>
      </c>
      <c r="G1026" s="2">
        <v>583</v>
      </c>
      <c r="H1026" s="2">
        <v>804.54</v>
      </c>
      <c r="I1026" s="2">
        <v>46</v>
      </c>
      <c r="J1026" s="2">
        <v>11553.7</v>
      </c>
      <c r="K1026" s="4">
        <f t="shared" si="60"/>
        <v>4.385437039265834E-2</v>
      </c>
      <c r="L1026" s="6">
        <f t="shared" si="61"/>
        <v>1.38</v>
      </c>
      <c r="M1026" s="6">
        <f t="shared" si="62"/>
        <v>17.489999999999998</v>
      </c>
      <c r="N1026" s="8">
        <f t="shared" si="63"/>
        <v>14.3606284336391</v>
      </c>
    </row>
    <row r="1027" spans="1:14" x14ac:dyDescent="0.45">
      <c r="A1027" s="12">
        <v>45612</v>
      </c>
      <c r="B1027" s="2" t="s">
        <v>35</v>
      </c>
      <c r="C1027" s="2" t="s">
        <v>24</v>
      </c>
      <c r="D1027" s="2" t="s">
        <v>21</v>
      </c>
      <c r="E1027" s="2" t="s">
        <v>22</v>
      </c>
      <c r="F1027" s="2">
        <v>55333</v>
      </c>
      <c r="G1027" s="2">
        <v>852</v>
      </c>
      <c r="H1027" s="2">
        <v>894.6</v>
      </c>
      <c r="I1027" s="2">
        <v>66</v>
      </c>
      <c r="J1027" s="2">
        <v>12295.52</v>
      </c>
      <c r="K1027" s="4">
        <f t="shared" ref="K1027:K1090" si="64" xml:space="preserve"> G1027 / F1027</f>
        <v>1.5397683118573003E-2</v>
      </c>
      <c r="L1027" s="6">
        <f t="shared" ref="L1027:L1090" si="65">H1027/G1027</f>
        <v>1.05</v>
      </c>
      <c r="M1027" s="6">
        <f t="shared" ref="M1027:M1090" si="66">H1027/I1027</f>
        <v>13.554545454545455</v>
      </c>
      <c r="N1027" s="8">
        <f t="shared" ref="N1027:N1090" si="67">J1027/H1027</f>
        <v>13.744153811759446</v>
      </c>
    </row>
    <row r="1028" spans="1:14" x14ac:dyDescent="0.45">
      <c r="A1028" s="12">
        <v>45559</v>
      </c>
      <c r="B1028" s="2" t="s">
        <v>35</v>
      </c>
      <c r="C1028" s="2" t="s">
        <v>38</v>
      </c>
      <c r="D1028" s="2" t="s">
        <v>17</v>
      </c>
      <c r="E1028" s="2" t="s">
        <v>22</v>
      </c>
      <c r="F1028" s="2">
        <v>177027</v>
      </c>
      <c r="G1028" s="2">
        <v>6160</v>
      </c>
      <c r="H1028" s="2">
        <v>7576.8</v>
      </c>
      <c r="I1028" s="2">
        <v>220</v>
      </c>
      <c r="J1028" s="2">
        <v>59390.91</v>
      </c>
      <c r="K1028" s="4">
        <f t="shared" si="64"/>
        <v>3.4796951877397231E-2</v>
      </c>
      <c r="L1028" s="6">
        <f t="shared" si="65"/>
        <v>1.23</v>
      </c>
      <c r="M1028" s="6">
        <f t="shared" si="66"/>
        <v>34.44</v>
      </c>
      <c r="N1028" s="8">
        <f t="shared" si="67"/>
        <v>7.838521539436174</v>
      </c>
    </row>
    <row r="1029" spans="1:14" x14ac:dyDescent="0.45">
      <c r="A1029" s="12">
        <v>45606</v>
      </c>
      <c r="B1029" s="2" t="s">
        <v>35</v>
      </c>
      <c r="C1029" s="2" t="s">
        <v>16</v>
      </c>
      <c r="D1029" s="2" t="s">
        <v>41</v>
      </c>
      <c r="E1029" s="2" t="s">
        <v>26</v>
      </c>
      <c r="F1029" s="2">
        <v>21679</v>
      </c>
      <c r="G1029" s="2">
        <v>448</v>
      </c>
      <c r="H1029" s="2">
        <v>398.72</v>
      </c>
      <c r="I1029" s="2">
        <v>31</v>
      </c>
      <c r="J1029" s="2">
        <v>3556.66</v>
      </c>
      <c r="K1029" s="4">
        <f t="shared" si="64"/>
        <v>2.0665159832095575E-2</v>
      </c>
      <c r="L1029" s="6">
        <f t="shared" si="65"/>
        <v>0.89</v>
      </c>
      <c r="M1029" s="6">
        <f t="shared" si="66"/>
        <v>12.861935483870969</v>
      </c>
      <c r="N1029" s="8">
        <f t="shared" si="67"/>
        <v>8.9201946227929358</v>
      </c>
    </row>
    <row r="1030" spans="1:14" x14ac:dyDescent="0.45">
      <c r="A1030" s="12">
        <v>45482</v>
      </c>
      <c r="B1030" s="2" t="s">
        <v>15</v>
      </c>
      <c r="C1030" s="2" t="s">
        <v>16</v>
      </c>
      <c r="D1030" s="2" t="s">
        <v>25</v>
      </c>
      <c r="E1030" s="2" t="s">
        <v>22</v>
      </c>
      <c r="F1030" s="2">
        <v>18601</v>
      </c>
      <c r="G1030" s="2">
        <v>706</v>
      </c>
      <c r="H1030" s="2">
        <v>1412</v>
      </c>
      <c r="I1030" s="2">
        <v>54</v>
      </c>
      <c r="J1030" s="2">
        <v>3302.39</v>
      </c>
      <c r="K1030" s="4">
        <f t="shared" si="64"/>
        <v>3.7954948658674263E-2</v>
      </c>
      <c r="L1030" s="6">
        <f t="shared" si="65"/>
        <v>2</v>
      </c>
      <c r="M1030" s="6">
        <f t="shared" si="66"/>
        <v>26.148148148148149</v>
      </c>
      <c r="N1030" s="8">
        <f t="shared" si="67"/>
        <v>2.3388031161473086</v>
      </c>
    </row>
    <row r="1031" spans="1:14" x14ac:dyDescent="0.45">
      <c r="A1031" s="12">
        <v>45625</v>
      </c>
      <c r="B1031" s="2" t="s">
        <v>15</v>
      </c>
      <c r="C1031" s="2" t="s">
        <v>28</v>
      </c>
      <c r="D1031" s="2" t="s">
        <v>25</v>
      </c>
      <c r="E1031" s="2" t="s">
        <v>18</v>
      </c>
      <c r="F1031" s="2">
        <v>146583</v>
      </c>
      <c r="G1031" s="2">
        <v>2990</v>
      </c>
      <c r="H1031" s="2">
        <v>4813.8999999999996</v>
      </c>
      <c r="I1031" s="2">
        <v>114</v>
      </c>
      <c r="J1031" s="2">
        <v>8660.2800000000007</v>
      </c>
      <c r="K1031" s="4">
        <f t="shared" si="64"/>
        <v>2.0397999768049502E-2</v>
      </c>
      <c r="L1031" s="6">
        <f t="shared" si="65"/>
        <v>1.6099999999999999</v>
      </c>
      <c r="M1031" s="6">
        <f t="shared" si="66"/>
        <v>42.227192982456138</v>
      </c>
      <c r="N1031" s="8">
        <f t="shared" si="67"/>
        <v>1.7990153513783007</v>
      </c>
    </row>
    <row r="1032" spans="1:14" x14ac:dyDescent="0.45">
      <c r="A1032" s="12">
        <v>45613</v>
      </c>
      <c r="B1032" s="2" t="s">
        <v>15</v>
      </c>
      <c r="C1032" s="2" t="s">
        <v>28</v>
      </c>
      <c r="D1032" s="2" t="s">
        <v>17</v>
      </c>
      <c r="E1032" s="2" t="s">
        <v>54</v>
      </c>
      <c r="F1032" s="2">
        <v>46745</v>
      </c>
      <c r="G1032" s="2">
        <v>2140</v>
      </c>
      <c r="H1032" s="2">
        <v>7361.6</v>
      </c>
      <c r="I1032" s="2">
        <v>38</v>
      </c>
      <c r="J1032" s="2">
        <v>5289.97</v>
      </c>
      <c r="K1032" s="4">
        <f t="shared" si="64"/>
        <v>4.5780297358006206E-2</v>
      </c>
      <c r="L1032" s="6">
        <f t="shared" si="65"/>
        <v>3.4400000000000004</v>
      </c>
      <c r="M1032" s="6">
        <f t="shared" si="66"/>
        <v>193.72631578947369</v>
      </c>
      <c r="N1032" s="8">
        <f t="shared" si="67"/>
        <v>0.71858970875896544</v>
      </c>
    </row>
    <row r="1033" spans="1:14" x14ac:dyDescent="0.45">
      <c r="A1033" s="12">
        <v>45635</v>
      </c>
      <c r="B1033" s="2" t="s">
        <v>15</v>
      </c>
      <c r="C1033" s="2" t="s">
        <v>38</v>
      </c>
      <c r="D1033" s="2" t="s">
        <v>41</v>
      </c>
      <c r="E1033" s="2" t="s">
        <v>33</v>
      </c>
      <c r="F1033" s="2">
        <v>39505</v>
      </c>
      <c r="G1033" s="2">
        <v>2251</v>
      </c>
      <c r="H1033" s="2">
        <v>6888.06</v>
      </c>
      <c r="I1033" s="2">
        <v>149</v>
      </c>
      <c r="J1033" s="2">
        <v>30920.99</v>
      </c>
      <c r="K1033" s="4">
        <f t="shared" si="64"/>
        <v>5.6980129097582585E-2</v>
      </c>
      <c r="L1033" s="6">
        <f t="shared" si="65"/>
        <v>3.06</v>
      </c>
      <c r="M1033" s="6">
        <f t="shared" si="66"/>
        <v>46.228590604026849</v>
      </c>
      <c r="N1033" s="8">
        <f t="shared" si="67"/>
        <v>4.4890709430521802</v>
      </c>
    </row>
    <row r="1034" spans="1:14" x14ac:dyDescent="0.45">
      <c r="A1034" s="12">
        <v>45362</v>
      </c>
      <c r="B1034" s="2" t="s">
        <v>15</v>
      </c>
      <c r="C1034" s="2" t="s">
        <v>28</v>
      </c>
      <c r="D1034" s="2" t="s">
        <v>25</v>
      </c>
      <c r="E1034" s="2" t="s">
        <v>30</v>
      </c>
      <c r="F1034" s="2">
        <v>179342</v>
      </c>
      <c r="G1034" s="2">
        <v>4071</v>
      </c>
      <c r="H1034" s="2">
        <v>9200.4599999999991</v>
      </c>
      <c r="I1034" s="2">
        <v>195</v>
      </c>
      <c r="J1034" s="2">
        <v>30682.52</v>
      </c>
      <c r="K1034" s="4">
        <f t="shared" si="64"/>
        <v>2.2699646485485832E-2</v>
      </c>
      <c r="L1034" s="6">
        <f t="shared" si="65"/>
        <v>2.2599999999999998</v>
      </c>
      <c r="M1034" s="6">
        <f t="shared" si="66"/>
        <v>47.181846153846152</v>
      </c>
      <c r="N1034" s="8">
        <f t="shared" si="67"/>
        <v>3.3348897772502681</v>
      </c>
    </row>
    <row r="1035" spans="1:14" x14ac:dyDescent="0.45">
      <c r="A1035" s="12">
        <v>45592</v>
      </c>
      <c r="B1035" s="2" t="s">
        <v>15</v>
      </c>
      <c r="C1035" s="2" t="s">
        <v>24</v>
      </c>
      <c r="D1035" s="2" t="s">
        <v>17</v>
      </c>
      <c r="E1035" s="2" t="s">
        <v>18</v>
      </c>
      <c r="F1035" s="2">
        <v>75410</v>
      </c>
      <c r="G1035" s="2">
        <v>3039</v>
      </c>
      <c r="H1035" s="2">
        <v>2887.05</v>
      </c>
      <c r="I1035" s="2">
        <v>239</v>
      </c>
      <c r="J1035" s="2">
        <v>29467.42</v>
      </c>
      <c r="K1035" s="4">
        <f t="shared" si="64"/>
        <v>4.0299695000663042E-2</v>
      </c>
      <c r="L1035" s="6">
        <f t="shared" si="65"/>
        <v>0.95000000000000007</v>
      </c>
      <c r="M1035" s="6">
        <f t="shared" si="66"/>
        <v>12.079707112970713</v>
      </c>
      <c r="N1035" s="8">
        <f t="shared" si="67"/>
        <v>10.206757763114597</v>
      </c>
    </row>
    <row r="1036" spans="1:14" x14ac:dyDescent="0.45">
      <c r="A1036" s="12">
        <v>45471</v>
      </c>
      <c r="B1036" s="2" t="s">
        <v>15</v>
      </c>
      <c r="C1036" s="2" t="s">
        <v>16</v>
      </c>
      <c r="D1036" s="2" t="s">
        <v>25</v>
      </c>
      <c r="E1036" s="2" t="s">
        <v>18</v>
      </c>
      <c r="F1036" s="2">
        <v>83488</v>
      </c>
      <c r="G1036" s="2">
        <v>4049</v>
      </c>
      <c r="H1036" s="2">
        <v>4656.3500000000004</v>
      </c>
      <c r="I1036" s="2">
        <v>45</v>
      </c>
      <c r="J1036" s="2">
        <v>2103</v>
      </c>
      <c r="K1036" s="4">
        <f t="shared" si="64"/>
        <v>4.8497987734764277E-2</v>
      </c>
      <c r="L1036" s="6">
        <f t="shared" si="65"/>
        <v>1.1500000000000001</v>
      </c>
      <c r="M1036" s="6">
        <f t="shared" si="66"/>
        <v>103.47444444444446</v>
      </c>
      <c r="N1036" s="8">
        <f t="shared" si="67"/>
        <v>0.45164130703233213</v>
      </c>
    </row>
    <row r="1037" spans="1:14" x14ac:dyDescent="0.45">
      <c r="A1037" s="12">
        <v>45652</v>
      </c>
      <c r="B1037" s="2" t="s">
        <v>20</v>
      </c>
      <c r="C1037" s="2" t="s">
        <v>38</v>
      </c>
      <c r="D1037" s="2" t="s">
        <v>29</v>
      </c>
      <c r="E1037" s="2" t="s">
        <v>26</v>
      </c>
      <c r="F1037" s="2">
        <v>149143</v>
      </c>
      <c r="G1037" s="2">
        <v>5175</v>
      </c>
      <c r="H1037" s="2">
        <v>2742.75</v>
      </c>
      <c r="I1037" s="2">
        <v>140</v>
      </c>
      <c r="J1037" s="2">
        <v>11705.28</v>
      </c>
      <c r="K1037" s="4">
        <f t="shared" si="64"/>
        <v>3.4698242626204384E-2</v>
      </c>
      <c r="L1037" s="6">
        <f t="shared" si="65"/>
        <v>0.53</v>
      </c>
      <c r="M1037" s="6">
        <f t="shared" si="66"/>
        <v>19.591071428571428</v>
      </c>
      <c r="N1037" s="8">
        <f t="shared" si="67"/>
        <v>4.2677167076838938</v>
      </c>
    </row>
    <row r="1038" spans="1:14" x14ac:dyDescent="0.45">
      <c r="A1038" s="12">
        <v>45617</v>
      </c>
      <c r="B1038" s="2" t="s">
        <v>35</v>
      </c>
      <c r="C1038" s="2" t="s">
        <v>28</v>
      </c>
      <c r="D1038" s="2" t="s">
        <v>17</v>
      </c>
      <c r="E1038" s="2" t="s">
        <v>54</v>
      </c>
      <c r="F1038" s="2">
        <v>52743</v>
      </c>
      <c r="G1038" s="2">
        <v>1207</v>
      </c>
      <c r="H1038" s="2">
        <v>2329.5100000000002</v>
      </c>
      <c r="I1038" s="2">
        <v>90</v>
      </c>
      <c r="J1038" s="2">
        <v>11281.65</v>
      </c>
      <c r="K1038" s="4">
        <f t="shared" si="64"/>
        <v>2.2884553400451244E-2</v>
      </c>
      <c r="L1038" s="6">
        <f t="shared" si="65"/>
        <v>1.9300000000000002</v>
      </c>
      <c r="M1038" s="6">
        <f t="shared" si="66"/>
        <v>25.883444444444446</v>
      </c>
      <c r="N1038" s="8">
        <f t="shared" si="67"/>
        <v>4.8429283411532893</v>
      </c>
    </row>
    <row r="1039" spans="1:14" x14ac:dyDescent="0.45">
      <c r="A1039" s="12">
        <v>45401</v>
      </c>
      <c r="B1039" s="2" t="s">
        <v>35</v>
      </c>
      <c r="C1039" s="2" t="s">
        <v>28</v>
      </c>
      <c r="D1039" s="2" t="s">
        <v>25</v>
      </c>
      <c r="E1039" s="2" t="s">
        <v>22</v>
      </c>
      <c r="F1039" s="2">
        <v>92091</v>
      </c>
      <c r="G1039" s="2">
        <v>3342</v>
      </c>
      <c r="H1039" s="2">
        <v>4946.16</v>
      </c>
      <c r="I1039" s="2">
        <v>145</v>
      </c>
      <c r="J1039" s="2">
        <v>37976.42</v>
      </c>
      <c r="K1039" s="4">
        <f t="shared" si="64"/>
        <v>3.6290191223898101E-2</v>
      </c>
      <c r="L1039" s="6">
        <f t="shared" si="65"/>
        <v>1.48</v>
      </c>
      <c r="M1039" s="6">
        <f t="shared" si="66"/>
        <v>34.111448275862067</v>
      </c>
      <c r="N1039" s="8">
        <f t="shared" si="67"/>
        <v>7.6779602762547103</v>
      </c>
    </row>
    <row r="1040" spans="1:14" x14ac:dyDescent="0.45">
      <c r="A1040" s="12">
        <v>45396</v>
      </c>
      <c r="B1040" s="2" t="s">
        <v>20</v>
      </c>
      <c r="C1040" s="2" t="s">
        <v>24</v>
      </c>
      <c r="D1040" s="2" t="s">
        <v>25</v>
      </c>
      <c r="E1040" s="2" t="s">
        <v>26</v>
      </c>
      <c r="F1040" s="2">
        <v>118687</v>
      </c>
      <c r="G1040" s="2">
        <v>10586</v>
      </c>
      <c r="H1040" s="2">
        <v>7939.5</v>
      </c>
      <c r="I1040" s="2">
        <v>635</v>
      </c>
      <c r="J1040" s="2">
        <v>88046.75</v>
      </c>
      <c r="K1040" s="4">
        <f t="shared" si="64"/>
        <v>8.9192582169909093E-2</v>
      </c>
      <c r="L1040" s="6">
        <f t="shared" si="65"/>
        <v>0.75</v>
      </c>
      <c r="M1040" s="6">
        <f t="shared" si="66"/>
        <v>12.503149606299212</v>
      </c>
      <c r="N1040" s="8">
        <f t="shared" si="67"/>
        <v>11.089709679450847</v>
      </c>
    </row>
    <row r="1041" spans="1:14" x14ac:dyDescent="0.45">
      <c r="A1041" s="12">
        <v>45590</v>
      </c>
      <c r="B1041" s="2" t="s">
        <v>15</v>
      </c>
      <c r="C1041" s="2" t="s">
        <v>24</v>
      </c>
      <c r="D1041" s="2" t="s">
        <v>21</v>
      </c>
      <c r="E1041" s="2" t="s">
        <v>18</v>
      </c>
      <c r="F1041" s="2">
        <v>195664</v>
      </c>
      <c r="G1041" s="2">
        <v>6378</v>
      </c>
      <c r="H1041" s="2">
        <v>16582.8</v>
      </c>
      <c r="I1041" s="2">
        <v>312</v>
      </c>
      <c r="J1041" s="2">
        <v>33814.660000000003</v>
      </c>
      <c r="K1041" s="4">
        <f t="shared" si="64"/>
        <v>3.2596696377463409E-2</v>
      </c>
      <c r="L1041" s="6">
        <f t="shared" si="65"/>
        <v>2.6</v>
      </c>
      <c r="M1041" s="6">
        <f t="shared" si="66"/>
        <v>53.15</v>
      </c>
      <c r="N1041" s="8">
        <f t="shared" si="67"/>
        <v>2.0391405552741397</v>
      </c>
    </row>
    <row r="1042" spans="1:14" x14ac:dyDescent="0.45">
      <c r="A1042" s="12">
        <v>45561</v>
      </c>
      <c r="B1042" s="2" t="s">
        <v>20</v>
      </c>
      <c r="C1042" s="2" t="s">
        <v>16</v>
      </c>
      <c r="D1042" s="2" t="s">
        <v>21</v>
      </c>
      <c r="E1042" s="2" t="s">
        <v>51</v>
      </c>
      <c r="F1042" s="2">
        <v>89946</v>
      </c>
      <c r="G1042" s="2">
        <v>5162</v>
      </c>
      <c r="H1042" s="2">
        <v>3252.06</v>
      </c>
      <c r="I1042" s="2">
        <v>349</v>
      </c>
      <c r="J1042" s="2">
        <v>87393.19</v>
      </c>
      <c r="K1042" s="4">
        <f t="shared" si="64"/>
        <v>5.7389989549285127E-2</v>
      </c>
      <c r="L1042" s="6">
        <f t="shared" si="65"/>
        <v>0.63</v>
      </c>
      <c r="M1042" s="6">
        <f t="shared" si="66"/>
        <v>9.3182234957020054</v>
      </c>
      <c r="N1042" s="8">
        <f t="shared" si="67"/>
        <v>26.873178846638748</v>
      </c>
    </row>
    <row r="1043" spans="1:14" x14ac:dyDescent="0.45">
      <c r="A1043" s="12">
        <v>45631</v>
      </c>
      <c r="B1043" s="2" t="s">
        <v>20</v>
      </c>
      <c r="C1043" s="2" t="s">
        <v>16</v>
      </c>
      <c r="D1043" s="2" t="s">
        <v>21</v>
      </c>
      <c r="E1043" s="2" t="s">
        <v>51</v>
      </c>
      <c r="F1043" s="2">
        <v>170529</v>
      </c>
      <c r="G1043" s="2">
        <v>11766</v>
      </c>
      <c r="H1043" s="2">
        <v>17413.68</v>
      </c>
      <c r="I1043" s="2">
        <v>695</v>
      </c>
      <c r="J1043" s="2">
        <v>102403.13</v>
      </c>
      <c r="K1043" s="4">
        <f t="shared" si="64"/>
        <v>6.8997062083282018E-2</v>
      </c>
      <c r="L1043" s="6">
        <f t="shared" si="65"/>
        <v>1.48</v>
      </c>
      <c r="M1043" s="6">
        <f t="shared" si="66"/>
        <v>25.055654676258992</v>
      </c>
      <c r="N1043" s="8">
        <f t="shared" si="67"/>
        <v>5.8806139770571182</v>
      </c>
    </row>
    <row r="1044" spans="1:14" x14ac:dyDescent="0.45">
      <c r="A1044" s="12">
        <v>45294</v>
      </c>
      <c r="B1044" s="2" t="s">
        <v>35</v>
      </c>
      <c r="C1044" s="2" t="s">
        <v>38</v>
      </c>
      <c r="D1044" s="2" t="s">
        <v>17</v>
      </c>
      <c r="E1044" s="2" t="s">
        <v>33</v>
      </c>
      <c r="F1044" s="2">
        <v>129750</v>
      </c>
      <c r="G1044" s="2">
        <v>2452</v>
      </c>
      <c r="H1044" s="2">
        <v>2672.68</v>
      </c>
      <c r="I1044" s="2">
        <v>93</v>
      </c>
      <c r="J1044" s="2">
        <v>23770.39</v>
      </c>
      <c r="K1044" s="4">
        <f t="shared" si="64"/>
        <v>1.8897880539499038E-2</v>
      </c>
      <c r="L1044" s="6">
        <f t="shared" si="65"/>
        <v>1.0899999999999999</v>
      </c>
      <c r="M1044" s="6">
        <f t="shared" si="66"/>
        <v>28.738494623655914</v>
      </c>
      <c r="N1044" s="8">
        <f t="shared" si="67"/>
        <v>8.8938406393582472</v>
      </c>
    </row>
    <row r="1045" spans="1:14" x14ac:dyDescent="0.45">
      <c r="A1045" s="12">
        <v>45313</v>
      </c>
      <c r="B1045" s="2" t="s">
        <v>35</v>
      </c>
      <c r="C1045" s="2" t="s">
        <v>38</v>
      </c>
      <c r="D1045" s="2" t="s">
        <v>25</v>
      </c>
      <c r="E1045" s="2" t="s">
        <v>26</v>
      </c>
      <c r="F1045" s="2">
        <v>197882</v>
      </c>
      <c r="G1045" s="2">
        <v>5144</v>
      </c>
      <c r="H1045" s="2">
        <v>4166.6400000000003</v>
      </c>
      <c r="I1045" s="2">
        <v>299</v>
      </c>
      <c r="J1045" s="2">
        <v>68061.759999999995</v>
      </c>
      <c r="K1045" s="4">
        <f t="shared" si="64"/>
        <v>2.5995290122396174E-2</v>
      </c>
      <c r="L1045" s="6">
        <f t="shared" si="65"/>
        <v>0.81</v>
      </c>
      <c r="M1045" s="6">
        <f t="shared" si="66"/>
        <v>13.935250836120403</v>
      </c>
      <c r="N1045" s="8">
        <f t="shared" si="67"/>
        <v>16.334926943532437</v>
      </c>
    </row>
    <row r="1046" spans="1:14" x14ac:dyDescent="0.45">
      <c r="A1046" s="12">
        <v>45449</v>
      </c>
      <c r="B1046" s="2" t="s">
        <v>15</v>
      </c>
      <c r="C1046" s="2" t="s">
        <v>38</v>
      </c>
      <c r="D1046" s="2" t="s">
        <v>41</v>
      </c>
      <c r="E1046" s="2" t="s">
        <v>54</v>
      </c>
      <c r="F1046" s="2">
        <v>58266</v>
      </c>
      <c r="G1046" s="2">
        <v>2651</v>
      </c>
      <c r="H1046" s="2">
        <v>3234.22</v>
      </c>
      <c r="I1046" s="2">
        <v>103</v>
      </c>
      <c r="J1046" s="2">
        <v>3487.43</v>
      </c>
      <c r="K1046" s="4">
        <f t="shared" si="64"/>
        <v>4.5498232245220198E-2</v>
      </c>
      <c r="L1046" s="6">
        <f t="shared" si="65"/>
        <v>1.22</v>
      </c>
      <c r="M1046" s="6">
        <f t="shared" si="66"/>
        <v>31.400194174757278</v>
      </c>
      <c r="N1046" s="8">
        <f t="shared" si="67"/>
        <v>1.0782909016702635</v>
      </c>
    </row>
    <row r="1047" spans="1:14" x14ac:dyDescent="0.45">
      <c r="A1047" s="12">
        <v>45536</v>
      </c>
      <c r="B1047" s="2" t="s">
        <v>35</v>
      </c>
      <c r="C1047" s="2" t="s">
        <v>16</v>
      </c>
      <c r="D1047" s="2" t="s">
        <v>41</v>
      </c>
      <c r="E1047" s="2" t="s">
        <v>26</v>
      </c>
      <c r="F1047" s="2">
        <v>98699</v>
      </c>
      <c r="G1047" s="2">
        <v>2171</v>
      </c>
      <c r="H1047" s="2">
        <v>4819.62</v>
      </c>
      <c r="I1047" s="2">
        <v>92</v>
      </c>
      <c r="J1047" s="2">
        <v>5066.63</v>
      </c>
      <c r="K1047" s="4">
        <f t="shared" si="64"/>
        <v>2.1996170173963263E-2</v>
      </c>
      <c r="L1047" s="6">
        <f t="shared" si="65"/>
        <v>2.2199999999999998</v>
      </c>
      <c r="M1047" s="6">
        <f t="shared" si="66"/>
        <v>52.387173913043476</v>
      </c>
      <c r="N1047" s="8">
        <f t="shared" si="67"/>
        <v>1.0512509284964375</v>
      </c>
    </row>
    <row r="1048" spans="1:14" x14ac:dyDescent="0.45">
      <c r="A1048" s="12">
        <v>45309</v>
      </c>
      <c r="B1048" s="2" t="s">
        <v>20</v>
      </c>
      <c r="C1048" s="2" t="s">
        <v>24</v>
      </c>
      <c r="D1048" s="2" t="s">
        <v>21</v>
      </c>
      <c r="E1048" s="2" t="s">
        <v>22</v>
      </c>
      <c r="F1048" s="2">
        <v>172820</v>
      </c>
      <c r="G1048" s="2">
        <v>5512</v>
      </c>
      <c r="H1048" s="2">
        <v>8268</v>
      </c>
      <c r="I1048" s="2">
        <v>229</v>
      </c>
      <c r="J1048" s="2">
        <v>38190.22</v>
      </c>
      <c r="K1048" s="4">
        <f t="shared" si="64"/>
        <v>3.1894456660108782E-2</v>
      </c>
      <c r="L1048" s="6">
        <f t="shared" si="65"/>
        <v>1.5</v>
      </c>
      <c r="M1048" s="6">
        <f t="shared" si="66"/>
        <v>36.104803493449779</v>
      </c>
      <c r="N1048" s="8">
        <f t="shared" si="67"/>
        <v>4.6190396710208033</v>
      </c>
    </row>
    <row r="1049" spans="1:14" x14ac:dyDescent="0.45">
      <c r="A1049" s="12">
        <v>45626</v>
      </c>
      <c r="B1049" s="2" t="s">
        <v>15</v>
      </c>
      <c r="C1049" s="2" t="s">
        <v>28</v>
      </c>
      <c r="D1049" s="2" t="s">
        <v>21</v>
      </c>
      <c r="E1049" s="2" t="s">
        <v>22</v>
      </c>
      <c r="F1049" s="2">
        <v>61902</v>
      </c>
      <c r="G1049" s="2">
        <v>2599</v>
      </c>
      <c r="H1049" s="2">
        <v>7589.08</v>
      </c>
      <c r="I1049" s="2">
        <v>160</v>
      </c>
      <c r="J1049" s="2">
        <v>43994.91</v>
      </c>
      <c r="K1049" s="4">
        <f t="shared" si="64"/>
        <v>4.1985719362863883E-2</v>
      </c>
      <c r="L1049" s="6">
        <f t="shared" si="65"/>
        <v>2.92</v>
      </c>
      <c r="M1049" s="6">
        <f t="shared" si="66"/>
        <v>47.431750000000001</v>
      </c>
      <c r="N1049" s="8">
        <f t="shared" si="67"/>
        <v>5.7971335128895731</v>
      </c>
    </row>
    <row r="1050" spans="1:14" x14ac:dyDescent="0.45">
      <c r="A1050" s="12">
        <v>45493</v>
      </c>
      <c r="B1050" s="2" t="s">
        <v>20</v>
      </c>
      <c r="C1050" s="2" t="s">
        <v>28</v>
      </c>
      <c r="D1050" s="2" t="s">
        <v>21</v>
      </c>
      <c r="E1050" s="2" t="s">
        <v>18</v>
      </c>
      <c r="F1050" s="2">
        <v>148573</v>
      </c>
      <c r="G1050" s="2">
        <v>8706</v>
      </c>
      <c r="H1050" s="2">
        <v>15409.62</v>
      </c>
      <c r="I1050" s="2">
        <v>643</v>
      </c>
      <c r="J1050" s="2">
        <v>163989.09</v>
      </c>
      <c r="K1050" s="4">
        <f t="shared" si="64"/>
        <v>5.8597457142280228E-2</v>
      </c>
      <c r="L1050" s="6">
        <f t="shared" si="65"/>
        <v>1.77</v>
      </c>
      <c r="M1050" s="6">
        <f t="shared" si="66"/>
        <v>23.965194401244169</v>
      </c>
      <c r="N1050" s="8">
        <f t="shared" si="67"/>
        <v>10.641994416474903</v>
      </c>
    </row>
    <row r="1051" spans="1:14" x14ac:dyDescent="0.45">
      <c r="A1051" s="12">
        <v>45602</v>
      </c>
      <c r="B1051" s="2" t="s">
        <v>35</v>
      </c>
      <c r="C1051" s="2" t="s">
        <v>28</v>
      </c>
      <c r="D1051" s="2" t="s">
        <v>21</v>
      </c>
      <c r="E1051" s="2" t="s">
        <v>30</v>
      </c>
      <c r="F1051" s="2">
        <v>149654</v>
      </c>
      <c r="G1051" s="2">
        <v>6689</v>
      </c>
      <c r="H1051" s="2">
        <v>8628.81</v>
      </c>
      <c r="I1051" s="2">
        <v>262</v>
      </c>
      <c r="J1051" s="2">
        <v>10578.46</v>
      </c>
      <c r="K1051" s="4">
        <f t="shared" si="64"/>
        <v>4.4696433105697139E-2</v>
      </c>
      <c r="L1051" s="6">
        <f t="shared" si="65"/>
        <v>1.2899999999999998</v>
      </c>
      <c r="M1051" s="6">
        <f t="shared" si="66"/>
        <v>32.934389312977096</v>
      </c>
      <c r="N1051" s="8">
        <f t="shared" si="67"/>
        <v>1.2259465673713987</v>
      </c>
    </row>
    <row r="1052" spans="1:14" x14ac:dyDescent="0.45">
      <c r="A1052" s="12">
        <v>45315</v>
      </c>
      <c r="B1052" s="2" t="s">
        <v>35</v>
      </c>
      <c r="C1052" s="2" t="s">
        <v>16</v>
      </c>
      <c r="D1052" s="2" t="s">
        <v>25</v>
      </c>
      <c r="E1052" s="2" t="s">
        <v>51</v>
      </c>
      <c r="F1052" s="2">
        <v>191478</v>
      </c>
      <c r="G1052" s="2">
        <v>6414</v>
      </c>
      <c r="H1052" s="2">
        <v>10069.98</v>
      </c>
      <c r="I1052" s="2">
        <v>236</v>
      </c>
      <c r="J1052" s="2">
        <v>56534.15</v>
      </c>
      <c r="K1052" s="4">
        <f t="shared" si="64"/>
        <v>3.3497320841036571E-2</v>
      </c>
      <c r="L1052" s="6">
        <f t="shared" si="65"/>
        <v>1.5699999999999998</v>
      </c>
      <c r="M1052" s="6">
        <f t="shared" si="66"/>
        <v>42.669406779661017</v>
      </c>
      <c r="N1052" s="8">
        <f t="shared" si="67"/>
        <v>5.6141273368963995</v>
      </c>
    </row>
    <row r="1053" spans="1:14" x14ac:dyDescent="0.45">
      <c r="A1053" s="12">
        <v>45413</v>
      </c>
      <c r="B1053" s="2" t="s">
        <v>35</v>
      </c>
      <c r="C1053" s="2" t="s">
        <v>16</v>
      </c>
      <c r="D1053" s="2" t="s">
        <v>41</v>
      </c>
      <c r="E1053" s="2" t="s">
        <v>33</v>
      </c>
      <c r="F1053" s="2">
        <v>7196</v>
      </c>
      <c r="G1053" s="2">
        <v>287</v>
      </c>
      <c r="H1053" s="2">
        <v>634.27</v>
      </c>
      <c r="I1053" s="2">
        <v>10</v>
      </c>
      <c r="J1053" s="2">
        <v>693.26</v>
      </c>
      <c r="K1053" s="4">
        <f t="shared" si="64"/>
        <v>3.9883268482490269E-2</v>
      </c>
      <c r="L1053" s="6">
        <f t="shared" si="65"/>
        <v>2.21</v>
      </c>
      <c r="M1053" s="6">
        <f t="shared" si="66"/>
        <v>63.427</v>
      </c>
      <c r="N1053" s="8">
        <f t="shared" si="67"/>
        <v>1.0930045564191906</v>
      </c>
    </row>
    <row r="1054" spans="1:14" x14ac:dyDescent="0.45">
      <c r="A1054" s="12">
        <v>45610</v>
      </c>
      <c r="B1054" s="2" t="s">
        <v>15</v>
      </c>
      <c r="C1054" s="2" t="s">
        <v>38</v>
      </c>
      <c r="D1054" s="2" t="s">
        <v>25</v>
      </c>
      <c r="E1054" s="2" t="s">
        <v>51</v>
      </c>
      <c r="F1054" s="2">
        <v>30757</v>
      </c>
      <c r="G1054" s="2">
        <v>1202</v>
      </c>
      <c r="H1054" s="2">
        <v>3918.52</v>
      </c>
      <c r="I1054" s="2">
        <v>60</v>
      </c>
      <c r="J1054" s="2">
        <v>5647</v>
      </c>
      <c r="K1054" s="4">
        <f t="shared" si="64"/>
        <v>3.9080534512468706E-2</v>
      </c>
      <c r="L1054" s="6">
        <f t="shared" si="65"/>
        <v>3.26</v>
      </c>
      <c r="M1054" s="6">
        <f t="shared" si="66"/>
        <v>65.308666666666667</v>
      </c>
      <c r="N1054" s="8">
        <f t="shared" si="67"/>
        <v>1.4411053152720925</v>
      </c>
    </row>
    <row r="1055" spans="1:14" x14ac:dyDescent="0.45">
      <c r="A1055" s="12">
        <v>45393</v>
      </c>
      <c r="B1055" s="2" t="s">
        <v>15</v>
      </c>
      <c r="C1055" s="2" t="s">
        <v>38</v>
      </c>
      <c r="D1055" s="2" t="s">
        <v>25</v>
      </c>
      <c r="E1055" s="2" t="s">
        <v>33</v>
      </c>
      <c r="F1055" s="2">
        <v>17578</v>
      </c>
      <c r="G1055" s="2">
        <v>330</v>
      </c>
      <c r="H1055" s="2">
        <v>1013.1</v>
      </c>
      <c r="I1055" s="2">
        <v>20</v>
      </c>
      <c r="J1055" s="2">
        <v>3553.78</v>
      </c>
      <c r="K1055" s="4">
        <f t="shared" si="64"/>
        <v>1.8773466833541929E-2</v>
      </c>
      <c r="L1055" s="6">
        <f t="shared" si="65"/>
        <v>3.0700000000000003</v>
      </c>
      <c r="M1055" s="6">
        <f t="shared" si="66"/>
        <v>50.655000000000001</v>
      </c>
      <c r="N1055" s="8">
        <f t="shared" si="67"/>
        <v>3.5078274602704571</v>
      </c>
    </row>
    <row r="1056" spans="1:14" x14ac:dyDescent="0.45">
      <c r="A1056" s="12">
        <v>45324</v>
      </c>
      <c r="B1056" s="2" t="s">
        <v>15</v>
      </c>
      <c r="C1056" s="2" t="s">
        <v>38</v>
      </c>
      <c r="D1056" s="2" t="s">
        <v>41</v>
      </c>
      <c r="E1056" s="2" t="s">
        <v>26</v>
      </c>
      <c r="F1056" s="2">
        <v>65530</v>
      </c>
      <c r="G1056" s="2">
        <v>2018</v>
      </c>
      <c r="H1056" s="2">
        <v>5670.58</v>
      </c>
      <c r="I1056" s="2">
        <v>117</v>
      </c>
      <c r="J1056" s="2">
        <v>12114.63</v>
      </c>
      <c r="K1056" s="4">
        <f t="shared" si="64"/>
        <v>3.0795055699679535E-2</v>
      </c>
      <c r="L1056" s="6">
        <f t="shared" si="65"/>
        <v>2.81</v>
      </c>
      <c r="M1056" s="6">
        <f t="shared" si="66"/>
        <v>48.466495726495722</v>
      </c>
      <c r="N1056" s="8">
        <f t="shared" si="67"/>
        <v>2.1364005092953455</v>
      </c>
    </row>
    <row r="1057" spans="1:14" x14ac:dyDescent="0.45">
      <c r="A1057" s="12">
        <v>45553</v>
      </c>
      <c r="B1057" s="2" t="s">
        <v>20</v>
      </c>
      <c r="C1057" s="2" t="s">
        <v>16</v>
      </c>
      <c r="D1057" s="2" t="s">
        <v>29</v>
      </c>
      <c r="E1057" s="2" t="s">
        <v>22</v>
      </c>
      <c r="F1057" s="2">
        <v>89403</v>
      </c>
      <c r="G1057" s="2">
        <v>5578</v>
      </c>
      <c r="H1057" s="2">
        <v>8255.44</v>
      </c>
      <c r="I1057" s="2">
        <v>414</v>
      </c>
      <c r="J1057" s="2">
        <v>80503.149999999994</v>
      </c>
      <c r="K1057" s="4">
        <f t="shared" si="64"/>
        <v>6.239164233862398E-2</v>
      </c>
      <c r="L1057" s="6">
        <f t="shared" si="65"/>
        <v>1.48</v>
      </c>
      <c r="M1057" s="6">
        <f t="shared" si="66"/>
        <v>19.940676328502416</v>
      </c>
      <c r="N1057" s="8">
        <f t="shared" si="67"/>
        <v>9.7515274776389855</v>
      </c>
    </row>
    <row r="1058" spans="1:14" x14ac:dyDescent="0.45">
      <c r="A1058" s="12">
        <v>45452</v>
      </c>
      <c r="B1058" s="2" t="s">
        <v>20</v>
      </c>
      <c r="C1058" s="2" t="s">
        <v>28</v>
      </c>
      <c r="D1058" s="2" t="s">
        <v>41</v>
      </c>
      <c r="E1058" s="2" t="s">
        <v>54</v>
      </c>
      <c r="F1058" s="2">
        <v>161904</v>
      </c>
      <c r="G1058" s="2">
        <v>4339</v>
      </c>
      <c r="H1058" s="2">
        <v>4555.95</v>
      </c>
      <c r="I1058" s="2">
        <v>178</v>
      </c>
      <c r="J1058" s="2">
        <v>22405.85</v>
      </c>
      <c r="K1058" s="4">
        <f t="shared" si="64"/>
        <v>2.6799831999209409E-2</v>
      </c>
      <c r="L1058" s="6">
        <f t="shared" si="65"/>
        <v>1.05</v>
      </c>
      <c r="M1058" s="6">
        <f t="shared" si="66"/>
        <v>25.595224719101122</v>
      </c>
      <c r="N1058" s="8">
        <f t="shared" si="67"/>
        <v>4.9179314961753313</v>
      </c>
    </row>
    <row r="1059" spans="1:14" x14ac:dyDescent="0.45">
      <c r="A1059" s="12">
        <v>45543</v>
      </c>
      <c r="B1059" s="2" t="s">
        <v>35</v>
      </c>
      <c r="C1059" s="2" t="s">
        <v>24</v>
      </c>
      <c r="D1059" s="2" t="s">
        <v>21</v>
      </c>
      <c r="E1059" s="2" t="s">
        <v>33</v>
      </c>
      <c r="F1059" s="2">
        <v>27036</v>
      </c>
      <c r="G1059" s="2">
        <v>708</v>
      </c>
      <c r="H1059" s="2">
        <v>1182.3599999999999</v>
      </c>
      <c r="I1059" s="2">
        <v>12</v>
      </c>
      <c r="J1059" s="2">
        <v>1538.26</v>
      </c>
      <c r="K1059" s="4">
        <f t="shared" si="64"/>
        <v>2.6187305814469597E-2</v>
      </c>
      <c r="L1059" s="6">
        <f t="shared" si="65"/>
        <v>1.67</v>
      </c>
      <c r="M1059" s="6">
        <f t="shared" si="66"/>
        <v>98.529999999999987</v>
      </c>
      <c r="N1059" s="8">
        <f t="shared" si="67"/>
        <v>1.3010081531851552</v>
      </c>
    </row>
    <row r="1060" spans="1:14" x14ac:dyDescent="0.45">
      <c r="A1060" s="12">
        <v>45451</v>
      </c>
      <c r="B1060" s="2" t="s">
        <v>35</v>
      </c>
      <c r="C1060" s="2" t="s">
        <v>28</v>
      </c>
      <c r="D1060" s="2" t="s">
        <v>29</v>
      </c>
      <c r="E1060" s="2" t="s">
        <v>22</v>
      </c>
      <c r="F1060" s="2">
        <v>12712</v>
      </c>
      <c r="G1060" s="2">
        <v>212</v>
      </c>
      <c r="H1060" s="2">
        <v>360.4</v>
      </c>
      <c r="I1060" s="2">
        <v>9</v>
      </c>
      <c r="J1060" s="2">
        <v>375.03</v>
      </c>
      <c r="K1060" s="4">
        <f t="shared" si="64"/>
        <v>1.6677155443675269E-2</v>
      </c>
      <c r="L1060" s="6">
        <f t="shared" si="65"/>
        <v>1.7</v>
      </c>
      <c r="M1060" s="6">
        <f t="shared" si="66"/>
        <v>40.044444444444444</v>
      </c>
      <c r="N1060" s="8">
        <f t="shared" si="67"/>
        <v>1.0405937846836848</v>
      </c>
    </row>
    <row r="1061" spans="1:14" x14ac:dyDescent="0.45">
      <c r="A1061" s="12">
        <v>45332</v>
      </c>
      <c r="B1061" s="2" t="s">
        <v>15</v>
      </c>
      <c r="C1061" s="2" t="s">
        <v>28</v>
      </c>
      <c r="D1061" s="2" t="s">
        <v>41</v>
      </c>
      <c r="E1061" s="2" t="s">
        <v>18</v>
      </c>
      <c r="F1061" s="2">
        <v>24198</v>
      </c>
      <c r="G1061" s="2">
        <v>1214</v>
      </c>
      <c r="H1061" s="2">
        <v>1638.9</v>
      </c>
      <c r="I1061" s="2">
        <v>60</v>
      </c>
      <c r="J1061" s="2">
        <v>11611.94</v>
      </c>
      <c r="K1061" s="4">
        <f t="shared" si="64"/>
        <v>5.0169435490536408E-2</v>
      </c>
      <c r="L1061" s="6">
        <f t="shared" si="65"/>
        <v>1.35</v>
      </c>
      <c r="M1061" s="6">
        <f t="shared" si="66"/>
        <v>27.315000000000001</v>
      </c>
      <c r="N1061" s="8">
        <f t="shared" si="67"/>
        <v>7.0852034901458296</v>
      </c>
    </row>
    <row r="1062" spans="1:14" x14ac:dyDescent="0.45">
      <c r="A1062" s="12">
        <v>45504</v>
      </c>
      <c r="B1062" s="2" t="s">
        <v>15</v>
      </c>
      <c r="C1062" s="2" t="s">
        <v>38</v>
      </c>
      <c r="D1062" s="2" t="s">
        <v>29</v>
      </c>
      <c r="E1062" s="2" t="s">
        <v>51</v>
      </c>
      <c r="F1062" s="2">
        <v>80324</v>
      </c>
      <c r="G1062" s="2">
        <v>2337</v>
      </c>
      <c r="H1062" s="2">
        <v>6987.63</v>
      </c>
      <c r="I1062" s="2">
        <v>50</v>
      </c>
      <c r="J1062" s="2">
        <v>12463.37</v>
      </c>
      <c r="K1062" s="4">
        <f t="shared" si="64"/>
        <v>2.9094666600268913E-2</v>
      </c>
      <c r="L1062" s="6">
        <f t="shared" si="65"/>
        <v>2.99</v>
      </c>
      <c r="M1062" s="6">
        <f t="shared" si="66"/>
        <v>139.7526</v>
      </c>
      <c r="N1062" s="8">
        <f t="shared" si="67"/>
        <v>1.7836333635295516</v>
      </c>
    </row>
    <row r="1063" spans="1:14" x14ac:dyDescent="0.45">
      <c r="A1063" s="12">
        <v>45404</v>
      </c>
      <c r="B1063" s="2" t="s">
        <v>15</v>
      </c>
      <c r="C1063" s="2" t="s">
        <v>16</v>
      </c>
      <c r="D1063" s="2" t="s">
        <v>29</v>
      </c>
      <c r="E1063" s="2" t="s">
        <v>30</v>
      </c>
      <c r="F1063" s="2">
        <v>160525</v>
      </c>
      <c r="G1063" s="2">
        <v>6003</v>
      </c>
      <c r="H1063" s="2">
        <v>10025.01</v>
      </c>
      <c r="I1063" s="2">
        <v>106</v>
      </c>
      <c r="J1063" s="2">
        <v>12306.27</v>
      </c>
      <c r="K1063" s="4">
        <f t="shared" si="64"/>
        <v>3.7396044229870737E-2</v>
      </c>
      <c r="L1063" s="6">
        <f t="shared" si="65"/>
        <v>1.67</v>
      </c>
      <c r="M1063" s="6">
        <f t="shared" si="66"/>
        <v>94.575566037735854</v>
      </c>
      <c r="N1063" s="8">
        <f t="shared" si="67"/>
        <v>1.2275568802425134</v>
      </c>
    </row>
    <row r="1064" spans="1:14" x14ac:dyDescent="0.45">
      <c r="A1064" s="12">
        <v>45349</v>
      </c>
      <c r="B1064" s="2" t="s">
        <v>15</v>
      </c>
      <c r="C1064" s="2" t="s">
        <v>38</v>
      </c>
      <c r="D1064" s="2" t="s">
        <v>17</v>
      </c>
      <c r="E1064" s="2" t="s">
        <v>30</v>
      </c>
      <c r="F1064" s="2">
        <v>104821</v>
      </c>
      <c r="G1064" s="2">
        <v>4224</v>
      </c>
      <c r="H1064" s="2">
        <v>5744.64</v>
      </c>
      <c r="I1064" s="2">
        <v>307</v>
      </c>
      <c r="J1064" s="2">
        <v>89314.07</v>
      </c>
      <c r="K1064" s="4">
        <f t="shared" si="64"/>
        <v>4.0297268677078064E-2</v>
      </c>
      <c r="L1064" s="6">
        <f t="shared" si="65"/>
        <v>1.36</v>
      </c>
      <c r="M1064" s="6">
        <f t="shared" si="66"/>
        <v>18.712182410423456</v>
      </c>
      <c r="N1064" s="8">
        <f t="shared" si="67"/>
        <v>15.547374596145277</v>
      </c>
    </row>
    <row r="1065" spans="1:14" x14ac:dyDescent="0.45">
      <c r="A1065" s="12">
        <v>45568</v>
      </c>
      <c r="B1065" s="2" t="s">
        <v>15</v>
      </c>
      <c r="C1065" s="2" t="s">
        <v>24</v>
      </c>
      <c r="D1065" s="2" t="s">
        <v>25</v>
      </c>
      <c r="E1065" s="2" t="s">
        <v>51</v>
      </c>
      <c r="F1065" s="2">
        <v>48118</v>
      </c>
      <c r="G1065" s="2">
        <v>1616</v>
      </c>
      <c r="H1065" s="2">
        <v>5914.56</v>
      </c>
      <c r="I1065" s="2">
        <v>129</v>
      </c>
      <c r="J1065" s="2">
        <v>28604.240000000002</v>
      </c>
      <c r="K1065" s="4">
        <f t="shared" si="64"/>
        <v>3.3584105740055693E-2</v>
      </c>
      <c r="L1065" s="6">
        <f t="shared" si="65"/>
        <v>3.66</v>
      </c>
      <c r="M1065" s="6">
        <f t="shared" si="66"/>
        <v>45.849302325581398</v>
      </c>
      <c r="N1065" s="8">
        <f t="shared" si="67"/>
        <v>4.8362414110263483</v>
      </c>
    </row>
    <row r="1066" spans="1:14" x14ac:dyDescent="0.45">
      <c r="A1066" s="12">
        <v>45328</v>
      </c>
      <c r="B1066" s="2" t="s">
        <v>20</v>
      </c>
      <c r="C1066" s="2" t="s">
        <v>38</v>
      </c>
      <c r="D1066" s="2" t="s">
        <v>29</v>
      </c>
      <c r="E1066" s="2" t="s">
        <v>54</v>
      </c>
      <c r="F1066" s="2">
        <v>53709</v>
      </c>
      <c r="G1066" s="2">
        <v>2868</v>
      </c>
      <c r="H1066" s="2">
        <v>2552.52</v>
      </c>
      <c r="I1066" s="2">
        <v>222</v>
      </c>
      <c r="J1066" s="2">
        <v>47503.54</v>
      </c>
      <c r="K1066" s="4">
        <f t="shared" si="64"/>
        <v>5.3398871697480872E-2</v>
      </c>
      <c r="L1066" s="6">
        <f t="shared" si="65"/>
        <v>0.89</v>
      </c>
      <c r="M1066" s="6">
        <f t="shared" si="66"/>
        <v>11.497837837837837</v>
      </c>
      <c r="N1066" s="8">
        <f t="shared" si="67"/>
        <v>18.610447714415557</v>
      </c>
    </row>
    <row r="1067" spans="1:14" x14ac:dyDescent="0.45">
      <c r="A1067" s="12">
        <v>45336</v>
      </c>
      <c r="B1067" s="2" t="s">
        <v>15</v>
      </c>
      <c r="C1067" s="2" t="s">
        <v>38</v>
      </c>
      <c r="D1067" s="2" t="s">
        <v>25</v>
      </c>
      <c r="E1067" s="2" t="s">
        <v>22</v>
      </c>
      <c r="F1067" s="2">
        <v>25497</v>
      </c>
      <c r="G1067" s="2">
        <v>1142</v>
      </c>
      <c r="H1067" s="2">
        <v>2101.2800000000002</v>
      </c>
      <c r="I1067" s="2">
        <v>75</v>
      </c>
      <c r="J1067" s="2">
        <v>18551.009999999998</v>
      </c>
      <c r="K1067" s="4">
        <f t="shared" si="64"/>
        <v>4.4789583088206457E-2</v>
      </c>
      <c r="L1067" s="6">
        <f t="shared" si="65"/>
        <v>1.84</v>
      </c>
      <c r="M1067" s="6">
        <f t="shared" si="66"/>
        <v>28.017066666666668</v>
      </c>
      <c r="N1067" s="8">
        <f t="shared" si="67"/>
        <v>8.8284331455113065</v>
      </c>
    </row>
    <row r="1068" spans="1:14" x14ac:dyDescent="0.45">
      <c r="A1068" s="12">
        <v>45530</v>
      </c>
      <c r="B1068" s="2" t="s">
        <v>20</v>
      </c>
      <c r="C1068" s="2" t="s">
        <v>38</v>
      </c>
      <c r="D1068" s="2" t="s">
        <v>17</v>
      </c>
      <c r="E1068" s="2" t="s">
        <v>18</v>
      </c>
      <c r="F1068" s="2">
        <v>178782</v>
      </c>
      <c r="G1068" s="2">
        <v>7705</v>
      </c>
      <c r="H1068" s="2">
        <v>9862.4</v>
      </c>
      <c r="I1068" s="2">
        <v>352</v>
      </c>
      <c r="J1068" s="2">
        <v>30909.61</v>
      </c>
      <c r="K1068" s="4">
        <f t="shared" si="64"/>
        <v>4.3097179805573267E-2</v>
      </c>
      <c r="L1068" s="6">
        <f t="shared" si="65"/>
        <v>1.28</v>
      </c>
      <c r="M1068" s="6">
        <f t="shared" si="66"/>
        <v>28.018181818181816</v>
      </c>
      <c r="N1068" s="8">
        <f t="shared" si="67"/>
        <v>3.1340860236859185</v>
      </c>
    </row>
    <row r="1069" spans="1:14" x14ac:dyDescent="0.45">
      <c r="A1069" s="12">
        <v>45415</v>
      </c>
      <c r="B1069" s="2" t="s">
        <v>35</v>
      </c>
      <c r="C1069" s="2" t="s">
        <v>24</v>
      </c>
      <c r="D1069" s="2" t="s">
        <v>25</v>
      </c>
      <c r="E1069" s="2" t="s">
        <v>51</v>
      </c>
      <c r="F1069" s="2">
        <v>189221</v>
      </c>
      <c r="G1069" s="2">
        <v>7587</v>
      </c>
      <c r="H1069" s="2">
        <v>6904.17</v>
      </c>
      <c r="I1069" s="2">
        <v>80</v>
      </c>
      <c r="J1069" s="2">
        <v>2769.22</v>
      </c>
      <c r="K1069" s="4">
        <f t="shared" si="64"/>
        <v>4.0095972434349252E-2</v>
      </c>
      <c r="L1069" s="6">
        <f t="shared" si="65"/>
        <v>0.91</v>
      </c>
      <c r="M1069" s="6">
        <f t="shared" si="66"/>
        <v>86.302125000000004</v>
      </c>
      <c r="N1069" s="8">
        <f t="shared" si="67"/>
        <v>0.40109383169881385</v>
      </c>
    </row>
    <row r="1070" spans="1:14" x14ac:dyDescent="0.45">
      <c r="A1070" s="12">
        <v>45652</v>
      </c>
      <c r="B1070" s="2" t="s">
        <v>35</v>
      </c>
      <c r="C1070" s="2" t="s">
        <v>16</v>
      </c>
      <c r="D1070" s="2" t="s">
        <v>17</v>
      </c>
      <c r="E1070" s="2" t="s">
        <v>30</v>
      </c>
      <c r="F1070" s="2">
        <v>138704</v>
      </c>
      <c r="G1070" s="2">
        <v>1803</v>
      </c>
      <c r="H1070" s="2">
        <v>1550.58</v>
      </c>
      <c r="I1070" s="2">
        <v>119</v>
      </c>
      <c r="J1070" s="2">
        <v>10297.42</v>
      </c>
      <c r="K1070" s="4">
        <f t="shared" si="64"/>
        <v>1.2998904141192756E-2</v>
      </c>
      <c r="L1070" s="6">
        <f t="shared" si="65"/>
        <v>0.86</v>
      </c>
      <c r="M1070" s="6">
        <f t="shared" si="66"/>
        <v>13.030084033613445</v>
      </c>
      <c r="N1070" s="8">
        <f t="shared" si="67"/>
        <v>6.6410117504417707</v>
      </c>
    </row>
    <row r="1071" spans="1:14" x14ac:dyDescent="0.45">
      <c r="A1071" s="12">
        <v>45573</v>
      </c>
      <c r="B1071" s="2" t="s">
        <v>15</v>
      </c>
      <c r="C1071" s="2" t="s">
        <v>24</v>
      </c>
      <c r="D1071" s="2" t="s">
        <v>21</v>
      </c>
      <c r="E1071" s="2" t="s">
        <v>22</v>
      </c>
      <c r="F1071" s="2">
        <v>120475</v>
      </c>
      <c r="G1071" s="2">
        <v>7794</v>
      </c>
      <c r="H1071" s="2">
        <v>6079.32</v>
      </c>
      <c r="I1071" s="2">
        <v>530</v>
      </c>
      <c r="J1071" s="2">
        <v>143639.1</v>
      </c>
      <c r="K1071" s="4">
        <f t="shared" si="64"/>
        <v>6.4693919900394276E-2</v>
      </c>
      <c r="L1071" s="6">
        <f t="shared" si="65"/>
        <v>0.77999999999999992</v>
      </c>
      <c r="M1071" s="6">
        <f t="shared" si="66"/>
        <v>11.470415094339621</v>
      </c>
      <c r="N1071" s="8">
        <f t="shared" si="67"/>
        <v>23.627494522413691</v>
      </c>
    </row>
    <row r="1072" spans="1:14" x14ac:dyDescent="0.45">
      <c r="A1072" s="12">
        <v>45523</v>
      </c>
      <c r="B1072" s="2" t="s">
        <v>15</v>
      </c>
      <c r="C1072" s="2" t="s">
        <v>28</v>
      </c>
      <c r="D1072" s="2" t="s">
        <v>25</v>
      </c>
      <c r="E1072" s="2" t="s">
        <v>30</v>
      </c>
      <c r="F1072" s="2">
        <v>125019</v>
      </c>
      <c r="G1072" s="2">
        <v>8251</v>
      </c>
      <c r="H1072" s="2">
        <v>31106.27</v>
      </c>
      <c r="I1072" s="2">
        <v>609</v>
      </c>
      <c r="J1072" s="2">
        <v>135443.82</v>
      </c>
      <c r="K1072" s="4">
        <f t="shared" si="64"/>
        <v>6.5997968308817059E-2</v>
      </c>
      <c r="L1072" s="6">
        <f t="shared" si="65"/>
        <v>3.77</v>
      </c>
      <c r="M1072" s="6">
        <f t="shared" si="66"/>
        <v>51.077619047619045</v>
      </c>
      <c r="N1072" s="8">
        <f t="shared" si="67"/>
        <v>4.354228906262307</v>
      </c>
    </row>
    <row r="1073" spans="1:14" x14ac:dyDescent="0.45">
      <c r="A1073" s="12">
        <v>45637</v>
      </c>
      <c r="B1073" s="2" t="s">
        <v>35</v>
      </c>
      <c r="C1073" s="2" t="s">
        <v>16</v>
      </c>
      <c r="D1073" s="2" t="s">
        <v>21</v>
      </c>
      <c r="E1073" s="2" t="s">
        <v>26</v>
      </c>
      <c r="F1073" s="2">
        <v>198775</v>
      </c>
      <c r="G1073" s="2">
        <v>3637</v>
      </c>
      <c r="H1073" s="2">
        <v>7237.63</v>
      </c>
      <c r="I1073" s="2">
        <v>235</v>
      </c>
      <c r="J1073" s="2">
        <v>18520.23</v>
      </c>
      <c r="K1073" s="4">
        <f t="shared" si="64"/>
        <v>1.8297069550999873E-2</v>
      </c>
      <c r="L1073" s="6">
        <f t="shared" si="65"/>
        <v>1.99</v>
      </c>
      <c r="M1073" s="6">
        <f t="shared" si="66"/>
        <v>30.798425531914894</v>
      </c>
      <c r="N1073" s="8">
        <f t="shared" si="67"/>
        <v>2.5588804622507642</v>
      </c>
    </row>
    <row r="1074" spans="1:14" x14ac:dyDescent="0.45">
      <c r="A1074" s="12">
        <v>45296</v>
      </c>
      <c r="B1074" s="2" t="s">
        <v>20</v>
      </c>
      <c r="C1074" s="2" t="s">
        <v>24</v>
      </c>
      <c r="D1074" s="2" t="s">
        <v>21</v>
      </c>
      <c r="E1074" s="2" t="s">
        <v>54</v>
      </c>
      <c r="F1074" s="2">
        <v>52059</v>
      </c>
      <c r="G1074" s="2">
        <v>2956</v>
      </c>
      <c r="H1074" s="2">
        <v>1684.92</v>
      </c>
      <c r="I1074" s="2">
        <v>29</v>
      </c>
      <c r="J1074" s="2">
        <v>5633.14</v>
      </c>
      <c r="K1074" s="4">
        <f t="shared" si="64"/>
        <v>5.6781728423519466E-2</v>
      </c>
      <c r="L1074" s="6">
        <f t="shared" si="65"/>
        <v>0.57000000000000006</v>
      </c>
      <c r="M1074" s="6">
        <f t="shared" si="66"/>
        <v>58.100689655172417</v>
      </c>
      <c r="N1074" s="8">
        <f t="shared" si="67"/>
        <v>3.3432685231346295</v>
      </c>
    </row>
    <row r="1075" spans="1:14" x14ac:dyDescent="0.45">
      <c r="A1075" s="12">
        <v>45443</v>
      </c>
      <c r="B1075" s="2" t="s">
        <v>15</v>
      </c>
      <c r="C1075" s="2" t="s">
        <v>38</v>
      </c>
      <c r="D1075" s="2" t="s">
        <v>29</v>
      </c>
      <c r="E1075" s="2" t="s">
        <v>26</v>
      </c>
      <c r="F1075" s="2">
        <v>183373</v>
      </c>
      <c r="G1075" s="2">
        <v>7169</v>
      </c>
      <c r="H1075" s="2">
        <v>11111.95</v>
      </c>
      <c r="I1075" s="2">
        <v>342</v>
      </c>
      <c r="J1075" s="2">
        <v>18314.28</v>
      </c>
      <c r="K1075" s="4">
        <f t="shared" si="64"/>
        <v>3.9095177588848957E-2</v>
      </c>
      <c r="L1075" s="6">
        <f t="shared" si="65"/>
        <v>1.55</v>
      </c>
      <c r="M1075" s="6">
        <f t="shared" si="66"/>
        <v>32.491081871345031</v>
      </c>
      <c r="N1075" s="8">
        <f t="shared" si="67"/>
        <v>1.6481607638623281</v>
      </c>
    </row>
    <row r="1076" spans="1:14" x14ac:dyDescent="0.45">
      <c r="A1076" s="12">
        <v>45548</v>
      </c>
      <c r="B1076" s="2" t="s">
        <v>35</v>
      </c>
      <c r="C1076" s="2" t="s">
        <v>16</v>
      </c>
      <c r="D1076" s="2" t="s">
        <v>41</v>
      </c>
      <c r="E1076" s="2" t="s">
        <v>26</v>
      </c>
      <c r="F1076" s="2">
        <v>114844</v>
      </c>
      <c r="G1076" s="2">
        <v>3307</v>
      </c>
      <c r="H1076" s="2">
        <v>6944.7</v>
      </c>
      <c r="I1076" s="2">
        <v>123</v>
      </c>
      <c r="J1076" s="2">
        <v>36552.89</v>
      </c>
      <c r="K1076" s="4">
        <f t="shared" si="64"/>
        <v>2.8795583574239839E-2</v>
      </c>
      <c r="L1076" s="6">
        <f t="shared" si="65"/>
        <v>2.1</v>
      </c>
      <c r="M1076" s="6">
        <f t="shared" si="66"/>
        <v>56.460975609756098</v>
      </c>
      <c r="N1076" s="8">
        <f t="shared" si="67"/>
        <v>5.2634224660532496</v>
      </c>
    </row>
    <row r="1077" spans="1:14" x14ac:dyDescent="0.45">
      <c r="A1077" s="12">
        <v>45531</v>
      </c>
      <c r="B1077" s="2" t="s">
        <v>35</v>
      </c>
      <c r="C1077" s="2" t="s">
        <v>16</v>
      </c>
      <c r="D1077" s="2" t="s">
        <v>41</v>
      </c>
      <c r="E1077" s="2" t="s">
        <v>26</v>
      </c>
      <c r="F1077" s="2">
        <v>53865</v>
      </c>
      <c r="G1077" s="2">
        <v>1098</v>
      </c>
      <c r="H1077" s="2">
        <v>1405.44</v>
      </c>
      <c r="I1077" s="2">
        <v>67</v>
      </c>
      <c r="J1077" s="2">
        <v>2545.35</v>
      </c>
      <c r="K1077" s="4">
        <f t="shared" si="64"/>
        <v>2.0384294068504595E-2</v>
      </c>
      <c r="L1077" s="6">
        <f t="shared" si="65"/>
        <v>1.28</v>
      </c>
      <c r="M1077" s="6">
        <f t="shared" si="66"/>
        <v>20.976716417910449</v>
      </c>
      <c r="N1077" s="8">
        <f t="shared" si="67"/>
        <v>1.8110698428961747</v>
      </c>
    </row>
    <row r="1078" spans="1:14" x14ac:dyDescent="0.45">
      <c r="A1078" s="12">
        <v>45298</v>
      </c>
      <c r="B1078" s="2" t="s">
        <v>15</v>
      </c>
      <c r="C1078" s="2" t="s">
        <v>24</v>
      </c>
      <c r="D1078" s="2" t="s">
        <v>41</v>
      </c>
      <c r="E1078" s="2" t="s">
        <v>30</v>
      </c>
      <c r="F1078" s="2">
        <v>25080</v>
      </c>
      <c r="G1078" s="2">
        <v>1113</v>
      </c>
      <c r="H1078" s="2">
        <v>2916.06</v>
      </c>
      <c r="I1078" s="2">
        <v>49</v>
      </c>
      <c r="J1078" s="2">
        <v>2232.61</v>
      </c>
      <c r="K1078" s="4">
        <f t="shared" si="64"/>
        <v>4.4377990430622009E-2</v>
      </c>
      <c r="L1078" s="6">
        <f t="shared" si="65"/>
        <v>2.62</v>
      </c>
      <c r="M1078" s="6">
        <f t="shared" si="66"/>
        <v>59.511428571428567</v>
      </c>
      <c r="N1078" s="8">
        <f t="shared" si="67"/>
        <v>0.76562553582573756</v>
      </c>
    </row>
    <row r="1079" spans="1:14" x14ac:dyDescent="0.45">
      <c r="A1079" s="12">
        <v>45485</v>
      </c>
      <c r="B1079" s="2" t="s">
        <v>20</v>
      </c>
      <c r="C1079" s="2" t="s">
        <v>16</v>
      </c>
      <c r="D1079" s="2" t="s">
        <v>41</v>
      </c>
      <c r="E1079" s="2" t="s">
        <v>51</v>
      </c>
      <c r="F1079" s="2">
        <v>95853</v>
      </c>
      <c r="G1079" s="2">
        <v>4658</v>
      </c>
      <c r="H1079" s="2">
        <v>1443.98</v>
      </c>
      <c r="I1079" s="2">
        <v>92</v>
      </c>
      <c r="J1079" s="2">
        <v>27317.08</v>
      </c>
      <c r="K1079" s="4">
        <f t="shared" si="64"/>
        <v>4.8595244801936298E-2</v>
      </c>
      <c r="L1079" s="6">
        <f t="shared" si="65"/>
        <v>0.31</v>
      </c>
      <c r="M1079" s="6">
        <f t="shared" si="66"/>
        <v>15.695434782608697</v>
      </c>
      <c r="N1079" s="8">
        <f t="shared" si="67"/>
        <v>18.917907450241692</v>
      </c>
    </row>
    <row r="1080" spans="1:14" x14ac:dyDescent="0.45">
      <c r="A1080" s="12">
        <v>45438</v>
      </c>
      <c r="B1080" s="2" t="s">
        <v>15</v>
      </c>
      <c r="C1080" s="2" t="s">
        <v>24</v>
      </c>
      <c r="D1080" s="2" t="s">
        <v>29</v>
      </c>
      <c r="E1080" s="2" t="s">
        <v>33</v>
      </c>
      <c r="F1080" s="2">
        <v>27593</v>
      </c>
      <c r="G1080" s="2">
        <v>896</v>
      </c>
      <c r="H1080" s="2">
        <v>2141.44</v>
      </c>
      <c r="I1080" s="2">
        <v>48</v>
      </c>
      <c r="J1080" s="2">
        <v>8087.57</v>
      </c>
      <c r="K1080" s="4">
        <f t="shared" si="64"/>
        <v>3.2472003769071868E-2</v>
      </c>
      <c r="L1080" s="6">
        <f t="shared" si="65"/>
        <v>2.39</v>
      </c>
      <c r="M1080" s="6">
        <f t="shared" si="66"/>
        <v>44.613333333333337</v>
      </c>
      <c r="N1080" s="8">
        <f t="shared" si="67"/>
        <v>3.7766969889420201</v>
      </c>
    </row>
    <row r="1081" spans="1:14" x14ac:dyDescent="0.45">
      <c r="A1081" s="12">
        <v>45546</v>
      </c>
      <c r="B1081" s="2" t="s">
        <v>35</v>
      </c>
      <c r="C1081" s="2" t="s">
        <v>24</v>
      </c>
      <c r="D1081" s="2" t="s">
        <v>21</v>
      </c>
      <c r="E1081" s="2" t="s">
        <v>26</v>
      </c>
      <c r="F1081" s="2">
        <v>34949</v>
      </c>
      <c r="G1081" s="2">
        <v>1324</v>
      </c>
      <c r="H1081" s="2">
        <v>2369.96</v>
      </c>
      <c r="I1081" s="2">
        <v>86</v>
      </c>
      <c r="J1081" s="2">
        <v>9084.2199999999993</v>
      </c>
      <c r="K1081" s="4">
        <f t="shared" si="64"/>
        <v>3.7883773498526424E-2</v>
      </c>
      <c r="L1081" s="6">
        <f t="shared" si="65"/>
        <v>1.79</v>
      </c>
      <c r="M1081" s="6">
        <f t="shared" si="66"/>
        <v>27.557674418604652</v>
      </c>
      <c r="N1081" s="8">
        <f t="shared" si="67"/>
        <v>3.8330689125554858</v>
      </c>
    </row>
    <row r="1082" spans="1:14" x14ac:dyDescent="0.45">
      <c r="A1082" s="12">
        <v>45429</v>
      </c>
      <c r="B1082" s="2" t="s">
        <v>20</v>
      </c>
      <c r="C1082" s="2" t="s">
        <v>28</v>
      </c>
      <c r="D1082" s="2" t="s">
        <v>41</v>
      </c>
      <c r="E1082" s="2" t="s">
        <v>26</v>
      </c>
      <c r="F1082" s="2">
        <v>72986</v>
      </c>
      <c r="G1082" s="2">
        <v>3379</v>
      </c>
      <c r="H1082" s="2">
        <v>5980.83</v>
      </c>
      <c r="I1082" s="2">
        <v>188</v>
      </c>
      <c r="J1082" s="2">
        <v>17387.72</v>
      </c>
      <c r="K1082" s="4">
        <f t="shared" si="64"/>
        <v>4.6296550023292138E-2</v>
      </c>
      <c r="L1082" s="6">
        <f t="shared" si="65"/>
        <v>1.77</v>
      </c>
      <c r="M1082" s="6">
        <f t="shared" si="66"/>
        <v>31.812925531914892</v>
      </c>
      <c r="N1082" s="8">
        <f t="shared" si="67"/>
        <v>2.9072419714320592</v>
      </c>
    </row>
    <row r="1083" spans="1:14" x14ac:dyDescent="0.45">
      <c r="A1083" s="12">
        <v>45324</v>
      </c>
      <c r="B1083" s="2" t="s">
        <v>15</v>
      </c>
      <c r="C1083" s="2" t="s">
        <v>28</v>
      </c>
      <c r="D1083" s="2" t="s">
        <v>25</v>
      </c>
      <c r="E1083" s="2" t="s">
        <v>18</v>
      </c>
      <c r="F1083" s="2">
        <v>149848</v>
      </c>
      <c r="G1083" s="2">
        <v>9290</v>
      </c>
      <c r="H1083" s="2">
        <v>18301.3</v>
      </c>
      <c r="I1083" s="2">
        <v>537</v>
      </c>
      <c r="J1083" s="2">
        <v>106414.01</v>
      </c>
      <c r="K1083" s="4">
        <f t="shared" si="64"/>
        <v>6.1996156104852915E-2</v>
      </c>
      <c r="L1083" s="6">
        <f t="shared" si="65"/>
        <v>1.97</v>
      </c>
      <c r="M1083" s="6">
        <f t="shared" si="66"/>
        <v>34.080633147113595</v>
      </c>
      <c r="N1083" s="8">
        <f t="shared" si="67"/>
        <v>5.8145601678569285</v>
      </c>
    </row>
    <row r="1084" spans="1:14" x14ac:dyDescent="0.45">
      <c r="A1084" s="12">
        <v>45538</v>
      </c>
      <c r="B1084" s="2" t="s">
        <v>15</v>
      </c>
      <c r="C1084" s="2" t="s">
        <v>24</v>
      </c>
      <c r="D1084" s="2" t="s">
        <v>29</v>
      </c>
      <c r="E1084" s="2" t="s">
        <v>54</v>
      </c>
      <c r="F1084" s="2">
        <v>143235</v>
      </c>
      <c r="G1084" s="2">
        <v>3981</v>
      </c>
      <c r="H1084" s="2">
        <v>7285.23</v>
      </c>
      <c r="I1084" s="2">
        <v>125</v>
      </c>
      <c r="J1084" s="2">
        <v>27104.75</v>
      </c>
      <c r="K1084" s="4">
        <f t="shared" si="64"/>
        <v>2.7793486228924493E-2</v>
      </c>
      <c r="L1084" s="6">
        <f t="shared" si="65"/>
        <v>1.8299999999999998</v>
      </c>
      <c r="M1084" s="6">
        <f t="shared" si="66"/>
        <v>58.281839999999995</v>
      </c>
      <c r="N1084" s="8">
        <f t="shared" si="67"/>
        <v>3.7205071082175856</v>
      </c>
    </row>
    <row r="1085" spans="1:14" x14ac:dyDescent="0.45">
      <c r="A1085" s="12">
        <v>45333</v>
      </c>
      <c r="B1085" s="2" t="s">
        <v>20</v>
      </c>
      <c r="C1085" s="2" t="s">
        <v>24</v>
      </c>
      <c r="D1085" s="2" t="s">
        <v>21</v>
      </c>
      <c r="E1085" s="2" t="s">
        <v>51</v>
      </c>
      <c r="F1085" s="2">
        <v>157625</v>
      </c>
      <c r="G1085" s="2">
        <v>9457</v>
      </c>
      <c r="H1085" s="2">
        <v>4539.3599999999997</v>
      </c>
      <c r="I1085" s="2">
        <v>534</v>
      </c>
      <c r="J1085" s="2">
        <v>147520.79999999999</v>
      </c>
      <c r="K1085" s="4">
        <f t="shared" si="64"/>
        <v>5.9996827914353686E-2</v>
      </c>
      <c r="L1085" s="6">
        <f t="shared" si="65"/>
        <v>0.48</v>
      </c>
      <c r="M1085" s="6">
        <f t="shared" si="66"/>
        <v>8.5006741573033704</v>
      </c>
      <c r="N1085" s="8">
        <f t="shared" si="67"/>
        <v>32.498149518874911</v>
      </c>
    </row>
    <row r="1086" spans="1:14" x14ac:dyDescent="0.45">
      <c r="A1086" s="12">
        <v>45624</v>
      </c>
      <c r="B1086" s="2" t="s">
        <v>35</v>
      </c>
      <c r="C1086" s="2" t="s">
        <v>16</v>
      </c>
      <c r="D1086" s="2" t="s">
        <v>17</v>
      </c>
      <c r="E1086" s="2" t="s">
        <v>51</v>
      </c>
      <c r="F1086" s="2">
        <v>172816</v>
      </c>
      <c r="G1086" s="2">
        <v>3819</v>
      </c>
      <c r="H1086" s="2">
        <v>8172.66</v>
      </c>
      <c r="I1086" s="2">
        <v>193</v>
      </c>
      <c r="J1086" s="2">
        <v>41926.28</v>
      </c>
      <c r="K1086" s="4">
        <f t="shared" si="64"/>
        <v>2.2098648273308028E-2</v>
      </c>
      <c r="L1086" s="6">
        <f t="shared" si="65"/>
        <v>2.14</v>
      </c>
      <c r="M1086" s="6">
        <f t="shared" si="66"/>
        <v>42.345388601036269</v>
      </c>
      <c r="N1086" s="8">
        <f t="shared" si="67"/>
        <v>5.1300653642755236</v>
      </c>
    </row>
    <row r="1087" spans="1:14" x14ac:dyDescent="0.45">
      <c r="A1087" s="12">
        <v>45640</v>
      </c>
      <c r="B1087" s="2" t="s">
        <v>20</v>
      </c>
      <c r="C1087" s="2" t="s">
        <v>24</v>
      </c>
      <c r="D1087" s="2" t="s">
        <v>41</v>
      </c>
      <c r="E1087" s="2" t="s">
        <v>22</v>
      </c>
      <c r="F1087" s="2">
        <v>56529</v>
      </c>
      <c r="G1087" s="2">
        <v>4494</v>
      </c>
      <c r="H1087" s="2">
        <v>6785.94</v>
      </c>
      <c r="I1087" s="2">
        <v>104</v>
      </c>
      <c r="J1087" s="2">
        <v>9525.68</v>
      </c>
      <c r="K1087" s="4">
        <f t="shared" si="64"/>
        <v>7.9499018203046223E-2</v>
      </c>
      <c r="L1087" s="6">
        <f t="shared" si="65"/>
        <v>1.51</v>
      </c>
      <c r="M1087" s="6">
        <f t="shared" si="66"/>
        <v>65.24942307692308</v>
      </c>
      <c r="N1087" s="8">
        <f t="shared" si="67"/>
        <v>1.4037377283029324</v>
      </c>
    </row>
    <row r="1088" spans="1:14" x14ac:dyDescent="0.45">
      <c r="A1088" s="12">
        <v>45395</v>
      </c>
      <c r="B1088" s="2" t="s">
        <v>20</v>
      </c>
      <c r="C1088" s="2" t="s">
        <v>28</v>
      </c>
      <c r="D1088" s="2" t="s">
        <v>21</v>
      </c>
      <c r="E1088" s="2" t="s">
        <v>26</v>
      </c>
      <c r="F1088" s="2">
        <v>176030</v>
      </c>
      <c r="G1088" s="2">
        <v>13079</v>
      </c>
      <c r="H1088" s="2">
        <v>19749.29</v>
      </c>
      <c r="I1088" s="2">
        <v>200</v>
      </c>
      <c r="J1088" s="2">
        <v>41247.07</v>
      </c>
      <c r="K1088" s="4">
        <f t="shared" si="64"/>
        <v>7.4299835255354205E-2</v>
      </c>
      <c r="L1088" s="6">
        <f t="shared" si="65"/>
        <v>1.51</v>
      </c>
      <c r="M1088" s="6">
        <f t="shared" si="66"/>
        <v>98.74645000000001</v>
      </c>
      <c r="N1088" s="8">
        <f t="shared" si="67"/>
        <v>2.0885343219933477</v>
      </c>
    </row>
    <row r="1089" spans="1:14" x14ac:dyDescent="0.45">
      <c r="A1089" s="12">
        <v>45599</v>
      </c>
      <c r="B1089" s="2" t="s">
        <v>35</v>
      </c>
      <c r="C1089" s="2" t="s">
        <v>16</v>
      </c>
      <c r="D1089" s="2" t="s">
        <v>29</v>
      </c>
      <c r="E1089" s="2" t="s">
        <v>33</v>
      </c>
      <c r="F1089" s="2">
        <v>128355</v>
      </c>
      <c r="G1089" s="2">
        <v>1758</v>
      </c>
      <c r="H1089" s="2">
        <v>3269.88</v>
      </c>
      <c r="I1089" s="2">
        <v>122</v>
      </c>
      <c r="J1089" s="2">
        <v>6205.33</v>
      </c>
      <c r="K1089" s="4">
        <f t="shared" si="64"/>
        <v>1.369638892135094E-2</v>
      </c>
      <c r="L1089" s="6">
        <f t="shared" si="65"/>
        <v>1.86</v>
      </c>
      <c r="M1089" s="6">
        <f t="shared" si="66"/>
        <v>26.802295081967213</v>
      </c>
      <c r="N1089" s="8">
        <f t="shared" si="67"/>
        <v>1.8977240755012414</v>
      </c>
    </row>
    <row r="1090" spans="1:14" x14ac:dyDescent="0.45">
      <c r="A1090" s="12">
        <v>45560</v>
      </c>
      <c r="B1090" s="2" t="s">
        <v>15</v>
      </c>
      <c r="C1090" s="2" t="s">
        <v>24</v>
      </c>
      <c r="D1090" s="2" t="s">
        <v>17</v>
      </c>
      <c r="E1090" s="2" t="s">
        <v>26</v>
      </c>
      <c r="F1090" s="2">
        <v>14096</v>
      </c>
      <c r="G1090" s="2">
        <v>476</v>
      </c>
      <c r="H1090" s="2">
        <v>614.04</v>
      </c>
      <c r="I1090" s="2">
        <v>34</v>
      </c>
      <c r="J1090" s="2">
        <v>3175.83</v>
      </c>
      <c r="K1090" s="4">
        <f t="shared" si="64"/>
        <v>3.3768444948921679E-2</v>
      </c>
      <c r="L1090" s="6">
        <f t="shared" si="65"/>
        <v>1.2899999999999998</v>
      </c>
      <c r="M1090" s="6">
        <f t="shared" si="66"/>
        <v>18.059999999999999</v>
      </c>
      <c r="N1090" s="8">
        <f t="shared" si="67"/>
        <v>5.1720246238030096</v>
      </c>
    </row>
    <row r="1091" spans="1:14" x14ac:dyDescent="0.45">
      <c r="A1091" s="12">
        <v>45384</v>
      </c>
      <c r="B1091" s="2" t="s">
        <v>15</v>
      </c>
      <c r="C1091" s="2" t="s">
        <v>24</v>
      </c>
      <c r="D1091" s="2" t="s">
        <v>29</v>
      </c>
      <c r="E1091" s="2" t="s">
        <v>26</v>
      </c>
      <c r="F1091" s="2">
        <v>31855</v>
      </c>
      <c r="G1091" s="2">
        <v>1411</v>
      </c>
      <c r="H1091" s="2">
        <v>2398.6999999999998</v>
      </c>
      <c r="I1091" s="2">
        <v>60</v>
      </c>
      <c r="J1091" s="2">
        <v>3201.45</v>
      </c>
      <c r="K1091" s="4">
        <f t="shared" ref="K1091:K1154" si="68" xml:space="preserve"> G1091 / F1091</f>
        <v>4.4294459268560668E-2</v>
      </c>
      <c r="L1091" s="6">
        <f t="shared" ref="L1091:L1154" si="69">H1091/G1091</f>
        <v>1.7</v>
      </c>
      <c r="M1091" s="6">
        <f t="shared" ref="M1091:M1154" si="70">H1091/I1091</f>
        <v>39.978333333333332</v>
      </c>
      <c r="N1091" s="8">
        <f t="shared" ref="N1091:N1154" si="71">J1091/H1091</f>
        <v>1.3346604410722476</v>
      </c>
    </row>
    <row r="1092" spans="1:14" x14ac:dyDescent="0.45">
      <c r="A1092" s="12">
        <v>45341</v>
      </c>
      <c r="B1092" s="2" t="s">
        <v>15</v>
      </c>
      <c r="C1092" s="2" t="s">
        <v>16</v>
      </c>
      <c r="D1092" s="2" t="s">
        <v>21</v>
      </c>
      <c r="E1092" s="2" t="s">
        <v>18</v>
      </c>
      <c r="F1092" s="2">
        <v>95218</v>
      </c>
      <c r="G1092" s="2">
        <v>2199</v>
      </c>
      <c r="H1092" s="2">
        <v>5255.61</v>
      </c>
      <c r="I1092" s="2">
        <v>103</v>
      </c>
      <c r="J1092" s="2">
        <v>17399.72</v>
      </c>
      <c r="K1092" s="4">
        <f t="shared" si="68"/>
        <v>2.3094372912684576E-2</v>
      </c>
      <c r="L1092" s="6">
        <f t="shared" si="69"/>
        <v>2.3899999999999997</v>
      </c>
      <c r="M1092" s="6">
        <f t="shared" si="70"/>
        <v>51.02533980582524</v>
      </c>
      <c r="N1092" s="8">
        <f t="shared" si="71"/>
        <v>3.3106946672222639</v>
      </c>
    </row>
    <row r="1093" spans="1:14" x14ac:dyDescent="0.45">
      <c r="A1093" s="12">
        <v>45328</v>
      </c>
      <c r="B1093" s="2" t="s">
        <v>15</v>
      </c>
      <c r="C1093" s="2" t="s">
        <v>28</v>
      </c>
      <c r="D1093" s="2" t="s">
        <v>41</v>
      </c>
      <c r="E1093" s="2" t="s">
        <v>30</v>
      </c>
      <c r="F1093" s="2">
        <v>102409</v>
      </c>
      <c r="G1093" s="2">
        <v>3389</v>
      </c>
      <c r="H1093" s="2">
        <v>12132.62</v>
      </c>
      <c r="I1093" s="2">
        <v>149</v>
      </c>
      <c r="J1093" s="2">
        <v>31253.87</v>
      </c>
      <c r="K1093" s="4">
        <f t="shared" si="68"/>
        <v>3.3092794578601488E-2</v>
      </c>
      <c r="L1093" s="6">
        <f t="shared" si="69"/>
        <v>3.58</v>
      </c>
      <c r="M1093" s="6">
        <f t="shared" si="70"/>
        <v>81.426979865771813</v>
      </c>
      <c r="N1093" s="8">
        <f t="shared" si="71"/>
        <v>2.5760198539144881</v>
      </c>
    </row>
    <row r="1094" spans="1:14" x14ac:dyDescent="0.45">
      <c r="A1094" s="12">
        <v>45547</v>
      </c>
      <c r="B1094" s="2" t="s">
        <v>15</v>
      </c>
      <c r="C1094" s="2" t="s">
        <v>16</v>
      </c>
      <c r="D1094" s="2" t="s">
        <v>41</v>
      </c>
      <c r="E1094" s="2" t="s">
        <v>51</v>
      </c>
      <c r="F1094" s="2">
        <v>31049</v>
      </c>
      <c r="G1094" s="2">
        <v>1021</v>
      </c>
      <c r="H1094" s="2">
        <v>3379.51</v>
      </c>
      <c r="I1094" s="2">
        <v>31</v>
      </c>
      <c r="J1094" s="2">
        <v>7117.65</v>
      </c>
      <c r="K1094" s="4">
        <f t="shared" si="68"/>
        <v>3.2883506715192114E-2</v>
      </c>
      <c r="L1094" s="6">
        <f t="shared" si="69"/>
        <v>3.31</v>
      </c>
      <c r="M1094" s="6">
        <f t="shared" si="70"/>
        <v>109.01645161290324</v>
      </c>
      <c r="N1094" s="8">
        <f t="shared" si="71"/>
        <v>2.1061189344017324</v>
      </c>
    </row>
    <row r="1095" spans="1:14" x14ac:dyDescent="0.45">
      <c r="A1095" s="12">
        <v>45554</v>
      </c>
      <c r="B1095" s="2" t="s">
        <v>20</v>
      </c>
      <c r="C1095" s="2" t="s">
        <v>16</v>
      </c>
      <c r="D1095" s="2" t="s">
        <v>25</v>
      </c>
      <c r="E1095" s="2" t="s">
        <v>30</v>
      </c>
      <c r="F1095" s="2">
        <v>129077</v>
      </c>
      <c r="G1095" s="2">
        <v>4065</v>
      </c>
      <c r="H1095" s="2">
        <v>4959.3</v>
      </c>
      <c r="I1095" s="2">
        <v>295</v>
      </c>
      <c r="J1095" s="2">
        <v>44193.52</v>
      </c>
      <c r="K1095" s="4">
        <f t="shared" si="68"/>
        <v>3.1492829861245616E-2</v>
      </c>
      <c r="L1095" s="6">
        <f t="shared" si="69"/>
        <v>1.22</v>
      </c>
      <c r="M1095" s="6">
        <f t="shared" si="70"/>
        <v>16.811186440677968</v>
      </c>
      <c r="N1095" s="8">
        <f t="shared" si="71"/>
        <v>8.9112415058576797</v>
      </c>
    </row>
    <row r="1096" spans="1:14" x14ac:dyDescent="0.45">
      <c r="A1096" s="12">
        <v>45555</v>
      </c>
      <c r="B1096" s="2" t="s">
        <v>35</v>
      </c>
      <c r="C1096" s="2" t="s">
        <v>28</v>
      </c>
      <c r="D1096" s="2" t="s">
        <v>41</v>
      </c>
      <c r="E1096" s="2" t="s">
        <v>30</v>
      </c>
      <c r="F1096" s="2">
        <v>166874</v>
      </c>
      <c r="G1096" s="2">
        <v>6641</v>
      </c>
      <c r="H1096" s="2">
        <v>4515.88</v>
      </c>
      <c r="I1096" s="2">
        <v>200</v>
      </c>
      <c r="J1096" s="2">
        <v>17225.95</v>
      </c>
      <c r="K1096" s="4">
        <f t="shared" si="68"/>
        <v>3.9796493162505844E-2</v>
      </c>
      <c r="L1096" s="6">
        <f t="shared" si="69"/>
        <v>0.68</v>
      </c>
      <c r="M1096" s="6">
        <f t="shared" si="70"/>
        <v>22.5794</v>
      </c>
      <c r="N1096" s="8">
        <f t="shared" si="71"/>
        <v>3.8145278439639672</v>
      </c>
    </row>
    <row r="1097" spans="1:14" x14ac:dyDescent="0.45">
      <c r="A1097" s="12">
        <v>45335</v>
      </c>
      <c r="B1097" s="2" t="s">
        <v>15</v>
      </c>
      <c r="C1097" s="2" t="s">
        <v>16</v>
      </c>
      <c r="D1097" s="2" t="s">
        <v>29</v>
      </c>
      <c r="E1097" s="2" t="s">
        <v>54</v>
      </c>
      <c r="F1097" s="2">
        <v>153865</v>
      </c>
      <c r="G1097" s="2">
        <v>5785</v>
      </c>
      <c r="H1097" s="2">
        <v>9834.5</v>
      </c>
      <c r="I1097" s="2">
        <v>139</v>
      </c>
      <c r="J1097" s="2">
        <v>16979.34</v>
      </c>
      <c r="K1097" s="4">
        <f t="shared" si="68"/>
        <v>3.7597894257953401E-2</v>
      </c>
      <c r="L1097" s="6">
        <f t="shared" si="69"/>
        <v>1.7</v>
      </c>
      <c r="M1097" s="6">
        <f t="shared" si="70"/>
        <v>70.751798561151077</v>
      </c>
      <c r="N1097" s="8">
        <f t="shared" si="71"/>
        <v>1.7265077024759774</v>
      </c>
    </row>
    <row r="1098" spans="1:14" x14ac:dyDescent="0.45">
      <c r="A1098" s="12">
        <v>45603</v>
      </c>
      <c r="B1098" s="2" t="s">
        <v>20</v>
      </c>
      <c r="C1098" s="2" t="s">
        <v>38</v>
      </c>
      <c r="D1098" s="2" t="s">
        <v>25</v>
      </c>
      <c r="E1098" s="2" t="s">
        <v>22</v>
      </c>
      <c r="F1098" s="2">
        <v>187199</v>
      </c>
      <c r="G1098" s="2">
        <v>12036</v>
      </c>
      <c r="H1098" s="2">
        <v>16007.88</v>
      </c>
      <c r="I1098" s="2">
        <v>946</v>
      </c>
      <c r="J1098" s="2">
        <v>165825.37</v>
      </c>
      <c r="K1098" s="4">
        <f t="shared" si="68"/>
        <v>6.4295215252218221E-2</v>
      </c>
      <c r="L1098" s="6">
        <f t="shared" si="69"/>
        <v>1.3299999999999998</v>
      </c>
      <c r="M1098" s="6">
        <f t="shared" si="70"/>
        <v>16.921649048625792</v>
      </c>
      <c r="N1098" s="8">
        <f t="shared" si="71"/>
        <v>10.358983825465959</v>
      </c>
    </row>
    <row r="1099" spans="1:14" x14ac:dyDescent="0.45">
      <c r="A1099" s="12">
        <v>45470</v>
      </c>
      <c r="B1099" s="2" t="s">
        <v>35</v>
      </c>
      <c r="C1099" s="2" t="s">
        <v>24</v>
      </c>
      <c r="D1099" s="2" t="s">
        <v>29</v>
      </c>
      <c r="E1099" s="2" t="s">
        <v>22</v>
      </c>
      <c r="F1099" s="2">
        <v>117696</v>
      </c>
      <c r="G1099" s="2">
        <v>4531</v>
      </c>
      <c r="H1099" s="2">
        <v>4938.79</v>
      </c>
      <c r="I1099" s="2">
        <v>325</v>
      </c>
      <c r="J1099" s="2">
        <v>19270.73</v>
      </c>
      <c r="K1099" s="4">
        <f t="shared" si="68"/>
        <v>3.8497485046220775E-2</v>
      </c>
      <c r="L1099" s="6">
        <f t="shared" si="69"/>
        <v>1.0900000000000001</v>
      </c>
      <c r="M1099" s="6">
        <f t="shared" si="70"/>
        <v>15.196276923076923</v>
      </c>
      <c r="N1099" s="8">
        <f t="shared" si="71"/>
        <v>3.901913221659556</v>
      </c>
    </row>
    <row r="1100" spans="1:14" x14ac:dyDescent="0.45">
      <c r="A1100" s="12">
        <v>45584</v>
      </c>
      <c r="B1100" s="2" t="s">
        <v>35</v>
      </c>
      <c r="C1100" s="2" t="s">
        <v>16</v>
      </c>
      <c r="D1100" s="2" t="s">
        <v>25</v>
      </c>
      <c r="E1100" s="2" t="s">
        <v>33</v>
      </c>
      <c r="F1100" s="2">
        <v>147324</v>
      </c>
      <c r="G1100" s="2">
        <v>1325</v>
      </c>
      <c r="H1100" s="2">
        <v>2279</v>
      </c>
      <c r="I1100" s="2">
        <v>96</v>
      </c>
      <c r="J1100" s="2">
        <v>10356.84</v>
      </c>
      <c r="K1100" s="4">
        <f t="shared" si="68"/>
        <v>8.9937824115554829E-3</v>
      </c>
      <c r="L1100" s="6">
        <f t="shared" si="69"/>
        <v>1.72</v>
      </c>
      <c r="M1100" s="6">
        <f t="shared" si="70"/>
        <v>23.739583333333332</v>
      </c>
      <c r="N1100" s="8">
        <f t="shared" si="71"/>
        <v>4.5444668714348397</v>
      </c>
    </row>
    <row r="1101" spans="1:14" x14ac:dyDescent="0.45">
      <c r="A1101" s="12">
        <v>45508</v>
      </c>
      <c r="B1101" s="2" t="s">
        <v>15</v>
      </c>
      <c r="C1101" s="2" t="s">
        <v>24</v>
      </c>
      <c r="D1101" s="2" t="s">
        <v>17</v>
      </c>
      <c r="E1101" s="2" t="s">
        <v>54</v>
      </c>
      <c r="F1101" s="2">
        <v>39001</v>
      </c>
      <c r="G1101" s="2">
        <v>1450</v>
      </c>
      <c r="H1101" s="2">
        <v>3799</v>
      </c>
      <c r="I1101" s="2">
        <v>18</v>
      </c>
      <c r="J1101" s="2">
        <v>5256.07</v>
      </c>
      <c r="K1101" s="4">
        <f t="shared" si="68"/>
        <v>3.7178533883746569E-2</v>
      </c>
      <c r="L1101" s="6">
        <f t="shared" si="69"/>
        <v>2.62</v>
      </c>
      <c r="M1101" s="6">
        <f t="shared" si="70"/>
        <v>211.05555555555554</v>
      </c>
      <c r="N1101" s="8">
        <f t="shared" si="71"/>
        <v>1.3835404053698341</v>
      </c>
    </row>
    <row r="1102" spans="1:14" x14ac:dyDescent="0.45">
      <c r="A1102" s="12">
        <v>45294</v>
      </c>
      <c r="B1102" s="2" t="s">
        <v>20</v>
      </c>
      <c r="C1102" s="2" t="s">
        <v>16</v>
      </c>
      <c r="D1102" s="2" t="s">
        <v>25</v>
      </c>
      <c r="E1102" s="2" t="s">
        <v>26</v>
      </c>
      <c r="F1102" s="2">
        <v>69277</v>
      </c>
      <c r="G1102" s="2">
        <v>5057</v>
      </c>
      <c r="H1102" s="2">
        <v>5360.42</v>
      </c>
      <c r="I1102" s="2">
        <v>268</v>
      </c>
      <c r="J1102" s="2">
        <v>57608.77</v>
      </c>
      <c r="K1102" s="4">
        <f t="shared" si="68"/>
        <v>7.2996809908050297E-2</v>
      </c>
      <c r="L1102" s="6">
        <f t="shared" si="69"/>
        <v>1.06</v>
      </c>
      <c r="M1102" s="6">
        <f t="shared" si="70"/>
        <v>20.001567164179104</v>
      </c>
      <c r="N1102" s="8">
        <f t="shared" si="71"/>
        <v>10.747062730159204</v>
      </c>
    </row>
    <row r="1103" spans="1:14" x14ac:dyDescent="0.45">
      <c r="A1103" s="12">
        <v>45392</v>
      </c>
      <c r="B1103" s="2" t="s">
        <v>15</v>
      </c>
      <c r="C1103" s="2" t="s">
        <v>16</v>
      </c>
      <c r="D1103" s="2" t="s">
        <v>41</v>
      </c>
      <c r="E1103" s="2" t="s">
        <v>26</v>
      </c>
      <c r="F1103" s="2">
        <v>166687</v>
      </c>
      <c r="G1103" s="2">
        <v>11384</v>
      </c>
      <c r="H1103" s="2">
        <v>8310.32</v>
      </c>
      <c r="I1103" s="2">
        <v>899</v>
      </c>
      <c r="J1103" s="2">
        <v>139644.20000000001</v>
      </c>
      <c r="K1103" s="4">
        <f t="shared" si="68"/>
        <v>6.8295667928512716E-2</v>
      </c>
      <c r="L1103" s="6">
        <f t="shared" si="69"/>
        <v>0.73</v>
      </c>
      <c r="M1103" s="6">
        <f t="shared" si="70"/>
        <v>9.2439599555061172</v>
      </c>
      <c r="N1103" s="8">
        <f t="shared" si="71"/>
        <v>16.803709123114395</v>
      </c>
    </row>
    <row r="1104" spans="1:14" x14ac:dyDescent="0.45">
      <c r="A1104" s="12">
        <v>45628</v>
      </c>
      <c r="B1104" s="2" t="s">
        <v>35</v>
      </c>
      <c r="C1104" s="2" t="s">
        <v>24</v>
      </c>
      <c r="D1104" s="2" t="s">
        <v>41</v>
      </c>
      <c r="E1104" s="2" t="s">
        <v>33</v>
      </c>
      <c r="F1104" s="2">
        <v>173898</v>
      </c>
      <c r="G1104" s="2">
        <v>5321</v>
      </c>
      <c r="H1104" s="2">
        <v>2820.13</v>
      </c>
      <c r="I1104" s="2">
        <v>239</v>
      </c>
      <c r="J1104" s="2">
        <v>52181.09</v>
      </c>
      <c r="K1104" s="4">
        <f t="shared" si="68"/>
        <v>3.0598396761319854E-2</v>
      </c>
      <c r="L1104" s="6">
        <f t="shared" si="69"/>
        <v>0.53</v>
      </c>
      <c r="M1104" s="6">
        <f t="shared" si="70"/>
        <v>11.799707112970712</v>
      </c>
      <c r="N1104" s="8">
        <f t="shared" si="71"/>
        <v>18.503079645264577</v>
      </c>
    </row>
    <row r="1105" spans="1:14" x14ac:dyDescent="0.45">
      <c r="A1105" s="12">
        <v>45443</v>
      </c>
      <c r="B1105" s="2" t="s">
        <v>15</v>
      </c>
      <c r="C1105" s="2" t="s">
        <v>38</v>
      </c>
      <c r="D1105" s="2" t="s">
        <v>29</v>
      </c>
      <c r="E1105" s="2" t="s">
        <v>33</v>
      </c>
      <c r="F1105" s="2">
        <v>117000</v>
      </c>
      <c r="G1105" s="2">
        <v>7979</v>
      </c>
      <c r="H1105" s="2">
        <v>11729.13</v>
      </c>
      <c r="I1105" s="2">
        <v>366</v>
      </c>
      <c r="J1105" s="2">
        <v>14373.81</v>
      </c>
      <c r="K1105" s="4">
        <f t="shared" si="68"/>
        <v>6.8196581196581202E-2</v>
      </c>
      <c r="L1105" s="6">
        <f t="shared" si="69"/>
        <v>1.47</v>
      </c>
      <c r="M1105" s="6">
        <f t="shared" si="70"/>
        <v>32.046803278688522</v>
      </c>
      <c r="N1105" s="8">
        <f t="shared" si="71"/>
        <v>1.2254796391548222</v>
      </c>
    </row>
    <row r="1106" spans="1:14" x14ac:dyDescent="0.45">
      <c r="A1106" s="12">
        <v>45590</v>
      </c>
      <c r="B1106" s="2" t="s">
        <v>35</v>
      </c>
      <c r="C1106" s="2" t="s">
        <v>28</v>
      </c>
      <c r="D1106" s="2" t="s">
        <v>29</v>
      </c>
      <c r="E1106" s="2" t="s">
        <v>22</v>
      </c>
      <c r="F1106" s="2">
        <v>55697</v>
      </c>
      <c r="G1106" s="2">
        <v>957</v>
      </c>
      <c r="H1106" s="2">
        <v>870.87</v>
      </c>
      <c r="I1106" s="2">
        <v>12</v>
      </c>
      <c r="J1106" s="2">
        <v>1673.31</v>
      </c>
      <c r="K1106" s="4">
        <f t="shared" si="68"/>
        <v>1.718225398136345E-2</v>
      </c>
      <c r="L1106" s="6">
        <f t="shared" si="69"/>
        <v>0.91</v>
      </c>
      <c r="M1106" s="6">
        <f t="shared" si="70"/>
        <v>72.572500000000005</v>
      </c>
      <c r="N1106" s="8">
        <f t="shared" si="71"/>
        <v>1.9214234041820248</v>
      </c>
    </row>
    <row r="1107" spans="1:14" x14ac:dyDescent="0.45">
      <c r="A1107" s="12">
        <v>45476</v>
      </c>
      <c r="B1107" s="2" t="s">
        <v>15</v>
      </c>
      <c r="C1107" s="2" t="s">
        <v>38</v>
      </c>
      <c r="D1107" s="2" t="s">
        <v>17</v>
      </c>
      <c r="E1107" s="2" t="s">
        <v>22</v>
      </c>
      <c r="F1107" s="2">
        <v>46585</v>
      </c>
      <c r="G1107" s="2">
        <v>1504</v>
      </c>
      <c r="H1107" s="2">
        <v>3308.8</v>
      </c>
      <c r="I1107" s="2">
        <v>85</v>
      </c>
      <c r="J1107" s="2">
        <v>13372.82</v>
      </c>
      <c r="K1107" s="4">
        <f t="shared" si="68"/>
        <v>3.2285070301599224E-2</v>
      </c>
      <c r="L1107" s="6">
        <f t="shared" si="69"/>
        <v>2.2000000000000002</v>
      </c>
      <c r="M1107" s="6">
        <f t="shared" si="70"/>
        <v>38.927058823529414</v>
      </c>
      <c r="N1107" s="8">
        <f t="shared" si="71"/>
        <v>4.0415921179883947</v>
      </c>
    </row>
    <row r="1108" spans="1:14" x14ac:dyDescent="0.45">
      <c r="A1108" s="12">
        <v>45518</v>
      </c>
      <c r="B1108" s="2" t="s">
        <v>20</v>
      </c>
      <c r="C1108" s="2" t="s">
        <v>16</v>
      </c>
      <c r="D1108" s="2" t="s">
        <v>41</v>
      </c>
      <c r="E1108" s="2" t="s">
        <v>30</v>
      </c>
      <c r="F1108" s="2">
        <v>97345</v>
      </c>
      <c r="G1108" s="2">
        <v>5178</v>
      </c>
      <c r="H1108" s="2">
        <v>3158.58</v>
      </c>
      <c r="I1108" s="2">
        <v>289</v>
      </c>
      <c r="J1108" s="2">
        <v>44113.49</v>
      </c>
      <c r="K1108" s="4">
        <f t="shared" si="68"/>
        <v>5.319225435307412E-2</v>
      </c>
      <c r="L1108" s="6">
        <f t="shared" si="69"/>
        <v>0.61</v>
      </c>
      <c r="M1108" s="6">
        <f t="shared" si="70"/>
        <v>10.929342560553634</v>
      </c>
      <c r="N1108" s="8">
        <f t="shared" si="71"/>
        <v>13.96624115900183</v>
      </c>
    </row>
    <row r="1109" spans="1:14" x14ac:dyDescent="0.45">
      <c r="A1109" s="12">
        <v>45461</v>
      </c>
      <c r="B1109" s="2" t="s">
        <v>20</v>
      </c>
      <c r="C1109" s="2" t="s">
        <v>24</v>
      </c>
      <c r="D1109" s="2" t="s">
        <v>41</v>
      </c>
      <c r="E1109" s="2" t="s">
        <v>51</v>
      </c>
      <c r="F1109" s="2">
        <v>143519</v>
      </c>
      <c r="G1109" s="2">
        <v>10519</v>
      </c>
      <c r="H1109" s="2">
        <v>9046.34</v>
      </c>
      <c r="I1109" s="2">
        <v>673</v>
      </c>
      <c r="J1109" s="2">
        <v>28878.71</v>
      </c>
      <c r="K1109" s="4">
        <f t="shared" si="68"/>
        <v>7.3293431531713568E-2</v>
      </c>
      <c r="L1109" s="6">
        <f t="shared" si="69"/>
        <v>0.86</v>
      </c>
      <c r="M1109" s="6">
        <f t="shared" si="70"/>
        <v>13.44181277860327</v>
      </c>
      <c r="N1109" s="8">
        <f t="shared" si="71"/>
        <v>3.1923087126948575</v>
      </c>
    </row>
    <row r="1110" spans="1:14" x14ac:dyDescent="0.45">
      <c r="A1110" s="12">
        <v>45413</v>
      </c>
      <c r="B1110" s="2" t="s">
        <v>35</v>
      </c>
      <c r="C1110" s="2" t="s">
        <v>38</v>
      </c>
      <c r="D1110" s="2" t="s">
        <v>41</v>
      </c>
      <c r="E1110" s="2" t="s">
        <v>33</v>
      </c>
      <c r="F1110" s="2">
        <v>68843</v>
      </c>
      <c r="G1110" s="2">
        <v>633</v>
      </c>
      <c r="H1110" s="2">
        <v>563.37</v>
      </c>
      <c r="I1110" s="2">
        <v>25</v>
      </c>
      <c r="J1110" s="2">
        <v>2441.19</v>
      </c>
      <c r="K1110" s="4">
        <f t="shared" si="68"/>
        <v>9.1948346237090191E-3</v>
      </c>
      <c r="L1110" s="6">
        <f t="shared" si="69"/>
        <v>0.89</v>
      </c>
      <c r="M1110" s="6">
        <f t="shared" si="70"/>
        <v>22.534800000000001</v>
      </c>
      <c r="N1110" s="8">
        <f t="shared" si="71"/>
        <v>4.3331913307417862</v>
      </c>
    </row>
    <row r="1111" spans="1:14" x14ac:dyDescent="0.45">
      <c r="A1111" s="12">
        <v>45378</v>
      </c>
      <c r="B1111" s="2" t="s">
        <v>15</v>
      </c>
      <c r="C1111" s="2" t="s">
        <v>38</v>
      </c>
      <c r="D1111" s="2" t="s">
        <v>17</v>
      </c>
      <c r="E1111" s="2" t="s">
        <v>26</v>
      </c>
      <c r="F1111" s="2">
        <v>129679</v>
      </c>
      <c r="G1111" s="2">
        <v>5848</v>
      </c>
      <c r="H1111" s="2">
        <v>8655.0400000000009</v>
      </c>
      <c r="I1111" s="2">
        <v>158</v>
      </c>
      <c r="J1111" s="2">
        <v>32419.87</v>
      </c>
      <c r="K1111" s="4">
        <f t="shared" si="68"/>
        <v>4.5095967735716655E-2</v>
      </c>
      <c r="L1111" s="6">
        <f t="shared" si="69"/>
        <v>1.4800000000000002</v>
      </c>
      <c r="M1111" s="6">
        <f t="shared" si="70"/>
        <v>54.778734177215192</v>
      </c>
      <c r="N1111" s="8">
        <f t="shared" si="71"/>
        <v>3.7457793378193509</v>
      </c>
    </row>
    <row r="1112" spans="1:14" x14ac:dyDescent="0.45">
      <c r="A1112" s="12">
        <v>45322</v>
      </c>
      <c r="B1112" s="2" t="s">
        <v>35</v>
      </c>
      <c r="C1112" s="2" t="s">
        <v>16</v>
      </c>
      <c r="D1112" s="2" t="s">
        <v>17</v>
      </c>
      <c r="E1112" s="2" t="s">
        <v>22</v>
      </c>
      <c r="F1112" s="2">
        <v>153157</v>
      </c>
      <c r="G1112" s="2">
        <v>5498</v>
      </c>
      <c r="H1112" s="2">
        <v>9896.4</v>
      </c>
      <c r="I1112" s="2">
        <v>401</v>
      </c>
      <c r="J1112" s="2">
        <v>90694.52</v>
      </c>
      <c r="K1112" s="4">
        <f t="shared" si="68"/>
        <v>3.5897804213976509E-2</v>
      </c>
      <c r="L1112" s="6">
        <f t="shared" si="69"/>
        <v>1.8</v>
      </c>
      <c r="M1112" s="6">
        <f t="shared" si="70"/>
        <v>24.679301745635911</v>
      </c>
      <c r="N1112" s="8">
        <f t="shared" si="71"/>
        <v>9.1643951335839304</v>
      </c>
    </row>
    <row r="1113" spans="1:14" x14ac:dyDescent="0.45">
      <c r="A1113" s="12">
        <v>45525</v>
      </c>
      <c r="B1113" s="2" t="s">
        <v>35</v>
      </c>
      <c r="C1113" s="2" t="s">
        <v>38</v>
      </c>
      <c r="D1113" s="2" t="s">
        <v>41</v>
      </c>
      <c r="E1113" s="2" t="s">
        <v>33</v>
      </c>
      <c r="F1113" s="2">
        <v>138074</v>
      </c>
      <c r="G1113" s="2">
        <v>3313</v>
      </c>
      <c r="H1113" s="2">
        <v>6327.83</v>
      </c>
      <c r="I1113" s="2">
        <v>209</v>
      </c>
      <c r="J1113" s="2">
        <v>16533.53</v>
      </c>
      <c r="K1113" s="4">
        <f t="shared" si="68"/>
        <v>2.3994379825311066E-2</v>
      </c>
      <c r="L1113" s="6">
        <f t="shared" si="69"/>
        <v>1.91</v>
      </c>
      <c r="M1113" s="6">
        <f t="shared" si="70"/>
        <v>30.2766985645933</v>
      </c>
      <c r="N1113" s="8">
        <f t="shared" si="71"/>
        <v>2.6128277782430942</v>
      </c>
    </row>
    <row r="1114" spans="1:14" x14ac:dyDescent="0.45">
      <c r="A1114" s="12">
        <v>45612</v>
      </c>
      <c r="B1114" s="2" t="s">
        <v>15</v>
      </c>
      <c r="C1114" s="2" t="s">
        <v>28</v>
      </c>
      <c r="D1114" s="2" t="s">
        <v>29</v>
      </c>
      <c r="E1114" s="2" t="s">
        <v>30</v>
      </c>
      <c r="F1114" s="2">
        <v>119132</v>
      </c>
      <c r="G1114" s="2">
        <v>3466</v>
      </c>
      <c r="H1114" s="2">
        <v>7590.54</v>
      </c>
      <c r="I1114" s="2">
        <v>261</v>
      </c>
      <c r="J1114" s="2">
        <v>30598.06</v>
      </c>
      <c r="K1114" s="4">
        <f t="shared" si="68"/>
        <v>2.9093778329919752E-2</v>
      </c>
      <c r="L1114" s="6">
        <f t="shared" si="69"/>
        <v>2.19</v>
      </c>
      <c r="M1114" s="6">
        <f t="shared" si="70"/>
        <v>29.082528735632184</v>
      </c>
      <c r="N1114" s="8">
        <f t="shared" si="71"/>
        <v>4.0310781578122246</v>
      </c>
    </row>
    <row r="1115" spans="1:14" x14ac:dyDescent="0.45">
      <c r="A1115" s="12">
        <v>45417</v>
      </c>
      <c r="B1115" s="2" t="s">
        <v>15</v>
      </c>
      <c r="C1115" s="2" t="s">
        <v>24</v>
      </c>
      <c r="D1115" s="2" t="s">
        <v>41</v>
      </c>
      <c r="E1115" s="2" t="s">
        <v>33</v>
      </c>
      <c r="F1115" s="2">
        <v>43634</v>
      </c>
      <c r="G1115" s="2">
        <v>1937</v>
      </c>
      <c r="H1115" s="2">
        <v>4610.0600000000004</v>
      </c>
      <c r="I1115" s="2">
        <v>58</v>
      </c>
      <c r="J1115" s="2">
        <v>15065.19</v>
      </c>
      <c r="K1115" s="4">
        <f t="shared" si="68"/>
        <v>4.4391987899344551E-2</v>
      </c>
      <c r="L1115" s="6">
        <f t="shared" si="69"/>
        <v>2.3800000000000003</v>
      </c>
      <c r="M1115" s="6">
        <f t="shared" si="70"/>
        <v>79.483793103448278</v>
      </c>
      <c r="N1115" s="8">
        <f t="shared" si="71"/>
        <v>3.2678945610252361</v>
      </c>
    </row>
    <row r="1116" spans="1:14" x14ac:dyDescent="0.45">
      <c r="A1116" s="12">
        <v>45470</v>
      </c>
      <c r="B1116" s="2" t="s">
        <v>35</v>
      </c>
      <c r="C1116" s="2" t="s">
        <v>28</v>
      </c>
      <c r="D1116" s="2" t="s">
        <v>17</v>
      </c>
      <c r="E1116" s="2" t="s">
        <v>26</v>
      </c>
      <c r="F1116" s="2">
        <v>198899</v>
      </c>
      <c r="G1116" s="2">
        <v>2923</v>
      </c>
      <c r="H1116" s="2">
        <v>5758.31</v>
      </c>
      <c r="I1116" s="2">
        <v>95</v>
      </c>
      <c r="J1116" s="2">
        <v>3750</v>
      </c>
      <c r="K1116" s="4">
        <f t="shared" si="68"/>
        <v>1.4695900934645222E-2</v>
      </c>
      <c r="L1116" s="6">
        <f t="shared" si="69"/>
        <v>1.9700000000000002</v>
      </c>
      <c r="M1116" s="6">
        <f t="shared" si="70"/>
        <v>60.613789473684214</v>
      </c>
      <c r="N1116" s="8">
        <f t="shared" si="71"/>
        <v>0.65123274016160992</v>
      </c>
    </row>
    <row r="1117" spans="1:14" x14ac:dyDescent="0.45">
      <c r="A1117" s="12">
        <v>45427</v>
      </c>
      <c r="B1117" s="2" t="s">
        <v>35</v>
      </c>
      <c r="C1117" s="2" t="s">
        <v>24</v>
      </c>
      <c r="D1117" s="2" t="s">
        <v>29</v>
      </c>
      <c r="E1117" s="2" t="s">
        <v>30</v>
      </c>
      <c r="F1117" s="2">
        <v>143383</v>
      </c>
      <c r="G1117" s="2">
        <v>3412</v>
      </c>
      <c r="H1117" s="2">
        <v>3480.24</v>
      </c>
      <c r="I1117" s="2">
        <v>117</v>
      </c>
      <c r="J1117" s="2">
        <v>19100.2</v>
      </c>
      <c r="K1117" s="4">
        <f t="shared" si="68"/>
        <v>2.3796405431606257E-2</v>
      </c>
      <c r="L1117" s="6">
        <f t="shared" si="69"/>
        <v>1.02</v>
      </c>
      <c r="M1117" s="6">
        <f t="shared" si="70"/>
        <v>29.745641025641024</v>
      </c>
      <c r="N1117" s="8">
        <f t="shared" si="71"/>
        <v>5.488184722892675</v>
      </c>
    </row>
    <row r="1118" spans="1:14" x14ac:dyDescent="0.45">
      <c r="A1118" s="12">
        <v>45328</v>
      </c>
      <c r="B1118" s="2" t="s">
        <v>35</v>
      </c>
      <c r="C1118" s="2" t="s">
        <v>24</v>
      </c>
      <c r="D1118" s="2" t="s">
        <v>41</v>
      </c>
      <c r="E1118" s="2" t="s">
        <v>18</v>
      </c>
      <c r="F1118" s="2">
        <v>92469</v>
      </c>
      <c r="G1118" s="2">
        <v>2487</v>
      </c>
      <c r="H1118" s="2">
        <v>1492.2</v>
      </c>
      <c r="I1118" s="2">
        <v>48</v>
      </c>
      <c r="J1118" s="2">
        <v>14164.35</v>
      </c>
      <c r="K1118" s="4">
        <f t="shared" si="68"/>
        <v>2.689550011355157E-2</v>
      </c>
      <c r="L1118" s="6">
        <f t="shared" si="69"/>
        <v>0.6</v>
      </c>
      <c r="M1118" s="6">
        <f t="shared" si="70"/>
        <v>31.087500000000002</v>
      </c>
      <c r="N1118" s="8">
        <f t="shared" si="71"/>
        <v>9.4922597507036581</v>
      </c>
    </row>
    <row r="1119" spans="1:14" x14ac:dyDescent="0.45">
      <c r="A1119" s="12">
        <v>45605</v>
      </c>
      <c r="B1119" s="2" t="s">
        <v>15</v>
      </c>
      <c r="C1119" s="2" t="s">
        <v>28</v>
      </c>
      <c r="D1119" s="2" t="s">
        <v>29</v>
      </c>
      <c r="E1119" s="2" t="s">
        <v>30</v>
      </c>
      <c r="F1119" s="2">
        <v>30852</v>
      </c>
      <c r="G1119" s="2">
        <v>684</v>
      </c>
      <c r="H1119" s="2">
        <v>1087.56</v>
      </c>
      <c r="I1119" s="2">
        <v>11</v>
      </c>
      <c r="J1119" s="2">
        <v>2813.84</v>
      </c>
      <c r="K1119" s="4">
        <f t="shared" si="68"/>
        <v>2.2170361726954493E-2</v>
      </c>
      <c r="L1119" s="6">
        <f t="shared" si="69"/>
        <v>1.5899999999999999</v>
      </c>
      <c r="M1119" s="6">
        <f t="shared" si="70"/>
        <v>98.8690909090909</v>
      </c>
      <c r="N1119" s="8">
        <f t="shared" si="71"/>
        <v>2.5872963330758765</v>
      </c>
    </row>
    <row r="1120" spans="1:14" x14ac:dyDescent="0.45">
      <c r="A1120" s="12">
        <v>45612</v>
      </c>
      <c r="B1120" s="2" t="s">
        <v>35</v>
      </c>
      <c r="C1120" s="2" t="s">
        <v>16</v>
      </c>
      <c r="D1120" s="2" t="s">
        <v>25</v>
      </c>
      <c r="E1120" s="2" t="s">
        <v>30</v>
      </c>
      <c r="F1120" s="2">
        <v>87565</v>
      </c>
      <c r="G1120" s="2">
        <v>3213</v>
      </c>
      <c r="H1120" s="2">
        <v>7068.6</v>
      </c>
      <c r="I1120" s="2">
        <v>106</v>
      </c>
      <c r="J1120" s="2">
        <v>13715.98</v>
      </c>
      <c r="K1120" s="4">
        <f t="shared" si="68"/>
        <v>3.6692742534117515E-2</v>
      </c>
      <c r="L1120" s="6">
        <f t="shared" si="69"/>
        <v>2.2000000000000002</v>
      </c>
      <c r="M1120" s="6">
        <f t="shared" si="70"/>
        <v>66.684905660377368</v>
      </c>
      <c r="N1120" s="8">
        <f t="shared" si="71"/>
        <v>1.9404096992332285</v>
      </c>
    </row>
    <row r="1121" spans="1:14" x14ac:dyDescent="0.45">
      <c r="A1121" s="12">
        <v>45637</v>
      </c>
      <c r="B1121" s="2" t="s">
        <v>15</v>
      </c>
      <c r="C1121" s="2" t="s">
        <v>28</v>
      </c>
      <c r="D1121" s="2" t="s">
        <v>21</v>
      </c>
      <c r="E1121" s="2" t="s">
        <v>22</v>
      </c>
      <c r="F1121" s="2">
        <v>154058</v>
      </c>
      <c r="G1121" s="2">
        <v>3728</v>
      </c>
      <c r="H1121" s="2">
        <v>9170.8799999999992</v>
      </c>
      <c r="I1121" s="2">
        <v>125</v>
      </c>
      <c r="J1121" s="2">
        <v>7520.81</v>
      </c>
      <c r="K1121" s="4">
        <f t="shared" si="68"/>
        <v>2.4198678419815912E-2</v>
      </c>
      <c r="L1121" s="6">
        <f t="shared" si="69"/>
        <v>2.46</v>
      </c>
      <c r="M1121" s="6">
        <f t="shared" si="70"/>
        <v>73.367039999999989</v>
      </c>
      <c r="N1121" s="8">
        <f t="shared" si="71"/>
        <v>0.82007506367982141</v>
      </c>
    </row>
    <row r="1122" spans="1:14" x14ac:dyDescent="0.45">
      <c r="A1122" s="12">
        <v>45457</v>
      </c>
      <c r="B1122" s="2" t="s">
        <v>15</v>
      </c>
      <c r="C1122" s="2" t="s">
        <v>38</v>
      </c>
      <c r="D1122" s="2" t="s">
        <v>29</v>
      </c>
      <c r="E1122" s="2" t="s">
        <v>51</v>
      </c>
      <c r="F1122" s="2">
        <v>160579</v>
      </c>
      <c r="G1122" s="2">
        <v>7804</v>
      </c>
      <c r="H1122" s="2">
        <v>10613.44</v>
      </c>
      <c r="I1122" s="2">
        <v>193</v>
      </c>
      <c r="J1122" s="2">
        <v>9996.49</v>
      </c>
      <c r="K1122" s="4">
        <f t="shared" si="68"/>
        <v>4.8599131891467751E-2</v>
      </c>
      <c r="L1122" s="6">
        <f t="shared" si="69"/>
        <v>1.36</v>
      </c>
      <c r="M1122" s="6">
        <f t="shared" si="70"/>
        <v>54.991917098445597</v>
      </c>
      <c r="N1122" s="8">
        <f t="shared" si="71"/>
        <v>0.94187087315705365</v>
      </c>
    </row>
    <row r="1123" spans="1:14" x14ac:dyDescent="0.45">
      <c r="A1123" s="12">
        <v>45589</v>
      </c>
      <c r="B1123" s="2" t="s">
        <v>20</v>
      </c>
      <c r="C1123" s="2" t="s">
        <v>16</v>
      </c>
      <c r="D1123" s="2" t="s">
        <v>29</v>
      </c>
      <c r="E1123" s="2" t="s">
        <v>18</v>
      </c>
      <c r="F1123" s="2">
        <v>34076</v>
      </c>
      <c r="G1123" s="2">
        <v>1363</v>
      </c>
      <c r="H1123" s="2">
        <v>1553.82</v>
      </c>
      <c r="I1123" s="2">
        <v>16</v>
      </c>
      <c r="J1123" s="2">
        <v>2219.67</v>
      </c>
      <c r="K1123" s="4">
        <f t="shared" si="68"/>
        <v>3.9998826153304377E-2</v>
      </c>
      <c r="L1123" s="6">
        <f t="shared" si="69"/>
        <v>1.1399999999999999</v>
      </c>
      <c r="M1123" s="6">
        <f t="shared" si="70"/>
        <v>97.113749999999996</v>
      </c>
      <c r="N1123" s="8">
        <f t="shared" si="71"/>
        <v>1.4285245395219524</v>
      </c>
    </row>
    <row r="1124" spans="1:14" x14ac:dyDescent="0.45">
      <c r="A1124" s="12">
        <v>45441</v>
      </c>
      <c r="B1124" s="2" t="s">
        <v>20</v>
      </c>
      <c r="C1124" s="2" t="s">
        <v>28</v>
      </c>
      <c r="D1124" s="2" t="s">
        <v>25</v>
      </c>
      <c r="E1124" s="2" t="s">
        <v>30</v>
      </c>
      <c r="F1124" s="2">
        <v>37261</v>
      </c>
      <c r="G1124" s="2">
        <v>1591</v>
      </c>
      <c r="H1124" s="2">
        <v>1718.28</v>
      </c>
      <c r="I1124" s="2">
        <v>40</v>
      </c>
      <c r="J1124" s="2">
        <v>8930.0400000000009</v>
      </c>
      <c r="K1124" s="4">
        <f t="shared" si="68"/>
        <v>4.2698800354257806E-2</v>
      </c>
      <c r="L1124" s="6">
        <f t="shared" si="69"/>
        <v>1.08</v>
      </c>
      <c r="M1124" s="6">
        <f t="shared" si="70"/>
        <v>42.957000000000001</v>
      </c>
      <c r="N1124" s="8">
        <f t="shared" si="71"/>
        <v>5.197080801731965</v>
      </c>
    </row>
    <row r="1125" spans="1:14" x14ac:dyDescent="0.45">
      <c r="A1125" s="12">
        <v>45338</v>
      </c>
      <c r="B1125" s="2" t="s">
        <v>35</v>
      </c>
      <c r="C1125" s="2" t="s">
        <v>28</v>
      </c>
      <c r="D1125" s="2" t="s">
        <v>17</v>
      </c>
      <c r="E1125" s="2" t="s">
        <v>26</v>
      </c>
      <c r="F1125" s="2">
        <v>178553</v>
      </c>
      <c r="G1125" s="2">
        <v>7213</v>
      </c>
      <c r="H1125" s="2">
        <v>16445.64</v>
      </c>
      <c r="I1125" s="2">
        <v>556</v>
      </c>
      <c r="J1125" s="2">
        <v>50559.85</v>
      </c>
      <c r="K1125" s="4">
        <f t="shared" si="68"/>
        <v>4.0396968967197418E-2</v>
      </c>
      <c r="L1125" s="6">
        <f t="shared" si="69"/>
        <v>2.2799999999999998</v>
      </c>
      <c r="M1125" s="6">
        <f t="shared" si="70"/>
        <v>29.578489208633094</v>
      </c>
      <c r="N1125" s="8">
        <f t="shared" si="71"/>
        <v>3.0743619585494999</v>
      </c>
    </row>
    <row r="1126" spans="1:14" x14ac:dyDescent="0.45">
      <c r="A1126" s="12">
        <v>45357</v>
      </c>
      <c r="B1126" s="2" t="s">
        <v>35</v>
      </c>
      <c r="C1126" s="2" t="s">
        <v>16</v>
      </c>
      <c r="D1126" s="2" t="s">
        <v>25</v>
      </c>
      <c r="E1126" s="2" t="s">
        <v>54</v>
      </c>
      <c r="F1126" s="2">
        <v>132390</v>
      </c>
      <c r="G1126" s="2">
        <v>2780</v>
      </c>
      <c r="H1126" s="2">
        <v>2807.8</v>
      </c>
      <c r="I1126" s="2">
        <v>133</v>
      </c>
      <c r="J1126" s="2">
        <v>39444.5</v>
      </c>
      <c r="K1126" s="4">
        <f t="shared" si="68"/>
        <v>2.0998564846287485E-2</v>
      </c>
      <c r="L1126" s="6">
        <f t="shared" si="69"/>
        <v>1.01</v>
      </c>
      <c r="M1126" s="6">
        <f t="shared" si="70"/>
        <v>21.111278195488723</v>
      </c>
      <c r="N1126" s="8">
        <f t="shared" si="71"/>
        <v>14.04818719282</v>
      </c>
    </row>
    <row r="1127" spans="1:14" x14ac:dyDescent="0.45">
      <c r="A1127" s="12">
        <v>45521</v>
      </c>
      <c r="B1127" s="2" t="s">
        <v>20</v>
      </c>
      <c r="C1127" s="2" t="s">
        <v>16</v>
      </c>
      <c r="D1127" s="2" t="s">
        <v>25</v>
      </c>
      <c r="E1127" s="2" t="s">
        <v>54</v>
      </c>
      <c r="F1127" s="2">
        <v>166446</v>
      </c>
      <c r="G1127" s="2">
        <v>7822</v>
      </c>
      <c r="H1127" s="2">
        <v>8995.2999999999993</v>
      </c>
      <c r="I1127" s="2">
        <v>218</v>
      </c>
      <c r="J1127" s="2">
        <v>21100.54</v>
      </c>
      <c r="K1127" s="4">
        <f t="shared" si="68"/>
        <v>4.6994220347740409E-2</v>
      </c>
      <c r="L1127" s="6">
        <f t="shared" si="69"/>
        <v>1.1499999999999999</v>
      </c>
      <c r="M1127" s="6">
        <f t="shared" si="70"/>
        <v>41.262844036697246</v>
      </c>
      <c r="N1127" s="8">
        <f t="shared" si="71"/>
        <v>2.3457294364834973</v>
      </c>
    </row>
    <row r="1128" spans="1:14" x14ac:dyDescent="0.45">
      <c r="A1128" s="12">
        <v>45595</v>
      </c>
      <c r="B1128" s="2" t="s">
        <v>20</v>
      </c>
      <c r="C1128" s="2" t="s">
        <v>28</v>
      </c>
      <c r="D1128" s="2" t="s">
        <v>21</v>
      </c>
      <c r="E1128" s="2" t="s">
        <v>30</v>
      </c>
      <c r="F1128" s="2">
        <v>158807</v>
      </c>
      <c r="G1128" s="2">
        <v>5859</v>
      </c>
      <c r="H1128" s="2">
        <v>3339.63</v>
      </c>
      <c r="I1128" s="2">
        <v>73</v>
      </c>
      <c r="J1128" s="2">
        <v>7304.51</v>
      </c>
      <c r="K1128" s="4">
        <f t="shared" si="68"/>
        <v>3.6893839692205006E-2</v>
      </c>
      <c r="L1128" s="6">
        <f t="shared" si="69"/>
        <v>0.57000000000000006</v>
      </c>
      <c r="M1128" s="6">
        <f t="shared" si="70"/>
        <v>45.748356164383566</v>
      </c>
      <c r="N1128" s="8">
        <f t="shared" si="71"/>
        <v>2.187221338890835</v>
      </c>
    </row>
    <row r="1129" spans="1:14" x14ac:dyDescent="0.45">
      <c r="A1129" s="12">
        <v>45583</v>
      </c>
      <c r="B1129" s="2" t="s">
        <v>35</v>
      </c>
      <c r="C1129" s="2" t="s">
        <v>24</v>
      </c>
      <c r="D1129" s="2" t="s">
        <v>21</v>
      </c>
      <c r="E1129" s="2" t="s">
        <v>54</v>
      </c>
      <c r="F1129" s="2">
        <v>66265</v>
      </c>
      <c r="G1129" s="2">
        <v>1881</v>
      </c>
      <c r="H1129" s="2">
        <v>3837.24</v>
      </c>
      <c r="I1129" s="2">
        <v>76</v>
      </c>
      <c r="J1129" s="2">
        <v>2782.02</v>
      </c>
      <c r="K1129" s="4">
        <f t="shared" si="68"/>
        <v>2.8386025805478006E-2</v>
      </c>
      <c r="L1129" s="6">
        <f t="shared" si="69"/>
        <v>2.04</v>
      </c>
      <c r="M1129" s="6">
        <f t="shared" si="70"/>
        <v>50.489999999999995</v>
      </c>
      <c r="N1129" s="8">
        <f t="shared" si="71"/>
        <v>0.72500547268349125</v>
      </c>
    </row>
    <row r="1130" spans="1:14" x14ac:dyDescent="0.45">
      <c r="A1130" s="12">
        <v>45333</v>
      </c>
      <c r="B1130" s="2" t="s">
        <v>15</v>
      </c>
      <c r="C1130" s="2" t="s">
        <v>16</v>
      </c>
      <c r="D1130" s="2" t="s">
        <v>29</v>
      </c>
      <c r="E1130" s="2" t="s">
        <v>22</v>
      </c>
      <c r="F1130" s="2">
        <v>137156</v>
      </c>
      <c r="G1130" s="2">
        <v>5253</v>
      </c>
      <c r="H1130" s="2">
        <v>11293.95</v>
      </c>
      <c r="I1130" s="2">
        <v>280</v>
      </c>
      <c r="J1130" s="2">
        <v>75085.66</v>
      </c>
      <c r="K1130" s="4">
        <f t="shared" si="68"/>
        <v>3.8299454635597419E-2</v>
      </c>
      <c r="L1130" s="6">
        <f t="shared" si="69"/>
        <v>2.1500000000000004</v>
      </c>
      <c r="M1130" s="6">
        <f t="shared" si="70"/>
        <v>40.335535714285719</v>
      </c>
      <c r="N1130" s="8">
        <f t="shared" si="71"/>
        <v>6.6483081649909908</v>
      </c>
    </row>
    <row r="1131" spans="1:14" x14ac:dyDescent="0.45">
      <c r="A1131" s="12">
        <v>45654</v>
      </c>
      <c r="B1131" s="2" t="s">
        <v>15</v>
      </c>
      <c r="C1131" s="2" t="s">
        <v>28</v>
      </c>
      <c r="D1131" s="2" t="s">
        <v>17</v>
      </c>
      <c r="E1131" s="2" t="s">
        <v>51</v>
      </c>
      <c r="F1131" s="2">
        <v>123292</v>
      </c>
      <c r="G1131" s="2">
        <v>2527</v>
      </c>
      <c r="H1131" s="2">
        <v>8970.85</v>
      </c>
      <c r="I1131" s="2">
        <v>179</v>
      </c>
      <c r="J1131" s="2">
        <v>36566.559999999998</v>
      </c>
      <c r="K1131" s="4">
        <f t="shared" si="68"/>
        <v>2.0496058138403141E-2</v>
      </c>
      <c r="L1131" s="6">
        <f t="shared" si="69"/>
        <v>3.5500000000000003</v>
      </c>
      <c r="M1131" s="6">
        <f t="shared" si="70"/>
        <v>50.116480446927376</v>
      </c>
      <c r="N1131" s="8">
        <f t="shared" si="71"/>
        <v>4.0761533188047947</v>
      </c>
    </row>
    <row r="1132" spans="1:14" x14ac:dyDescent="0.45">
      <c r="A1132" s="12">
        <v>45511</v>
      </c>
      <c r="B1132" s="2" t="s">
        <v>20</v>
      </c>
      <c r="C1132" s="2" t="s">
        <v>38</v>
      </c>
      <c r="D1132" s="2" t="s">
        <v>17</v>
      </c>
      <c r="E1132" s="2" t="s">
        <v>22</v>
      </c>
      <c r="F1132" s="2">
        <v>68642</v>
      </c>
      <c r="G1132" s="2">
        <v>3363</v>
      </c>
      <c r="H1132" s="2">
        <v>1244.31</v>
      </c>
      <c r="I1132" s="2">
        <v>37</v>
      </c>
      <c r="J1132" s="2">
        <v>8887.57</v>
      </c>
      <c r="K1132" s="4">
        <f t="shared" si="68"/>
        <v>4.8993327700241833E-2</v>
      </c>
      <c r="L1132" s="6">
        <f t="shared" si="69"/>
        <v>0.37</v>
      </c>
      <c r="M1132" s="6">
        <f t="shared" si="70"/>
        <v>33.629999999999995</v>
      </c>
      <c r="N1132" s="8">
        <f t="shared" si="71"/>
        <v>7.1425689739695093</v>
      </c>
    </row>
    <row r="1133" spans="1:14" x14ac:dyDescent="0.45">
      <c r="A1133" s="12">
        <v>45342</v>
      </c>
      <c r="B1133" s="2" t="s">
        <v>15</v>
      </c>
      <c r="C1133" s="2" t="s">
        <v>28</v>
      </c>
      <c r="D1133" s="2" t="s">
        <v>29</v>
      </c>
      <c r="E1133" s="2" t="s">
        <v>33</v>
      </c>
      <c r="F1133" s="2">
        <v>147727</v>
      </c>
      <c r="G1133" s="2">
        <v>7534</v>
      </c>
      <c r="H1133" s="2">
        <v>17554.22</v>
      </c>
      <c r="I1133" s="2">
        <v>206</v>
      </c>
      <c r="J1133" s="2">
        <v>23788.98</v>
      </c>
      <c r="K1133" s="4">
        <f t="shared" si="68"/>
        <v>5.0999478768268498E-2</v>
      </c>
      <c r="L1133" s="6">
        <f t="shared" si="69"/>
        <v>2.33</v>
      </c>
      <c r="M1133" s="6">
        <f t="shared" si="70"/>
        <v>85.214660194174769</v>
      </c>
      <c r="N1133" s="8">
        <f t="shared" si="71"/>
        <v>1.3551715769769319</v>
      </c>
    </row>
    <row r="1134" spans="1:14" x14ac:dyDescent="0.45">
      <c r="A1134" s="12">
        <v>45361</v>
      </c>
      <c r="B1134" s="2" t="s">
        <v>20</v>
      </c>
      <c r="C1134" s="2" t="s">
        <v>16</v>
      </c>
      <c r="D1134" s="2" t="s">
        <v>41</v>
      </c>
      <c r="E1134" s="2" t="s">
        <v>54</v>
      </c>
      <c r="F1134" s="2">
        <v>179818</v>
      </c>
      <c r="G1134" s="2">
        <v>11724</v>
      </c>
      <c r="H1134" s="2">
        <v>12075.72</v>
      </c>
      <c r="I1134" s="2">
        <v>880</v>
      </c>
      <c r="J1134" s="2">
        <v>242039.99</v>
      </c>
      <c r="K1134" s="4">
        <f t="shared" si="68"/>
        <v>6.5199257026549065E-2</v>
      </c>
      <c r="L1134" s="6">
        <f t="shared" si="69"/>
        <v>1.03</v>
      </c>
      <c r="M1134" s="6">
        <f t="shared" si="70"/>
        <v>13.722409090909091</v>
      </c>
      <c r="N1134" s="8">
        <f t="shared" si="71"/>
        <v>20.043524526901916</v>
      </c>
    </row>
    <row r="1135" spans="1:14" x14ac:dyDescent="0.45">
      <c r="A1135" s="12">
        <v>45590</v>
      </c>
      <c r="B1135" s="2" t="s">
        <v>15</v>
      </c>
      <c r="C1135" s="2" t="s">
        <v>38</v>
      </c>
      <c r="D1135" s="2" t="s">
        <v>17</v>
      </c>
      <c r="E1135" s="2" t="s">
        <v>54</v>
      </c>
      <c r="F1135" s="2">
        <v>158481</v>
      </c>
      <c r="G1135" s="2">
        <v>6053</v>
      </c>
      <c r="H1135" s="2">
        <v>9866.39</v>
      </c>
      <c r="I1135" s="2">
        <v>116</v>
      </c>
      <c r="J1135" s="2">
        <v>30091.81</v>
      </c>
      <c r="K1135" s="4">
        <f t="shared" si="68"/>
        <v>3.8193852890882819E-2</v>
      </c>
      <c r="L1135" s="6">
        <f t="shared" si="69"/>
        <v>1.63</v>
      </c>
      <c r="M1135" s="6">
        <f t="shared" si="70"/>
        <v>85.055086206896547</v>
      </c>
      <c r="N1135" s="8">
        <f t="shared" si="71"/>
        <v>3.0499311298256</v>
      </c>
    </row>
    <row r="1136" spans="1:14" x14ac:dyDescent="0.45">
      <c r="A1136" s="12">
        <v>45453</v>
      </c>
      <c r="B1136" s="2" t="s">
        <v>20</v>
      </c>
      <c r="C1136" s="2" t="s">
        <v>16</v>
      </c>
      <c r="D1136" s="2" t="s">
        <v>17</v>
      </c>
      <c r="E1136" s="2" t="s">
        <v>51</v>
      </c>
      <c r="F1136" s="2">
        <v>12784</v>
      </c>
      <c r="G1136" s="2">
        <v>1055</v>
      </c>
      <c r="H1136" s="2">
        <v>400.9</v>
      </c>
      <c r="I1136" s="2">
        <v>67</v>
      </c>
      <c r="J1136" s="2">
        <v>12031.35</v>
      </c>
      <c r="K1136" s="4">
        <f t="shared" si="68"/>
        <v>8.2525031289111386E-2</v>
      </c>
      <c r="L1136" s="6">
        <f t="shared" si="69"/>
        <v>0.38</v>
      </c>
      <c r="M1136" s="6">
        <f t="shared" si="70"/>
        <v>5.9835820895522387</v>
      </c>
      <c r="N1136" s="8">
        <f t="shared" si="71"/>
        <v>30.010850586181096</v>
      </c>
    </row>
    <row r="1137" spans="1:14" x14ac:dyDescent="0.45">
      <c r="A1137" s="12">
        <v>45637</v>
      </c>
      <c r="B1137" s="2" t="s">
        <v>35</v>
      </c>
      <c r="C1137" s="2" t="s">
        <v>24</v>
      </c>
      <c r="D1137" s="2" t="s">
        <v>21</v>
      </c>
      <c r="E1137" s="2" t="s">
        <v>54</v>
      </c>
      <c r="F1137" s="2">
        <v>117169</v>
      </c>
      <c r="G1137" s="2">
        <v>3304</v>
      </c>
      <c r="H1137" s="2">
        <v>4196.08</v>
      </c>
      <c r="I1137" s="2">
        <v>83</v>
      </c>
      <c r="J1137" s="2">
        <v>20949.79</v>
      </c>
      <c r="K1137" s="4">
        <f t="shared" si="68"/>
        <v>2.8198584949944098E-2</v>
      </c>
      <c r="L1137" s="6">
        <f t="shared" si="69"/>
        <v>1.27</v>
      </c>
      <c r="M1137" s="6">
        <f t="shared" si="70"/>
        <v>50.555180722891564</v>
      </c>
      <c r="N1137" s="8">
        <f t="shared" si="71"/>
        <v>4.992705096185011</v>
      </c>
    </row>
    <row r="1138" spans="1:14" x14ac:dyDescent="0.45">
      <c r="A1138" s="12">
        <v>45308</v>
      </c>
      <c r="B1138" s="2" t="s">
        <v>35</v>
      </c>
      <c r="C1138" s="2" t="s">
        <v>24</v>
      </c>
      <c r="D1138" s="2" t="s">
        <v>21</v>
      </c>
      <c r="E1138" s="2" t="s">
        <v>30</v>
      </c>
      <c r="F1138" s="2">
        <v>190928</v>
      </c>
      <c r="G1138" s="2">
        <v>5078</v>
      </c>
      <c r="H1138" s="2">
        <v>7363.1</v>
      </c>
      <c r="I1138" s="2">
        <v>186</v>
      </c>
      <c r="J1138" s="2">
        <v>47430.11</v>
      </c>
      <c r="K1138" s="4">
        <f t="shared" si="68"/>
        <v>2.6596413307634292E-2</v>
      </c>
      <c r="L1138" s="6">
        <f t="shared" si="69"/>
        <v>1.4500000000000002</v>
      </c>
      <c r="M1138" s="6">
        <f t="shared" si="70"/>
        <v>39.586559139784946</v>
      </c>
      <c r="N1138" s="8">
        <f t="shared" si="71"/>
        <v>6.4415952519998365</v>
      </c>
    </row>
    <row r="1139" spans="1:14" x14ac:dyDescent="0.45">
      <c r="A1139" s="12">
        <v>45638</v>
      </c>
      <c r="B1139" s="2" t="s">
        <v>15</v>
      </c>
      <c r="C1139" s="2" t="s">
        <v>16</v>
      </c>
      <c r="D1139" s="2" t="s">
        <v>41</v>
      </c>
      <c r="E1139" s="2" t="s">
        <v>51</v>
      </c>
      <c r="F1139" s="2">
        <v>38512</v>
      </c>
      <c r="G1139" s="2">
        <v>1840</v>
      </c>
      <c r="H1139" s="2">
        <v>2465.6</v>
      </c>
      <c r="I1139" s="2">
        <v>53</v>
      </c>
      <c r="J1139" s="2">
        <v>3324.76</v>
      </c>
      <c r="K1139" s="4">
        <f t="shared" si="68"/>
        <v>4.7777316161196508E-2</v>
      </c>
      <c r="L1139" s="6">
        <f t="shared" si="69"/>
        <v>1.3399999999999999</v>
      </c>
      <c r="M1139" s="6">
        <f t="shared" si="70"/>
        <v>46.520754716981131</v>
      </c>
      <c r="N1139" s="8">
        <f t="shared" si="71"/>
        <v>1.3484587929915641</v>
      </c>
    </row>
    <row r="1140" spans="1:14" x14ac:dyDescent="0.45">
      <c r="A1140" s="12">
        <v>45333</v>
      </c>
      <c r="B1140" s="2" t="s">
        <v>35</v>
      </c>
      <c r="C1140" s="2" t="s">
        <v>24</v>
      </c>
      <c r="D1140" s="2" t="s">
        <v>29</v>
      </c>
      <c r="E1140" s="2" t="s">
        <v>18</v>
      </c>
      <c r="F1140" s="2">
        <v>92986</v>
      </c>
      <c r="G1140" s="2">
        <v>2082</v>
      </c>
      <c r="H1140" s="2">
        <v>3601.86</v>
      </c>
      <c r="I1140" s="2">
        <v>108</v>
      </c>
      <c r="J1140" s="2">
        <v>6838.55</v>
      </c>
      <c r="K1140" s="4">
        <f t="shared" si="68"/>
        <v>2.2390467382186564E-2</v>
      </c>
      <c r="L1140" s="6">
        <f t="shared" si="69"/>
        <v>1.73</v>
      </c>
      <c r="M1140" s="6">
        <f t="shared" si="70"/>
        <v>33.350555555555559</v>
      </c>
      <c r="N1140" s="8">
        <f t="shared" si="71"/>
        <v>1.8986162704824729</v>
      </c>
    </row>
    <row r="1141" spans="1:14" x14ac:dyDescent="0.45">
      <c r="A1141" s="12">
        <v>45411</v>
      </c>
      <c r="B1141" s="2" t="s">
        <v>35</v>
      </c>
      <c r="C1141" s="2" t="s">
        <v>16</v>
      </c>
      <c r="D1141" s="2" t="s">
        <v>25</v>
      </c>
      <c r="E1141" s="2" t="s">
        <v>18</v>
      </c>
      <c r="F1141" s="2">
        <v>80589</v>
      </c>
      <c r="G1141" s="2">
        <v>1160</v>
      </c>
      <c r="H1141" s="2">
        <v>1102</v>
      </c>
      <c r="I1141" s="2">
        <v>75</v>
      </c>
      <c r="J1141" s="2">
        <v>21781.43</v>
      </c>
      <c r="K1141" s="4">
        <f t="shared" si="68"/>
        <v>1.4394023998312425E-2</v>
      </c>
      <c r="L1141" s="6">
        <f t="shared" si="69"/>
        <v>0.95</v>
      </c>
      <c r="M1141" s="6">
        <f t="shared" si="70"/>
        <v>14.693333333333333</v>
      </c>
      <c r="N1141" s="8">
        <f t="shared" si="71"/>
        <v>19.765362976406532</v>
      </c>
    </row>
    <row r="1142" spans="1:14" x14ac:dyDescent="0.45">
      <c r="A1142" s="12">
        <v>45492</v>
      </c>
      <c r="B1142" s="2" t="s">
        <v>35</v>
      </c>
      <c r="C1142" s="2" t="s">
        <v>38</v>
      </c>
      <c r="D1142" s="2" t="s">
        <v>21</v>
      </c>
      <c r="E1142" s="2" t="s">
        <v>51</v>
      </c>
      <c r="F1142" s="2">
        <v>140475</v>
      </c>
      <c r="G1142" s="2">
        <v>5043</v>
      </c>
      <c r="H1142" s="2">
        <v>10287.719999999999</v>
      </c>
      <c r="I1142" s="2">
        <v>327</v>
      </c>
      <c r="J1142" s="2">
        <v>96504.49</v>
      </c>
      <c r="K1142" s="4">
        <f t="shared" si="68"/>
        <v>3.5899626268019222E-2</v>
      </c>
      <c r="L1142" s="6">
        <f t="shared" si="69"/>
        <v>2.04</v>
      </c>
      <c r="M1142" s="6">
        <f t="shared" si="70"/>
        <v>31.460917431192659</v>
      </c>
      <c r="N1142" s="8">
        <f t="shared" si="71"/>
        <v>9.3805517646281213</v>
      </c>
    </row>
    <row r="1143" spans="1:14" x14ac:dyDescent="0.45">
      <c r="A1143" s="12">
        <v>45544</v>
      </c>
      <c r="B1143" s="2" t="s">
        <v>15</v>
      </c>
      <c r="C1143" s="2" t="s">
        <v>24</v>
      </c>
      <c r="D1143" s="2" t="s">
        <v>41</v>
      </c>
      <c r="E1143" s="2" t="s">
        <v>33</v>
      </c>
      <c r="F1143" s="2">
        <v>103348</v>
      </c>
      <c r="G1143" s="2">
        <v>1891</v>
      </c>
      <c r="H1143" s="2">
        <v>2912.14</v>
      </c>
      <c r="I1143" s="2">
        <v>30</v>
      </c>
      <c r="J1143" s="2">
        <v>1064.02</v>
      </c>
      <c r="K1143" s="4">
        <f t="shared" si="68"/>
        <v>1.8297402949258815E-2</v>
      </c>
      <c r="L1143" s="6">
        <f t="shared" si="69"/>
        <v>1.54</v>
      </c>
      <c r="M1143" s="6">
        <f t="shared" si="70"/>
        <v>97.071333333333328</v>
      </c>
      <c r="N1143" s="8">
        <f t="shared" si="71"/>
        <v>0.36537391746275938</v>
      </c>
    </row>
    <row r="1144" spans="1:14" x14ac:dyDescent="0.45">
      <c r="A1144" s="12">
        <v>45308</v>
      </c>
      <c r="B1144" s="2" t="s">
        <v>35</v>
      </c>
      <c r="C1144" s="2" t="s">
        <v>16</v>
      </c>
      <c r="D1144" s="2" t="s">
        <v>21</v>
      </c>
      <c r="E1144" s="2" t="s">
        <v>54</v>
      </c>
      <c r="F1144" s="2">
        <v>100343</v>
      </c>
      <c r="G1144" s="2">
        <v>3461</v>
      </c>
      <c r="H1144" s="2">
        <v>3737.88</v>
      </c>
      <c r="I1144" s="2">
        <v>259</v>
      </c>
      <c r="J1144" s="2">
        <v>51755.16</v>
      </c>
      <c r="K1144" s="4">
        <f t="shared" si="68"/>
        <v>3.4491693491324756E-2</v>
      </c>
      <c r="L1144" s="6">
        <f t="shared" si="69"/>
        <v>1.08</v>
      </c>
      <c r="M1144" s="6">
        <f t="shared" si="70"/>
        <v>14.431969111969112</v>
      </c>
      <c r="N1144" s="8">
        <f t="shared" si="71"/>
        <v>13.846126681434397</v>
      </c>
    </row>
    <row r="1145" spans="1:14" x14ac:dyDescent="0.45">
      <c r="A1145" s="12">
        <v>45494</v>
      </c>
      <c r="B1145" s="2" t="s">
        <v>20</v>
      </c>
      <c r="C1145" s="2" t="s">
        <v>38</v>
      </c>
      <c r="D1145" s="2" t="s">
        <v>29</v>
      </c>
      <c r="E1145" s="2" t="s">
        <v>18</v>
      </c>
      <c r="F1145" s="2">
        <v>179039</v>
      </c>
      <c r="G1145" s="2">
        <v>14663</v>
      </c>
      <c r="H1145" s="2">
        <v>19941.68</v>
      </c>
      <c r="I1145" s="2">
        <v>1151</v>
      </c>
      <c r="J1145" s="2">
        <v>281693.26</v>
      </c>
      <c r="K1145" s="4">
        <f t="shared" si="68"/>
        <v>8.189835734113797E-2</v>
      </c>
      <c r="L1145" s="6">
        <f t="shared" si="69"/>
        <v>1.36</v>
      </c>
      <c r="M1145" s="6">
        <f t="shared" si="70"/>
        <v>17.325525629887053</v>
      </c>
      <c r="N1145" s="8">
        <f t="shared" si="71"/>
        <v>14.125853990235527</v>
      </c>
    </row>
    <row r="1146" spans="1:14" x14ac:dyDescent="0.45">
      <c r="A1146" s="12">
        <v>45402</v>
      </c>
      <c r="B1146" s="2" t="s">
        <v>35</v>
      </c>
      <c r="C1146" s="2" t="s">
        <v>38</v>
      </c>
      <c r="D1146" s="2" t="s">
        <v>29</v>
      </c>
      <c r="E1146" s="2" t="s">
        <v>22</v>
      </c>
      <c r="F1146" s="2">
        <v>13100</v>
      </c>
      <c r="G1146" s="2">
        <v>186</v>
      </c>
      <c r="H1146" s="2">
        <v>279</v>
      </c>
      <c r="I1146" s="2">
        <v>10</v>
      </c>
      <c r="J1146" s="2">
        <v>1347.41</v>
      </c>
      <c r="K1146" s="4">
        <f t="shared" si="68"/>
        <v>1.4198473282442748E-2</v>
      </c>
      <c r="L1146" s="6">
        <f t="shared" si="69"/>
        <v>1.5</v>
      </c>
      <c r="M1146" s="6">
        <f t="shared" si="70"/>
        <v>27.9</v>
      </c>
      <c r="N1146" s="8">
        <f t="shared" si="71"/>
        <v>4.8294265232974913</v>
      </c>
    </row>
    <row r="1147" spans="1:14" x14ac:dyDescent="0.45">
      <c r="A1147" s="12">
        <v>45326</v>
      </c>
      <c r="B1147" s="2" t="s">
        <v>15</v>
      </c>
      <c r="C1147" s="2" t="s">
        <v>16</v>
      </c>
      <c r="D1147" s="2" t="s">
        <v>21</v>
      </c>
      <c r="E1147" s="2" t="s">
        <v>18</v>
      </c>
      <c r="F1147" s="2">
        <v>167198</v>
      </c>
      <c r="G1147" s="2">
        <v>5132</v>
      </c>
      <c r="H1147" s="2">
        <v>11854.92</v>
      </c>
      <c r="I1147" s="2">
        <v>120</v>
      </c>
      <c r="J1147" s="2">
        <v>19874.34</v>
      </c>
      <c r="K1147" s="4">
        <f t="shared" si="68"/>
        <v>3.069414705917535E-2</v>
      </c>
      <c r="L1147" s="6">
        <f t="shared" si="69"/>
        <v>2.31</v>
      </c>
      <c r="M1147" s="6">
        <f t="shared" si="70"/>
        <v>98.790999999999997</v>
      </c>
      <c r="N1147" s="8">
        <f t="shared" si="71"/>
        <v>1.6764634430261867</v>
      </c>
    </row>
    <row r="1148" spans="1:14" x14ac:dyDescent="0.45">
      <c r="A1148" s="12">
        <v>45543</v>
      </c>
      <c r="B1148" s="2" t="s">
        <v>35</v>
      </c>
      <c r="C1148" s="2" t="s">
        <v>24</v>
      </c>
      <c r="D1148" s="2" t="s">
        <v>41</v>
      </c>
      <c r="E1148" s="2" t="s">
        <v>22</v>
      </c>
      <c r="F1148" s="2">
        <v>35755</v>
      </c>
      <c r="G1148" s="2">
        <v>672</v>
      </c>
      <c r="H1148" s="2">
        <v>1350.72</v>
      </c>
      <c r="I1148" s="2">
        <v>39</v>
      </c>
      <c r="J1148" s="2">
        <v>1411.24</v>
      </c>
      <c r="K1148" s="4">
        <f t="shared" si="68"/>
        <v>1.8794574185428611E-2</v>
      </c>
      <c r="L1148" s="6">
        <f t="shared" si="69"/>
        <v>2.0100000000000002</v>
      </c>
      <c r="M1148" s="6">
        <f t="shared" si="70"/>
        <v>34.633846153846157</v>
      </c>
      <c r="N1148" s="8">
        <f t="shared" si="71"/>
        <v>1.044805733238569</v>
      </c>
    </row>
    <row r="1149" spans="1:14" x14ac:dyDescent="0.45">
      <c r="A1149" s="12">
        <v>45399</v>
      </c>
      <c r="B1149" s="2" t="s">
        <v>15</v>
      </c>
      <c r="C1149" s="2" t="s">
        <v>38</v>
      </c>
      <c r="D1149" s="2" t="s">
        <v>41</v>
      </c>
      <c r="E1149" s="2" t="s">
        <v>30</v>
      </c>
      <c r="F1149" s="2">
        <v>177420</v>
      </c>
      <c r="G1149" s="2">
        <v>7646</v>
      </c>
      <c r="H1149" s="2">
        <v>18503.32</v>
      </c>
      <c r="I1149" s="2">
        <v>478</v>
      </c>
      <c r="J1149" s="2">
        <v>110744.54</v>
      </c>
      <c r="K1149" s="4">
        <f t="shared" si="68"/>
        <v>4.3095479652801263E-2</v>
      </c>
      <c r="L1149" s="6">
        <f t="shared" si="69"/>
        <v>2.42</v>
      </c>
      <c r="M1149" s="6">
        <f t="shared" si="70"/>
        <v>38.709874476987444</v>
      </c>
      <c r="N1149" s="8">
        <f t="shared" si="71"/>
        <v>5.985117265442093</v>
      </c>
    </row>
    <row r="1150" spans="1:14" x14ac:dyDescent="0.45">
      <c r="A1150" s="12">
        <v>45343</v>
      </c>
      <c r="B1150" s="2" t="s">
        <v>15</v>
      </c>
      <c r="C1150" s="2" t="s">
        <v>16</v>
      </c>
      <c r="D1150" s="2" t="s">
        <v>29</v>
      </c>
      <c r="E1150" s="2" t="s">
        <v>18</v>
      </c>
      <c r="F1150" s="2">
        <v>195067</v>
      </c>
      <c r="G1150" s="2">
        <v>9129</v>
      </c>
      <c r="H1150" s="2">
        <v>8672.5499999999993</v>
      </c>
      <c r="I1150" s="2">
        <v>128</v>
      </c>
      <c r="J1150" s="2">
        <v>24006.78</v>
      </c>
      <c r="K1150" s="4">
        <f t="shared" si="68"/>
        <v>4.6799304854229576E-2</v>
      </c>
      <c r="L1150" s="6">
        <f t="shared" si="69"/>
        <v>0.95</v>
      </c>
      <c r="M1150" s="6">
        <f t="shared" si="70"/>
        <v>67.754296874999994</v>
      </c>
      <c r="N1150" s="8">
        <f t="shared" si="71"/>
        <v>2.7681339398446823</v>
      </c>
    </row>
    <row r="1151" spans="1:14" x14ac:dyDescent="0.45">
      <c r="A1151" s="12">
        <v>45321</v>
      </c>
      <c r="B1151" s="2" t="s">
        <v>15</v>
      </c>
      <c r="C1151" s="2" t="s">
        <v>38</v>
      </c>
      <c r="D1151" s="2" t="s">
        <v>21</v>
      </c>
      <c r="E1151" s="2" t="s">
        <v>26</v>
      </c>
      <c r="F1151" s="2">
        <v>44435</v>
      </c>
      <c r="G1151" s="2">
        <v>1453</v>
      </c>
      <c r="H1151" s="2">
        <v>3894.04</v>
      </c>
      <c r="I1151" s="2">
        <v>48</v>
      </c>
      <c r="J1151" s="2">
        <v>6345.04</v>
      </c>
      <c r="K1151" s="4">
        <f t="shared" si="68"/>
        <v>3.2699448632834478E-2</v>
      </c>
      <c r="L1151" s="6">
        <f t="shared" si="69"/>
        <v>2.68</v>
      </c>
      <c r="M1151" s="6">
        <f t="shared" si="70"/>
        <v>81.125833333333333</v>
      </c>
      <c r="N1151" s="8">
        <f t="shared" si="71"/>
        <v>1.6294234265698349</v>
      </c>
    </row>
    <row r="1152" spans="1:14" x14ac:dyDescent="0.45">
      <c r="A1152" s="12">
        <v>45386</v>
      </c>
      <c r="B1152" s="2" t="s">
        <v>20</v>
      </c>
      <c r="C1152" s="2" t="s">
        <v>16</v>
      </c>
      <c r="D1152" s="2" t="s">
        <v>29</v>
      </c>
      <c r="E1152" s="2" t="s">
        <v>18</v>
      </c>
      <c r="F1152" s="2">
        <v>57448</v>
      </c>
      <c r="G1152" s="2">
        <v>2338</v>
      </c>
      <c r="H1152" s="2">
        <v>1169</v>
      </c>
      <c r="I1152" s="2">
        <v>143</v>
      </c>
      <c r="J1152" s="2">
        <v>25654.560000000001</v>
      </c>
      <c r="K1152" s="4">
        <f t="shared" si="68"/>
        <v>4.0697674418604654E-2</v>
      </c>
      <c r="L1152" s="6">
        <f t="shared" si="69"/>
        <v>0.5</v>
      </c>
      <c r="M1152" s="6">
        <f t="shared" si="70"/>
        <v>8.174825174825175</v>
      </c>
      <c r="N1152" s="8">
        <f t="shared" si="71"/>
        <v>21.945731394354151</v>
      </c>
    </row>
    <row r="1153" spans="1:14" x14ac:dyDescent="0.45">
      <c r="A1153" s="12">
        <v>45297</v>
      </c>
      <c r="B1153" s="2" t="s">
        <v>15</v>
      </c>
      <c r="C1153" s="2" t="s">
        <v>24</v>
      </c>
      <c r="D1153" s="2" t="s">
        <v>41</v>
      </c>
      <c r="E1153" s="2" t="s">
        <v>22</v>
      </c>
      <c r="F1153" s="2">
        <v>139158</v>
      </c>
      <c r="G1153" s="2">
        <v>3061</v>
      </c>
      <c r="H1153" s="2">
        <v>3887.47</v>
      </c>
      <c r="I1153" s="2">
        <v>118</v>
      </c>
      <c r="J1153" s="2">
        <v>15835.46</v>
      </c>
      <c r="K1153" s="4">
        <f t="shared" si="68"/>
        <v>2.1996579427700887E-2</v>
      </c>
      <c r="L1153" s="6">
        <f t="shared" si="69"/>
        <v>1.27</v>
      </c>
      <c r="M1153" s="6">
        <f t="shared" si="70"/>
        <v>32.944661016949148</v>
      </c>
      <c r="N1153" s="8">
        <f t="shared" si="71"/>
        <v>4.0734616601542903</v>
      </c>
    </row>
    <row r="1154" spans="1:14" x14ac:dyDescent="0.45">
      <c r="A1154" s="12">
        <v>45351</v>
      </c>
      <c r="B1154" s="2" t="s">
        <v>35</v>
      </c>
      <c r="C1154" s="2" t="s">
        <v>38</v>
      </c>
      <c r="D1154" s="2" t="s">
        <v>25</v>
      </c>
      <c r="E1154" s="2" t="s">
        <v>30</v>
      </c>
      <c r="F1154" s="2">
        <v>148463</v>
      </c>
      <c r="G1154" s="2">
        <v>4810</v>
      </c>
      <c r="H1154" s="2">
        <v>10149.1</v>
      </c>
      <c r="I1154" s="2">
        <v>286</v>
      </c>
      <c r="J1154" s="2">
        <v>68709.259999999995</v>
      </c>
      <c r="K1154" s="4">
        <f t="shared" si="68"/>
        <v>3.2398644780180917E-2</v>
      </c>
      <c r="L1154" s="6">
        <f t="shared" si="69"/>
        <v>2.11</v>
      </c>
      <c r="M1154" s="6">
        <f t="shared" si="70"/>
        <v>35.486363636363635</v>
      </c>
      <c r="N1154" s="8">
        <f t="shared" si="71"/>
        <v>6.769985515957079</v>
      </c>
    </row>
    <row r="1155" spans="1:14" x14ac:dyDescent="0.45">
      <c r="A1155" s="12">
        <v>45318</v>
      </c>
      <c r="B1155" s="2" t="s">
        <v>35</v>
      </c>
      <c r="C1155" s="2" t="s">
        <v>16</v>
      </c>
      <c r="D1155" s="2" t="s">
        <v>41</v>
      </c>
      <c r="E1155" s="2" t="s">
        <v>54</v>
      </c>
      <c r="F1155" s="2">
        <v>30123</v>
      </c>
      <c r="G1155" s="2">
        <v>554</v>
      </c>
      <c r="H1155" s="2">
        <v>986.12</v>
      </c>
      <c r="I1155" s="2">
        <v>15</v>
      </c>
      <c r="J1155" s="2">
        <v>2874.83</v>
      </c>
      <c r="K1155" s="4">
        <f t="shared" ref="K1155:K1218" si="72" xml:space="preserve"> G1155 / F1155</f>
        <v>1.8391262490455799E-2</v>
      </c>
      <c r="L1155" s="6">
        <f t="shared" ref="L1155:L1218" si="73">H1155/G1155</f>
        <v>1.78</v>
      </c>
      <c r="M1155" s="6">
        <f t="shared" ref="M1155:M1218" si="74">H1155/I1155</f>
        <v>65.74133333333333</v>
      </c>
      <c r="N1155" s="8">
        <f t="shared" ref="N1155:N1218" si="75">J1155/H1155</f>
        <v>2.9152942846712366</v>
      </c>
    </row>
    <row r="1156" spans="1:14" x14ac:dyDescent="0.45">
      <c r="A1156" s="12">
        <v>45296</v>
      </c>
      <c r="B1156" s="2" t="s">
        <v>35</v>
      </c>
      <c r="C1156" s="2" t="s">
        <v>28</v>
      </c>
      <c r="D1156" s="2" t="s">
        <v>41</v>
      </c>
      <c r="E1156" s="2" t="s">
        <v>26</v>
      </c>
      <c r="F1156" s="2">
        <v>139257</v>
      </c>
      <c r="G1156" s="2">
        <v>2631</v>
      </c>
      <c r="H1156" s="2">
        <v>4235.91</v>
      </c>
      <c r="I1156" s="2">
        <v>99</v>
      </c>
      <c r="J1156" s="2">
        <v>9781.2800000000007</v>
      </c>
      <c r="K1156" s="4">
        <f t="shared" si="72"/>
        <v>1.8893125659751396E-2</v>
      </c>
      <c r="L1156" s="6">
        <f t="shared" si="73"/>
        <v>1.6099999999999999</v>
      </c>
      <c r="M1156" s="6">
        <f t="shared" si="74"/>
        <v>42.786969696969699</v>
      </c>
      <c r="N1156" s="8">
        <f t="shared" si="75"/>
        <v>2.3091331024502413</v>
      </c>
    </row>
    <row r="1157" spans="1:14" x14ac:dyDescent="0.45">
      <c r="A1157" s="12">
        <v>45479</v>
      </c>
      <c r="B1157" s="2" t="s">
        <v>15</v>
      </c>
      <c r="C1157" s="2" t="s">
        <v>16</v>
      </c>
      <c r="D1157" s="2" t="s">
        <v>25</v>
      </c>
      <c r="E1157" s="2" t="s">
        <v>30</v>
      </c>
      <c r="F1157" s="2">
        <v>103053</v>
      </c>
      <c r="G1157" s="2">
        <v>2607</v>
      </c>
      <c r="H1157" s="2">
        <v>5709.33</v>
      </c>
      <c r="I1157" s="2">
        <v>194</v>
      </c>
      <c r="J1157" s="2">
        <v>39533.49</v>
      </c>
      <c r="K1157" s="4">
        <f t="shared" si="72"/>
        <v>2.5297662367907776E-2</v>
      </c>
      <c r="L1157" s="6">
        <f t="shared" si="73"/>
        <v>2.19</v>
      </c>
      <c r="M1157" s="6">
        <f t="shared" si="74"/>
        <v>29.429536082474225</v>
      </c>
      <c r="N1157" s="8">
        <f t="shared" si="75"/>
        <v>6.924365906332266</v>
      </c>
    </row>
    <row r="1158" spans="1:14" x14ac:dyDescent="0.45">
      <c r="A1158" s="12">
        <v>45351</v>
      </c>
      <c r="B1158" s="2" t="s">
        <v>15</v>
      </c>
      <c r="C1158" s="2" t="s">
        <v>38</v>
      </c>
      <c r="D1158" s="2" t="s">
        <v>17</v>
      </c>
      <c r="E1158" s="2" t="s">
        <v>33</v>
      </c>
      <c r="F1158" s="2">
        <v>44140</v>
      </c>
      <c r="G1158" s="2">
        <v>2101</v>
      </c>
      <c r="H1158" s="2">
        <v>2206.0500000000002</v>
      </c>
      <c r="I1158" s="2">
        <v>55</v>
      </c>
      <c r="J1158" s="2">
        <v>6735.72</v>
      </c>
      <c r="K1158" s="4">
        <f t="shared" si="72"/>
        <v>4.7598550067965567E-2</v>
      </c>
      <c r="L1158" s="6">
        <f t="shared" si="73"/>
        <v>1.05</v>
      </c>
      <c r="M1158" s="6">
        <f t="shared" si="74"/>
        <v>40.110000000000007</v>
      </c>
      <c r="N1158" s="8">
        <f t="shared" si="75"/>
        <v>3.0532943496294278</v>
      </c>
    </row>
    <row r="1159" spans="1:14" x14ac:dyDescent="0.45">
      <c r="A1159" s="12">
        <v>45477</v>
      </c>
      <c r="B1159" s="2" t="s">
        <v>35</v>
      </c>
      <c r="C1159" s="2" t="s">
        <v>38</v>
      </c>
      <c r="D1159" s="2" t="s">
        <v>29</v>
      </c>
      <c r="E1159" s="2" t="s">
        <v>51</v>
      </c>
      <c r="F1159" s="2">
        <v>88698</v>
      </c>
      <c r="G1159" s="2">
        <v>1073</v>
      </c>
      <c r="H1159" s="2">
        <v>987.16</v>
      </c>
      <c r="I1159" s="2">
        <v>43</v>
      </c>
      <c r="J1159" s="2">
        <v>5727.99</v>
      </c>
      <c r="K1159" s="4">
        <f t="shared" si="72"/>
        <v>1.2097228798845521E-2</v>
      </c>
      <c r="L1159" s="6">
        <f t="shared" si="73"/>
        <v>0.91999999999999993</v>
      </c>
      <c r="M1159" s="6">
        <f t="shared" si="74"/>
        <v>22.95720930232558</v>
      </c>
      <c r="N1159" s="8">
        <f t="shared" si="75"/>
        <v>5.8024940232586406</v>
      </c>
    </row>
    <row r="1160" spans="1:14" x14ac:dyDescent="0.45">
      <c r="A1160" s="12">
        <v>45303</v>
      </c>
      <c r="B1160" s="2" t="s">
        <v>35</v>
      </c>
      <c r="C1160" s="2" t="s">
        <v>38</v>
      </c>
      <c r="D1160" s="2" t="s">
        <v>21</v>
      </c>
      <c r="E1160" s="2" t="s">
        <v>33</v>
      </c>
      <c r="F1160" s="2">
        <v>182011</v>
      </c>
      <c r="G1160" s="2">
        <v>1911</v>
      </c>
      <c r="H1160" s="2">
        <v>1051.05</v>
      </c>
      <c r="I1160" s="2">
        <v>35</v>
      </c>
      <c r="J1160" s="2">
        <v>3848.31</v>
      </c>
      <c r="K1160" s="4">
        <f t="shared" si="72"/>
        <v>1.0499365422968941E-2</v>
      </c>
      <c r="L1160" s="6">
        <f t="shared" si="73"/>
        <v>0.54999999999999993</v>
      </c>
      <c r="M1160" s="6">
        <f t="shared" si="74"/>
        <v>30.029999999999998</v>
      </c>
      <c r="N1160" s="8">
        <f t="shared" si="75"/>
        <v>3.6613957471100331</v>
      </c>
    </row>
    <row r="1161" spans="1:14" x14ac:dyDescent="0.45">
      <c r="A1161" s="12">
        <v>45311</v>
      </c>
      <c r="B1161" s="2" t="s">
        <v>20</v>
      </c>
      <c r="C1161" s="2" t="s">
        <v>38</v>
      </c>
      <c r="D1161" s="2" t="s">
        <v>17</v>
      </c>
      <c r="E1161" s="2" t="s">
        <v>51</v>
      </c>
      <c r="F1161" s="2">
        <v>29180</v>
      </c>
      <c r="G1161" s="2">
        <v>1464</v>
      </c>
      <c r="H1161" s="2">
        <v>775.92</v>
      </c>
      <c r="I1161" s="2">
        <v>59</v>
      </c>
      <c r="J1161" s="2">
        <v>11729.57</v>
      </c>
      <c r="K1161" s="4">
        <f t="shared" si="72"/>
        <v>5.0171350239890333E-2</v>
      </c>
      <c r="L1161" s="6">
        <f t="shared" si="73"/>
        <v>0.53</v>
      </c>
      <c r="M1161" s="6">
        <f t="shared" si="74"/>
        <v>13.151186440677966</v>
      </c>
      <c r="N1161" s="8">
        <f t="shared" si="75"/>
        <v>15.11698370966079</v>
      </c>
    </row>
    <row r="1162" spans="1:14" x14ac:dyDescent="0.45">
      <c r="A1162" s="12">
        <v>45304</v>
      </c>
      <c r="B1162" s="2" t="s">
        <v>35</v>
      </c>
      <c r="C1162" s="2" t="s">
        <v>24</v>
      </c>
      <c r="D1162" s="2" t="s">
        <v>41</v>
      </c>
      <c r="E1162" s="2" t="s">
        <v>22</v>
      </c>
      <c r="F1162" s="2">
        <v>138686</v>
      </c>
      <c r="G1162" s="2">
        <v>2621</v>
      </c>
      <c r="H1162" s="2">
        <v>3983.92</v>
      </c>
      <c r="I1162" s="2">
        <v>195</v>
      </c>
      <c r="J1162" s="2">
        <v>52398.49</v>
      </c>
      <c r="K1162" s="4">
        <f t="shared" si="72"/>
        <v>1.8898807377817517E-2</v>
      </c>
      <c r="L1162" s="6">
        <f t="shared" si="73"/>
        <v>1.52</v>
      </c>
      <c r="M1162" s="6">
        <f t="shared" si="74"/>
        <v>20.430358974358974</v>
      </c>
      <c r="N1162" s="8">
        <f t="shared" si="75"/>
        <v>13.152495532038795</v>
      </c>
    </row>
    <row r="1163" spans="1:14" x14ac:dyDescent="0.45">
      <c r="A1163" s="12">
        <v>45557</v>
      </c>
      <c r="B1163" s="2" t="s">
        <v>15</v>
      </c>
      <c r="C1163" s="2" t="s">
        <v>16</v>
      </c>
      <c r="D1163" s="2" t="s">
        <v>17</v>
      </c>
      <c r="E1163" s="2" t="s">
        <v>51</v>
      </c>
      <c r="F1163" s="2">
        <v>181976</v>
      </c>
      <c r="G1163" s="2">
        <v>7752</v>
      </c>
      <c r="H1163" s="2">
        <v>13333.44</v>
      </c>
      <c r="I1163" s="2">
        <v>255</v>
      </c>
      <c r="J1163" s="2">
        <v>75491.87</v>
      </c>
      <c r="K1163" s="4">
        <f t="shared" si="72"/>
        <v>4.2599024047127093E-2</v>
      </c>
      <c r="L1163" s="6">
        <f t="shared" si="73"/>
        <v>1.72</v>
      </c>
      <c r="M1163" s="6">
        <f t="shared" si="74"/>
        <v>52.288000000000004</v>
      </c>
      <c r="N1163" s="8">
        <f t="shared" si="75"/>
        <v>5.6618449552403574</v>
      </c>
    </row>
    <row r="1164" spans="1:14" x14ac:dyDescent="0.45">
      <c r="A1164" s="12">
        <v>45636</v>
      </c>
      <c r="B1164" s="2" t="s">
        <v>15</v>
      </c>
      <c r="C1164" s="2" t="s">
        <v>28</v>
      </c>
      <c r="D1164" s="2" t="s">
        <v>25</v>
      </c>
      <c r="E1164" s="2" t="s">
        <v>22</v>
      </c>
      <c r="F1164" s="2">
        <v>103902</v>
      </c>
      <c r="G1164" s="2">
        <v>3927</v>
      </c>
      <c r="H1164" s="2">
        <v>4555.32</v>
      </c>
      <c r="I1164" s="2">
        <v>215</v>
      </c>
      <c r="J1164" s="2">
        <v>37434.379999999997</v>
      </c>
      <c r="K1164" s="4">
        <f t="shared" si="72"/>
        <v>3.7795230120690651E-2</v>
      </c>
      <c r="L1164" s="6">
        <f t="shared" si="73"/>
        <v>1.1599999999999999</v>
      </c>
      <c r="M1164" s="6">
        <f t="shared" si="74"/>
        <v>21.187534883720929</v>
      </c>
      <c r="N1164" s="8">
        <f t="shared" si="75"/>
        <v>8.2177278434884933</v>
      </c>
    </row>
    <row r="1165" spans="1:14" x14ac:dyDescent="0.45">
      <c r="A1165" s="12">
        <v>45387</v>
      </c>
      <c r="B1165" s="2" t="s">
        <v>20</v>
      </c>
      <c r="C1165" s="2" t="s">
        <v>38</v>
      </c>
      <c r="D1165" s="2" t="s">
        <v>29</v>
      </c>
      <c r="E1165" s="2" t="s">
        <v>33</v>
      </c>
      <c r="F1165" s="2">
        <v>132081</v>
      </c>
      <c r="G1165" s="2">
        <v>10051</v>
      </c>
      <c r="H1165" s="2">
        <v>7136.21</v>
      </c>
      <c r="I1165" s="2">
        <v>229</v>
      </c>
      <c r="J1165" s="2">
        <v>62261.45</v>
      </c>
      <c r="K1165" s="4">
        <f t="shared" si="72"/>
        <v>7.6097243358242292E-2</v>
      </c>
      <c r="L1165" s="6">
        <f t="shared" si="73"/>
        <v>0.71</v>
      </c>
      <c r="M1165" s="6">
        <f t="shared" si="74"/>
        <v>31.162489082969433</v>
      </c>
      <c r="N1165" s="8">
        <f t="shared" si="75"/>
        <v>8.7247222265039834</v>
      </c>
    </row>
    <row r="1166" spans="1:14" x14ac:dyDescent="0.45">
      <c r="A1166" s="12">
        <v>45430</v>
      </c>
      <c r="B1166" s="2" t="s">
        <v>35</v>
      </c>
      <c r="C1166" s="2" t="s">
        <v>24</v>
      </c>
      <c r="D1166" s="2" t="s">
        <v>41</v>
      </c>
      <c r="E1166" s="2" t="s">
        <v>22</v>
      </c>
      <c r="F1166" s="2">
        <v>25077</v>
      </c>
      <c r="G1166" s="2">
        <v>341</v>
      </c>
      <c r="H1166" s="2">
        <v>143.22</v>
      </c>
      <c r="I1166" s="2">
        <v>5</v>
      </c>
      <c r="J1166" s="2">
        <v>779.52</v>
      </c>
      <c r="K1166" s="4">
        <f t="shared" si="72"/>
        <v>1.3598117797184671E-2</v>
      </c>
      <c r="L1166" s="6">
        <f t="shared" si="73"/>
        <v>0.42</v>
      </c>
      <c r="M1166" s="6">
        <f t="shared" si="74"/>
        <v>28.643999999999998</v>
      </c>
      <c r="N1166" s="8">
        <f t="shared" si="75"/>
        <v>5.4428152492668618</v>
      </c>
    </row>
    <row r="1167" spans="1:14" x14ac:dyDescent="0.45">
      <c r="A1167" s="12">
        <v>45398</v>
      </c>
      <c r="B1167" s="2" t="s">
        <v>35</v>
      </c>
      <c r="C1167" s="2" t="s">
        <v>24</v>
      </c>
      <c r="D1167" s="2" t="s">
        <v>41</v>
      </c>
      <c r="E1167" s="2" t="s">
        <v>18</v>
      </c>
      <c r="F1167" s="2">
        <v>113987</v>
      </c>
      <c r="G1167" s="2">
        <v>3579</v>
      </c>
      <c r="H1167" s="2">
        <v>2720.04</v>
      </c>
      <c r="I1167" s="2">
        <v>229</v>
      </c>
      <c r="J1167" s="2">
        <v>31787.48</v>
      </c>
      <c r="K1167" s="4">
        <f t="shared" si="72"/>
        <v>3.1398317351978733E-2</v>
      </c>
      <c r="L1167" s="6">
        <f t="shared" si="73"/>
        <v>0.76</v>
      </c>
      <c r="M1167" s="6">
        <f t="shared" si="74"/>
        <v>11.877903930131005</v>
      </c>
      <c r="N1167" s="8">
        <f t="shared" si="75"/>
        <v>11.686401670563669</v>
      </c>
    </row>
    <row r="1168" spans="1:14" x14ac:dyDescent="0.45">
      <c r="A1168" s="12">
        <v>45371</v>
      </c>
      <c r="B1168" s="2" t="s">
        <v>35</v>
      </c>
      <c r="C1168" s="2" t="s">
        <v>28</v>
      </c>
      <c r="D1168" s="2" t="s">
        <v>17</v>
      </c>
      <c r="E1168" s="2" t="s">
        <v>33</v>
      </c>
      <c r="F1168" s="2">
        <v>14705</v>
      </c>
      <c r="G1168" s="2">
        <v>363</v>
      </c>
      <c r="H1168" s="2">
        <v>341.22</v>
      </c>
      <c r="I1168" s="2">
        <v>4</v>
      </c>
      <c r="J1168" s="2">
        <v>738.37</v>
      </c>
      <c r="K1168" s="4">
        <f t="shared" si="72"/>
        <v>2.4685481128867731E-2</v>
      </c>
      <c r="L1168" s="6">
        <f t="shared" si="73"/>
        <v>0.94000000000000006</v>
      </c>
      <c r="M1168" s="6">
        <f t="shared" si="74"/>
        <v>85.305000000000007</v>
      </c>
      <c r="N1168" s="8">
        <f t="shared" si="75"/>
        <v>2.1639118457300275</v>
      </c>
    </row>
    <row r="1169" spans="1:14" x14ac:dyDescent="0.45">
      <c r="A1169" s="12">
        <v>45445</v>
      </c>
      <c r="B1169" s="2" t="s">
        <v>15</v>
      </c>
      <c r="C1169" s="2" t="s">
        <v>16</v>
      </c>
      <c r="D1169" s="2" t="s">
        <v>21</v>
      </c>
      <c r="E1169" s="2" t="s">
        <v>26</v>
      </c>
      <c r="F1169" s="2">
        <v>16955</v>
      </c>
      <c r="G1169" s="2">
        <v>440</v>
      </c>
      <c r="H1169" s="2">
        <v>800.8</v>
      </c>
      <c r="I1169" s="2">
        <v>30</v>
      </c>
      <c r="J1169" s="2">
        <v>3274.44</v>
      </c>
      <c r="K1169" s="4">
        <f t="shared" si="72"/>
        <v>2.5951046888823357E-2</v>
      </c>
      <c r="L1169" s="6">
        <f t="shared" si="73"/>
        <v>1.8199999999999998</v>
      </c>
      <c r="M1169" s="6">
        <f t="shared" si="74"/>
        <v>26.693333333333332</v>
      </c>
      <c r="N1169" s="8">
        <f t="shared" si="75"/>
        <v>4.0889610389610391</v>
      </c>
    </row>
    <row r="1170" spans="1:14" x14ac:dyDescent="0.45">
      <c r="A1170" s="12">
        <v>45557</v>
      </c>
      <c r="B1170" s="2" t="s">
        <v>35</v>
      </c>
      <c r="C1170" s="2" t="s">
        <v>38</v>
      </c>
      <c r="D1170" s="2" t="s">
        <v>41</v>
      </c>
      <c r="E1170" s="2" t="s">
        <v>51</v>
      </c>
      <c r="F1170" s="2">
        <v>127082</v>
      </c>
      <c r="G1170" s="2">
        <v>2452</v>
      </c>
      <c r="H1170" s="2">
        <v>5345.36</v>
      </c>
      <c r="I1170" s="2">
        <v>53</v>
      </c>
      <c r="J1170" s="2">
        <v>8408.4500000000007</v>
      </c>
      <c r="K1170" s="4">
        <f t="shared" si="72"/>
        <v>1.9294628664956483E-2</v>
      </c>
      <c r="L1170" s="6">
        <f t="shared" si="73"/>
        <v>2.1799999999999997</v>
      </c>
      <c r="M1170" s="6">
        <f t="shared" si="74"/>
        <v>100.85584905660377</v>
      </c>
      <c r="N1170" s="8">
        <f t="shared" si="75"/>
        <v>1.573037176167742</v>
      </c>
    </row>
    <row r="1171" spans="1:14" x14ac:dyDescent="0.45">
      <c r="A1171" s="12">
        <v>45335</v>
      </c>
      <c r="B1171" s="2" t="s">
        <v>35</v>
      </c>
      <c r="C1171" s="2" t="s">
        <v>24</v>
      </c>
      <c r="D1171" s="2" t="s">
        <v>41</v>
      </c>
      <c r="E1171" s="2" t="s">
        <v>51</v>
      </c>
      <c r="F1171" s="2">
        <v>57299</v>
      </c>
      <c r="G1171" s="2">
        <v>1186</v>
      </c>
      <c r="H1171" s="2">
        <v>1601.1</v>
      </c>
      <c r="I1171" s="2">
        <v>25</v>
      </c>
      <c r="J1171" s="2">
        <v>5383.27</v>
      </c>
      <c r="K1171" s="4">
        <f t="shared" si="72"/>
        <v>2.069844150857781E-2</v>
      </c>
      <c r="L1171" s="6">
        <f t="shared" si="73"/>
        <v>1.3499999999999999</v>
      </c>
      <c r="M1171" s="6">
        <f t="shared" si="74"/>
        <v>64.043999999999997</v>
      </c>
      <c r="N1171" s="8">
        <f t="shared" si="75"/>
        <v>3.3622322153519462</v>
      </c>
    </row>
    <row r="1172" spans="1:14" x14ac:dyDescent="0.45">
      <c r="A1172" s="12">
        <v>45462</v>
      </c>
      <c r="B1172" s="2" t="s">
        <v>35</v>
      </c>
      <c r="C1172" s="2" t="s">
        <v>28</v>
      </c>
      <c r="D1172" s="2" t="s">
        <v>17</v>
      </c>
      <c r="E1172" s="2" t="s">
        <v>54</v>
      </c>
      <c r="F1172" s="2">
        <v>134986</v>
      </c>
      <c r="G1172" s="2">
        <v>4346</v>
      </c>
      <c r="H1172" s="2">
        <v>7083.98</v>
      </c>
      <c r="I1172" s="2">
        <v>149</v>
      </c>
      <c r="J1172" s="2">
        <v>28100.44</v>
      </c>
      <c r="K1172" s="4">
        <f t="shared" si="72"/>
        <v>3.2195931429926064E-2</v>
      </c>
      <c r="L1172" s="6">
        <f t="shared" si="73"/>
        <v>1.63</v>
      </c>
      <c r="M1172" s="6">
        <f t="shared" si="74"/>
        <v>47.543489932885905</v>
      </c>
      <c r="N1172" s="8">
        <f t="shared" si="75"/>
        <v>3.966758799431958</v>
      </c>
    </row>
    <row r="1173" spans="1:14" x14ac:dyDescent="0.45">
      <c r="A1173" s="12">
        <v>45495</v>
      </c>
      <c r="B1173" s="2" t="s">
        <v>15</v>
      </c>
      <c r="C1173" s="2" t="s">
        <v>38</v>
      </c>
      <c r="D1173" s="2" t="s">
        <v>41</v>
      </c>
      <c r="E1173" s="2" t="s">
        <v>54</v>
      </c>
      <c r="F1173" s="2">
        <v>12546</v>
      </c>
      <c r="G1173" s="2">
        <v>725</v>
      </c>
      <c r="H1173" s="2">
        <v>1051.25</v>
      </c>
      <c r="I1173" s="2">
        <v>43</v>
      </c>
      <c r="J1173" s="2">
        <v>2269.7800000000002</v>
      </c>
      <c r="K1173" s="4">
        <f t="shared" si="72"/>
        <v>5.7787342579308149E-2</v>
      </c>
      <c r="L1173" s="6">
        <f t="shared" si="73"/>
        <v>1.45</v>
      </c>
      <c r="M1173" s="6">
        <f t="shared" si="74"/>
        <v>24.447674418604652</v>
      </c>
      <c r="N1173" s="8">
        <f t="shared" si="75"/>
        <v>2.1591248513674199</v>
      </c>
    </row>
    <row r="1174" spans="1:14" x14ac:dyDescent="0.45">
      <c r="A1174" s="12">
        <v>45439</v>
      </c>
      <c r="B1174" s="2" t="s">
        <v>15</v>
      </c>
      <c r="C1174" s="2" t="s">
        <v>16</v>
      </c>
      <c r="D1174" s="2" t="s">
        <v>17</v>
      </c>
      <c r="E1174" s="2" t="s">
        <v>33</v>
      </c>
      <c r="F1174" s="2">
        <v>161554</v>
      </c>
      <c r="G1174" s="2">
        <v>6252</v>
      </c>
      <c r="H1174" s="2">
        <v>19068.599999999999</v>
      </c>
      <c r="I1174" s="2">
        <v>361</v>
      </c>
      <c r="J1174" s="2">
        <v>57767.01</v>
      </c>
      <c r="K1174" s="4">
        <f t="shared" si="72"/>
        <v>3.8699134654666553E-2</v>
      </c>
      <c r="L1174" s="6">
        <f t="shared" si="73"/>
        <v>3.05</v>
      </c>
      <c r="M1174" s="6">
        <f t="shared" si="74"/>
        <v>52.821606648199442</v>
      </c>
      <c r="N1174" s="8">
        <f t="shared" si="75"/>
        <v>3.0294311066360406</v>
      </c>
    </row>
    <row r="1175" spans="1:14" x14ac:dyDescent="0.45">
      <c r="A1175" s="12">
        <v>45316</v>
      </c>
      <c r="B1175" s="2" t="s">
        <v>35</v>
      </c>
      <c r="C1175" s="2" t="s">
        <v>16</v>
      </c>
      <c r="D1175" s="2" t="s">
        <v>25</v>
      </c>
      <c r="E1175" s="2" t="s">
        <v>51</v>
      </c>
      <c r="F1175" s="2">
        <v>27499</v>
      </c>
      <c r="G1175" s="2">
        <v>728</v>
      </c>
      <c r="H1175" s="2">
        <v>778.96</v>
      </c>
      <c r="I1175" s="2">
        <v>17</v>
      </c>
      <c r="J1175" s="2">
        <v>3860.75</v>
      </c>
      <c r="K1175" s="4">
        <f t="shared" si="72"/>
        <v>2.6473689952361903E-2</v>
      </c>
      <c r="L1175" s="6">
        <f t="shared" si="73"/>
        <v>1.07</v>
      </c>
      <c r="M1175" s="6">
        <f t="shared" si="74"/>
        <v>45.821176470588235</v>
      </c>
      <c r="N1175" s="8">
        <f t="shared" si="75"/>
        <v>4.9562878710074969</v>
      </c>
    </row>
    <row r="1176" spans="1:14" x14ac:dyDescent="0.45">
      <c r="A1176" s="12">
        <v>45646</v>
      </c>
      <c r="B1176" s="2" t="s">
        <v>20</v>
      </c>
      <c r="C1176" s="2" t="s">
        <v>38</v>
      </c>
      <c r="D1176" s="2" t="s">
        <v>21</v>
      </c>
      <c r="E1176" s="2" t="s">
        <v>51</v>
      </c>
      <c r="F1176" s="2">
        <v>153936</v>
      </c>
      <c r="G1176" s="2">
        <v>5895</v>
      </c>
      <c r="H1176" s="2">
        <v>5246.55</v>
      </c>
      <c r="I1176" s="2">
        <v>373</v>
      </c>
      <c r="J1176" s="2">
        <v>85268.07</v>
      </c>
      <c r="K1176" s="4">
        <f t="shared" si="72"/>
        <v>3.829513564078578E-2</v>
      </c>
      <c r="L1176" s="6">
        <f t="shared" si="73"/>
        <v>0.89</v>
      </c>
      <c r="M1176" s="6">
        <f t="shared" si="74"/>
        <v>14.065817694369974</v>
      </c>
      <c r="N1176" s="8">
        <f t="shared" si="75"/>
        <v>16.252217171283988</v>
      </c>
    </row>
    <row r="1177" spans="1:14" x14ac:dyDescent="0.45">
      <c r="A1177" s="12">
        <v>45389</v>
      </c>
      <c r="B1177" s="2" t="s">
        <v>20</v>
      </c>
      <c r="C1177" s="2" t="s">
        <v>38</v>
      </c>
      <c r="D1177" s="2" t="s">
        <v>41</v>
      </c>
      <c r="E1177" s="2" t="s">
        <v>30</v>
      </c>
      <c r="F1177" s="2">
        <v>41232</v>
      </c>
      <c r="G1177" s="2">
        <v>1859</v>
      </c>
      <c r="H1177" s="2">
        <v>1970.54</v>
      </c>
      <c r="I1177" s="2">
        <v>126</v>
      </c>
      <c r="J1177" s="2">
        <v>22069.99</v>
      </c>
      <c r="K1177" s="4">
        <f t="shared" si="72"/>
        <v>4.5086340706247577E-2</v>
      </c>
      <c r="L1177" s="6">
        <f t="shared" si="73"/>
        <v>1.06</v>
      </c>
      <c r="M1177" s="6">
        <f t="shared" si="74"/>
        <v>15.639206349206349</v>
      </c>
      <c r="N1177" s="8">
        <f t="shared" si="75"/>
        <v>11.199970566443717</v>
      </c>
    </row>
    <row r="1178" spans="1:14" x14ac:dyDescent="0.45">
      <c r="A1178" s="12">
        <v>45338</v>
      </c>
      <c r="B1178" s="2" t="s">
        <v>35</v>
      </c>
      <c r="C1178" s="2" t="s">
        <v>24</v>
      </c>
      <c r="D1178" s="2" t="s">
        <v>25</v>
      </c>
      <c r="E1178" s="2" t="s">
        <v>33</v>
      </c>
      <c r="F1178" s="2">
        <v>133088</v>
      </c>
      <c r="G1178" s="2">
        <v>5243</v>
      </c>
      <c r="H1178" s="2">
        <v>8808.24</v>
      </c>
      <c r="I1178" s="2">
        <v>226</v>
      </c>
      <c r="J1178" s="2">
        <v>48389.85</v>
      </c>
      <c r="K1178" s="4">
        <f t="shared" si="72"/>
        <v>3.9394986775667225E-2</v>
      </c>
      <c r="L1178" s="6">
        <f t="shared" si="73"/>
        <v>1.68</v>
      </c>
      <c r="M1178" s="6">
        <f t="shared" si="74"/>
        <v>38.974513274336282</v>
      </c>
      <c r="N1178" s="8">
        <f t="shared" si="75"/>
        <v>5.4937024876706353</v>
      </c>
    </row>
    <row r="1179" spans="1:14" x14ac:dyDescent="0.45">
      <c r="A1179" s="12">
        <v>45400</v>
      </c>
      <c r="B1179" s="2" t="s">
        <v>35</v>
      </c>
      <c r="C1179" s="2" t="s">
        <v>16</v>
      </c>
      <c r="D1179" s="2" t="s">
        <v>29</v>
      </c>
      <c r="E1179" s="2" t="s">
        <v>54</v>
      </c>
      <c r="F1179" s="2">
        <v>33082</v>
      </c>
      <c r="G1179" s="2">
        <v>340</v>
      </c>
      <c r="H1179" s="2">
        <v>632.4</v>
      </c>
      <c r="I1179" s="2">
        <v>9</v>
      </c>
      <c r="J1179" s="2">
        <v>2116.06</v>
      </c>
      <c r="K1179" s="4">
        <f t="shared" si="72"/>
        <v>1.0277492291880781E-2</v>
      </c>
      <c r="L1179" s="6">
        <f t="shared" si="73"/>
        <v>1.8599999999999999</v>
      </c>
      <c r="M1179" s="6">
        <f t="shared" si="74"/>
        <v>70.266666666666666</v>
      </c>
      <c r="N1179" s="8">
        <f t="shared" si="75"/>
        <v>3.3460784313725491</v>
      </c>
    </row>
    <row r="1180" spans="1:14" x14ac:dyDescent="0.45">
      <c r="A1180" s="12">
        <v>45398</v>
      </c>
      <c r="B1180" s="2" t="s">
        <v>35</v>
      </c>
      <c r="C1180" s="2" t="s">
        <v>38</v>
      </c>
      <c r="D1180" s="2" t="s">
        <v>17</v>
      </c>
      <c r="E1180" s="2" t="s">
        <v>30</v>
      </c>
      <c r="F1180" s="2">
        <v>179504</v>
      </c>
      <c r="G1180" s="2">
        <v>5026</v>
      </c>
      <c r="H1180" s="2">
        <v>5578.86</v>
      </c>
      <c r="I1180" s="2">
        <v>203</v>
      </c>
      <c r="J1180" s="2">
        <v>10121.879999999999</v>
      </c>
      <c r="K1180" s="4">
        <f t="shared" si="72"/>
        <v>2.7999376058472233E-2</v>
      </c>
      <c r="L1180" s="6">
        <f t="shared" si="73"/>
        <v>1.1099999999999999</v>
      </c>
      <c r="M1180" s="6">
        <f t="shared" si="74"/>
        <v>27.482068965517239</v>
      </c>
      <c r="N1180" s="8">
        <f t="shared" si="75"/>
        <v>1.8143276583388004</v>
      </c>
    </row>
    <row r="1181" spans="1:14" x14ac:dyDescent="0.45">
      <c r="A1181" s="12">
        <v>45454</v>
      </c>
      <c r="B1181" s="2" t="s">
        <v>35</v>
      </c>
      <c r="C1181" s="2" t="s">
        <v>28</v>
      </c>
      <c r="D1181" s="2" t="s">
        <v>25</v>
      </c>
      <c r="E1181" s="2" t="s">
        <v>26</v>
      </c>
      <c r="F1181" s="2">
        <v>16344</v>
      </c>
      <c r="G1181" s="2">
        <v>534</v>
      </c>
      <c r="H1181" s="2">
        <v>480.6</v>
      </c>
      <c r="I1181" s="2">
        <v>11</v>
      </c>
      <c r="J1181" s="2">
        <v>465.35</v>
      </c>
      <c r="K1181" s="4">
        <f t="shared" si="72"/>
        <v>3.267254038179148E-2</v>
      </c>
      <c r="L1181" s="6">
        <f t="shared" si="73"/>
        <v>0.9</v>
      </c>
      <c r="M1181" s="6">
        <f t="shared" si="74"/>
        <v>43.690909090909095</v>
      </c>
      <c r="N1181" s="8">
        <f t="shared" si="75"/>
        <v>0.96826883062838121</v>
      </c>
    </row>
    <row r="1182" spans="1:14" x14ac:dyDescent="0.45">
      <c r="A1182" s="12">
        <v>45356</v>
      </c>
      <c r="B1182" s="2" t="s">
        <v>20</v>
      </c>
      <c r="C1182" s="2" t="s">
        <v>38</v>
      </c>
      <c r="D1182" s="2" t="s">
        <v>41</v>
      </c>
      <c r="E1182" s="2" t="s">
        <v>33</v>
      </c>
      <c r="F1182" s="2">
        <v>196312</v>
      </c>
      <c r="G1182" s="2">
        <v>12642</v>
      </c>
      <c r="H1182" s="2">
        <v>16181.76</v>
      </c>
      <c r="I1182" s="2">
        <v>584</v>
      </c>
      <c r="J1182" s="2">
        <v>148695.91</v>
      </c>
      <c r="K1182" s="4">
        <f t="shared" si="72"/>
        <v>6.4397489710257147E-2</v>
      </c>
      <c r="L1182" s="6">
        <f t="shared" si="73"/>
        <v>1.28</v>
      </c>
      <c r="M1182" s="6">
        <f t="shared" si="74"/>
        <v>27.70849315068493</v>
      </c>
      <c r="N1182" s="8">
        <f t="shared" si="75"/>
        <v>9.1891061293703533</v>
      </c>
    </row>
    <row r="1183" spans="1:14" x14ac:dyDescent="0.45">
      <c r="A1183" s="12">
        <v>45596</v>
      </c>
      <c r="B1183" s="2" t="s">
        <v>20</v>
      </c>
      <c r="C1183" s="2" t="s">
        <v>28</v>
      </c>
      <c r="D1183" s="2" t="s">
        <v>41</v>
      </c>
      <c r="E1183" s="2" t="s">
        <v>26</v>
      </c>
      <c r="F1183" s="2">
        <v>17626</v>
      </c>
      <c r="G1183" s="2">
        <v>1113</v>
      </c>
      <c r="H1183" s="2">
        <v>601.02</v>
      </c>
      <c r="I1183" s="2">
        <v>50</v>
      </c>
      <c r="J1183" s="2">
        <v>2568.5100000000002</v>
      </c>
      <c r="K1183" s="4">
        <f t="shared" si="72"/>
        <v>6.3145353455123107E-2</v>
      </c>
      <c r="L1183" s="6">
        <f t="shared" si="73"/>
        <v>0.54</v>
      </c>
      <c r="M1183" s="6">
        <f t="shared" si="74"/>
        <v>12.0204</v>
      </c>
      <c r="N1183" s="8">
        <f t="shared" si="75"/>
        <v>4.2735849056603774</v>
      </c>
    </row>
    <row r="1184" spans="1:14" x14ac:dyDescent="0.45">
      <c r="A1184" s="12">
        <v>45434</v>
      </c>
      <c r="B1184" s="2" t="s">
        <v>35</v>
      </c>
      <c r="C1184" s="2" t="s">
        <v>28</v>
      </c>
      <c r="D1184" s="2" t="s">
        <v>29</v>
      </c>
      <c r="E1184" s="2" t="s">
        <v>30</v>
      </c>
      <c r="F1184" s="2">
        <v>46603</v>
      </c>
      <c r="G1184" s="2">
        <v>955</v>
      </c>
      <c r="H1184" s="2">
        <v>658.95</v>
      </c>
      <c r="I1184" s="2">
        <v>23</v>
      </c>
      <c r="J1184" s="2">
        <v>2614.4899999999998</v>
      </c>
      <c r="K1184" s="4">
        <f t="shared" si="72"/>
        <v>2.0492242988648799E-2</v>
      </c>
      <c r="L1184" s="6">
        <f t="shared" si="73"/>
        <v>0.69000000000000006</v>
      </c>
      <c r="M1184" s="6">
        <f t="shared" si="74"/>
        <v>28.650000000000002</v>
      </c>
      <c r="N1184" s="8">
        <f t="shared" si="75"/>
        <v>3.9676606722816596</v>
      </c>
    </row>
    <row r="1185" spans="1:14" x14ac:dyDescent="0.45">
      <c r="A1185" s="12">
        <v>45319</v>
      </c>
      <c r="B1185" s="2" t="s">
        <v>35</v>
      </c>
      <c r="C1185" s="2" t="s">
        <v>16</v>
      </c>
      <c r="D1185" s="2" t="s">
        <v>21</v>
      </c>
      <c r="E1185" s="2" t="s">
        <v>18</v>
      </c>
      <c r="F1185" s="2">
        <v>113878</v>
      </c>
      <c r="G1185" s="2">
        <v>3678</v>
      </c>
      <c r="H1185" s="2">
        <v>3383.76</v>
      </c>
      <c r="I1185" s="2">
        <v>216</v>
      </c>
      <c r="J1185" s="2">
        <v>62162.63</v>
      </c>
      <c r="K1185" s="4">
        <f t="shared" si="72"/>
        <v>3.2297722123676216E-2</v>
      </c>
      <c r="L1185" s="6">
        <f t="shared" si="73"/>
        <v>0.92</v>
      </c>
      <c r="M1185" s="6">
        <f t="shared" si="74"/>
        <v>15.665555555555557</v>
      </c>
      <c r="N1185" s="8">
        <f t="shared" si="75"/>
        <v>18.370874411896821</v>
      </c>
    </row>
    <row r="1186" spans="1:14" x14ac:dyDescent="0.45">
      <c r="A1186" s="12">
        <v>45436</v>
      </c>
      <c r="B1186" s="2" t="s">
        <v>35</v>
      </c>
      <c r="C1186" s="2" t="s">
        <v>38</v>
      </c>
      <c r="D1186" s="2" t="s">
        <v>41</v>
      </c>
      <c r="E1186" s="2" t="s">
        <v>33</v>
      </c>
      <c r="F1186" s="2">
        <v>196354</v>
      </c>
      <c r="G1186" s="2">
        <v>2945</v>
      </c>
      <c r="H1186" s="2">
        <v>3268.95</v>
      </c>
      <c r="I1186" s="2">
        <v>177</v>
      </c>
      <c r="J1186" s="2">
        <v>7478.3</v>
      </c>
      <c r="K1186" s="4">
        <f t="shared" si="72"/>
        <v>1.4998421218819072E-2</v>
      </c>
      <c r="L1186" s="6">
        <f t="shared" si="73"/>
        <v>1.1099999999999999</v>
      </c>
      <c r="M1186" s="6">
        <f t="shared" si="74"/>
        <v>18.46864406779661</v>
      </c>
      <c r="N1186" s="8">
        <f t="shared" si="75"/>
        <v>2.2876764710381012</v>
      </c>
    </row>
    <row r="1187" spans="1:14" x14ac:dyDescent="0.45">
      <c r="A1187" s="12">
        <v>45498</v>
      </c>
      <c r="B1187" s="2" t="s">
        <v>35</v>
      </c>
      <c r="C1187" s="2" t="s">
        <v>24</v>
      </c>
      <c r="D1187" s="2" t="s">
        <v>21</v>
      </c>
      <c r="E1187" s="2" t="s">
        <v>54</v>
      </c>
      <c r="F1187" s="2">
        <v>62194</v>
      </c>
      <c r="G1187" s="2">
        <v>2039</v>
      </c>
      <c r="H1187" s="2">
        <v>3751.76</v>
      </c>
      <c r="I1187" s="2">
        <v>129</v>
      </c>
      <c r="J1187" s="2">
        <v>23854.38</v>
      </c>
      <c r="K1187" s="4">
        <f t="shared" si="72"/>
        <v>3.2784512975528188E-2</v>
      </c>
      <c r="L1187" s="6">
        <f t="shared" si="73"/>
        <v>1.84</v>
      </c>
      <c r="M1187" s="6">
        <f t="shared" si="74"/>
        <v>29.083410852713179</v>
      </c>
      <c r="N1187" s="8">
        <f t="shared" si="75"/>
        <v>6.3581838923598522</v>
      </c>
    </row>
    <row r="1188" spans="1:14" x14ac:dyDescent="0.45">
      <c r="A1188" s="12">
        <v>45613</v>
      </c>
      <c r="B1188" s="2" t="s">
        <v>20</v>
      </c>
      <c r="C1188" s="2" t="s">
        <v>28</v>
      </c>
      <c r="D1188" s="2" t="s">
        <v>25</v>
      </c>
      <c r="E1188" s="2" t="s">
        <v>30</v>
      </c>
      <c r="F1188" s="2">
        <v>56069</v>
      </c>
      <c r="G1188" s="2">
        <v>2949</v>
      </c>
      <c r="H1188" s="2">
        <v>2506.65</v>
      </c>
      <c r="I1188" s="2">
        <v>150</v>
      </c>
      <c r="J1188" s="2">
        <v>29064.28</v>
      </c>
      <c r="K1188" s="4">
        <f t="shared" si="72"/>
        <v>5.2595908612602327E-2</v>
      </c>
      <c r="L1188" s="6">
        <f t="shared" si="73"/>
        <v>0.85</v>
      </c>
      <c r="M1188" s="6">
        <f t="shared" si="74"/>
        <v>16.711000000000002</v>
      </c>
      <c r="N1188" s="8">
        <f t="shared" si="75"/>
        <v>11.594869646739671</v>
      </c>
    </row>
    <row r="1189" spans="1:14" x14ac:dyDescent="0.45">
      <c r="A1189" s="12">
        <v>45491</v>
      </c>
      <c r="B1189" s="2" t="s">
        <v>35</v>
      </c>
      <c r="C1189" s="2" t="s">
        <v>16</v>
      </c>
      <c r="D1189" s="2" t="s">
        <v>21</v>
      </c>
      <c r="E1189" s="2" t="s">
        <v>18</v>
      </c>
      <c r="F1189" s="2">
        <v>18706</v>
      </c>
      <c r="G1189" s="2">
        <v>458</v>
      </c>
      <c r="H1189" s="2">
        <v>201.52</v>
      </c>
      <c r="I1189" s="2">
        <v>35</v>
      </c>
      <c r="J1189" s="2">
        <v>7330.28</v>
      </c>
      <c r="K1189" s="4">
        <f t="shared" si="72"/>
        <v>2.4484122741366406E-2</v>
      </c>
      <c r="L1189" s="6">
        <f t="shared" si="73"/>
        <v>0.44</v>
      </c>
      <c r="M1189" s="6">
        <f t="shared" si="74"/>
        <v>5.757714285714286</v>
      </c>
      <c r="N1189" s="8">
        <f t="shared" si="75"/>
        <v>36.374950377133779</v>
      </c>
    </row>
    <row r="1190" spans="1:14" x14ac:dyDescent="0.45">
      <c r="A1190" s="12">
        <v>45373</v>
      </c>
      <c r="B1190" s="2" t="s">
        <v>20</v>
      </c>
      <c r="C1190" s="2" t="s">
        <v>24</v>
      </c>
      <c r="D1190" s="2" t="s">
        <v>29</v>
      </c>
      <c r="E1190" s="2" t="s">
        <v>33</v>
      </c>
      <c r="F1190" s="2">
        <v>49390</v>
      </c>
      <c r="G1190" s="2">
        <v>3368</v>
      </c>
      <c r="H1190" s="2">
        <v>5557.2</v>
      </c>
      <c r="I1190" s="2">
        <v>195</v>
      </c>
      <c r="J1190" s="2">
        <v>57395.9</v>
      </c>
      <c r="K1190" s="4">
        <f t="shared" si="72"/>
        <v>6.8191941688600932E-2</v>
      </c>
      <c r="L1190" s="6">
        <f t="shared" si="73"/>
        <v>1.65</v>
      </c>
      <c r="M1190" s="6">
        <f t="shared" si="74"/>
        <v>28.498461538461537</v>
      </c>
      <c r="N1190" s="8">
        <f t="shared" si="75"/>
        <v>10.328204851363997</v>
      </c>
    </row>
    <row r="1191" spans="1:14" x14ac:dyDescent="0.45">
      <c r="A1191" s="12">
        <v>45492</v>
      </c>
      <c r="B1191" s="2" t="s">
        <v>15</v>
      </c>
      <c r="C1191" s="2" t="s">
        <v>28</v>
      </c>
      <c r="D1191" s="2" t="s">
        <v>17</v>
      </c>
      <c r="E1191" s="2" t="s">
        <v>51</v>
      </c>
      <c r="F1191" s="2">
        <v>23773</v>
      </c>
      <c r="G1191" s="2">
        <v>461</v>
      </c>
      <c r="H1191" s="2">
        <v>737.6</v>
      </c>
      <c r="I1191" s="2">
        <v>5</v>
      </c>
      <c r="J1191" s="2">
        <v>642.97</v>
      </c>
      <c r="K1191" s="4">
        <f t="shared" si="72"/>
        <v>1.9391746939805662E-2</v>
      </c>
      <c r="L1191" s="6">
        <f t="shared" si="73"/>
        <v>1.6</v>
      </c>
      <c r="M1191" s="6">
        <f t="shared" si="74"/>
        <v>147.52000000000001</v>
      </c>
      <c r="N1191" s="8">
        <f t="shared" si="75"/>
        <v>0.87170553145336227</v>
      </c>
    </row>
    <row r="1192" spans="1:14" x14ac:dyDescent="0.45">
      <c r="A1192" s="12">
        <v>45538</v>
      </c>
      <c r="B1192" s="2" t="s">
        <v>35</v>
      </c>
      <c r="C1192" s="2" t="s">
        <v>16</v>
      </c>
      <c r="D1192" s="2" t="s">
        <v>41</v>
      </c>
      <c r="E1192" s="2" t="s">
        <v>33</v>
      </c>
      <c r="F1192" s="2">
        <v>19959</v>
      </c>
      <c r="G1192" s="2">
        <v>586</v>
      </c>
      <c r="H1192" s="2">
        <v>1166.1400000000001</v>
      </c>
      <c r="I1192" s="2">
        <v>17</v>
      </c>
      <c r="J1192" s="2">
        <v>4432.12</v>
      </c>
      <c r="K1192" s="4">
        <f t="shared" si="72"/>
        <v>2.9360188386191692E-2</v>
      </c>
      <c r="L1192" s="6">
        <f t="shared" si="73"/>
        <v>1.9900000000000002</v>
      </c>
      <c r="M1192" s="6">
        <f t="shared" si="74"/>
        <v>68.596470588235306</v>
      </c>
      <c r="N1192" s="8">
        <f t="shared" si="75"/>
        <v>3.8006757336168895</v>
      </c>
    </row>
    <row r="1193" spans="1:14" x14ac:dyDescent="0.45">
      <c r="A1193" s="12">
        <v>45321</v>
      </c>
      <c r="B1193" s="2" t="s">
        <v>35</v>
      </c>
      <c r="C1193" s="2" t="s">
        <v>38</v>
      </c>
      <c r="D1193" s="2" t="s">
        <v>17</v>
      </c>
      <c r="E1193" s="2" t="s">
        <v>18</v>
      </c>
      <c r="F1193" s="2">
        <v>166155</v>
      </c>
      <c r="G1193" s="2">
        <v>6048</v>
      </c>
      <c r="H1193" s="2">
        <v>8830.08</v>
      </c>
      <c r="I1193" s="2">
        <v>260</v>
      </c>
      <c r="J1193" s="2">
        <v>28494.38</v>
      </c>
      <c r="K1193" s="4">
        <f t="shared" si="72"/>
        <v>3.639974722397761E-2</v>
      </c>
      <c r="L1193" s="6">
        <f t="shared" si="73"/>
        <v>1.46</v>
      </c>
      <c r="M1193" s="6">
        <f t="shared" si="74"/>
        <v>33.961846153846153</v>
      </c>
      <c r="N1193" s="8">
        <f t="shared" si="75"/>
        <v>3.2269673660940787</v>
      </c>
    </row>
    <row r="1194" spans="1:14" x14ac:dyDescent="0.45">
      <c r="A1194" s="12">
        <v>45350</v>
      </c>
      <c r="B1194" s="2" t="s">
        <v>20</v>
      </c>
      <c r="C1194" s="2" t="s">
        <v>28</v>
      </c>
      <c r="D1194" s="2" t="s">
        <v>29</v>
      </c>
      <c r="E1194" s="2" t="s">
        <v>18</v>
      </c>
      <c r="F1194" s="2">
        <v>50819</v>
      </c>
      <c r="G1194" s="2">
        <v>3206</v>
      </c>
      <c r="H1194" s="2">
        <v>3045.7</v>
      </c>
      <c r="I1194" s="2">
        <v>222</v>
      </c>
      <c r="J1194" s="2">
        <v>24319.42</v>
      </c>
      <c r="K1194" s="4">
        <f t="shared" si="72"/>
        <v>6.3086640823314111E-2</v>
      </c>
      <c r="L1194" s="6">
        <f t="shared" si="73"/>
        <v>0.95</v>
      </c>
      <c r="M1194" s="6">
        <f t="shared" si="74"/>
        <v>13.719369369369369</v>
      </c>
      <c r="N1194" s="8">
        <f t="shared" si="75"/>
        <v>7.9848376399514072</v>
      </c>
    </row>
    <row r="1195" spans="1:14" x14ac:dyDescent="0.45">
      <c r="A1195" s="12">
        <v>45532</v>
      </c>
      <c r="B1195" s="2" t="s">
        <v>15</v>
      </c>
      <c r="C1195" s="2" t="s">
        <v>38</v>
      </c>
      <c r="D1195" s="2" t="s">
        <v>25</v>
      </c>
      <c r="E1195" s="2" t="s">
        <v>22</v>
      </c>
      <c r="F1195" s="2">
        <v>15796</v>
      </c>
      <c r="G1195" s="2">
        <v>301</v>
      </c>
      <c r="H1195" s="2">
        <v>574.91</v>
      </c>
      <c r="I1195" s="2">
        <v>17</v>
      </c>
      <c r="J1195" s="2">
        <v>1137.71</v>
      </c>
      <c r="K1195" s="4">
        <f t="shared" si="72"/>
        <v>1.90554570777412E-2</v>
      </c>
      <c r="L1195" s="6">
        <f t="shared" si="73"/>
        <v>1.91</v>
      </c>
      <c r="M1195" s="6">
        <f t="shared" si="74"/>
        <v>33.818235294117642</v>
      </c>
      <c r="N1195" s="8">
        <f t="shared" si="75"/>
        <v>1.9789358334347986</v>
      </c>
    </row>
    <row r="1196" spans="1:14" x14ac:dyDescent="0.45">
      <c r="A1196" s="12">
        <v>45346</v>
      </c>
      <c r="B1196" s="2" t="s">
        <v>20</v>
      </c>
      <c r="C1196" s="2" t="s">
        <v>38</v>
      </c>
      <c r="D1196" s="2" t="s">
        <v>41</v>
      </c>
      <c r="E1196" s="2" t="s">
        <v>51</v>
      </c>
      <c r="F1196" s="2">
        <v>133422</v>
      </c>
      <c r="G1196" s="2">
        <v>8458</v>
      </c>
      <c r="H1196" s="2">
        <v>6935.56</v>
      </c>
      <c r="I1196" s="2">
        <v>663</v>
      </c>
      <c r="J1196" s="2">
        <v>111531.65</v>
      </c>
      <c r="K1196" s="4">
        <f t="shared" si="72"/>
        <v>6.3392843758900336E-2</v>
      </c>
      <c r="L1196" s="6">
        <f t="shared" si="73"/>
        <v>0.82000000000000006</v>
      </c>
      <c r="M1196" s="6">
        <f t="shared" si="74"/>
        <v>10.460874811463047</v>
      </c>
      <c r="N1196" s="8">
        <f t="shared" si="75"/>
        <v>16.081131155955681</v>
      </c>
    </row>
    <row r="1197" spans="1:14" x14ac:dyDescent="0.45">
      <c r="A1197" s="12">
        <v>45410</v>
      </c>
      <c r="B1197" s="2" t="s">
        <v>35</v>
      </c>
      <c r="C1197" s="2" t="s">
        <v>24</v>
      </c>
      <c r="D1197" s="2" t="s">
        <v>21</v>
      </c>
      <c r="E1197" s="2" t="s">
        <v>30</v>
      </c>
      <c r="F1197" s="2">
        <v>181026</v>
      </c>
      <c r="G1197" s="2">
        <v>2769</v>
      </c>
      <c r="H1197" s="2">
        <v>2935.14</v>
      </c>
      <c r="I1197" s="2">
        <v>155</v>
      </c>
      <c r="J1197" s="2">
        <v>18246.009999999998</v>
      </c>
      <c r="K1197" s="4">
        <f t="shared" si="72"/>
        <v>1.5296145305094296E-2</v>
      </c>
      <c r="L1197" s="6">
        <f t="shared" si="73"/>
        <v>1.06</v>
      </c>
      <c r="M1197" s="6">
        <f t="shared" si="74"/>
        <v>18.936387096774194</v>
      </c>
      <c r="N1197" s="8">
        <f t="shared" si="75"/>
        <v>6.2164019433485285</v>
      </c>
    </row>
    <row r="1198" spans="1:14" x14ac:dyDescent="0.45">
      <c r="A1198" s="12">
        <v>45368</v>
      </c>
      <c r="B1198" s="2" t="s">
        <v>35</v>
      </c>
      <c r="C1198" s="2" t="s">
        <v>28</v>
      </c>
      <c r="D1198" s="2" t="s">
        <v>41</v>
      </c>
      <c r="E1198" s="2" t="s">
        <v>30</v>
      </c>
      <c r="F1198" s="2">
        <v>57784</v>
      </c>
      <c r="G1198" s="2">
        <v>907</v>
      </c>
      <c r="H1198" s="2">
        <v>1097.47</v>
      </c>
      <c r="I1198" s="2">
        <v>54</v>
      </c>
      <c r="J1198" s="2">
        <v>2856.1</v>
      </c>
      <c r="K1198" s="4">
        <f t="shared" si="72"/>
        <v>1.5696386542987679E-2</v>
      </c>
      <c r="L1198" s="6">
        <f t="shared" si="73"/>
        <v>1.21</v>
      </c>
      <c r="M1198" s="6">
        <f t="shared" si="74"/>
        <v>20.323518518518519</v>
      </c>
      <c r="N1198" s="8">
        <f t="shared" si="75"/>
        <v>2.6024401578175258</v>
      </c>
    </row>
    <row r="1199" spans="1:14" x14ac:dyDescent="0.45">
      <c r="A1199" s="12">
        <v>45465</v>
      </c>
      <c r="B1199" s="2" t="s">
        <v>35</v>
      </c>
      <c r="C1199" s="2" t="s">
        <v>16</v>
      </c>
      <c r="D1199" s="2" t="s">
        <v>41</v>
      </c>
      <c r="E1199" s="2" t="s">
        <v>51</v>
      </c>
      <c r="F1199" s="2">
        <v>81023</v>
      </c>
      <c r="G1199" s="2">
        <v>1944</v>
      </c>
      <c r="H1199" s="2">
        <v>2546.64</v>
      </c>
      <c r="I1199" s="2">
        <v>146</v>
      </c>
      <c r="J1199" s="2">
        <v>32752.99</v>
      </c>
      <c r="K1199" s="4">
        <f t="shared" si="72"/>
        <v>2.3993187119706751E-2</v>
      </c>
      <c r="L1199" s="6">
        <f t="shared" si="73"/>
        <v>1.3099999999999998</v>
      </c>
      <c r="M1199" s="6">
        <f t="shared" si="74"/>
        <v>17.442739726027398</v>
      </c>
      <c r="N1199" s="8">
        <f t="shared" si="75"/>
        <v>12.861256400590584</v>
      </c>
    </row>
    <row r="1200" spans="1:14" x14ac:dyDescent="0.45">
      <c r="A1200" s="12">
        <v>45481</v>
      </c>
      <c r="B1200" s="2" t="s">
        <v>15</v>
      </c>
      <c r="C1200" s="2" t="s">
        <v>28</v>
      </c>
      <c r="D1200" s="2" t="s">
        <v>21</v>
      </c>
      <c r="E1200" s="2" t="s">
        <v>26</v>
      </c>
      <c r="F1200" s="2">
        <v>93623</v>
      </c>
      <c r="G1200" s="2">
        <v>6319</v>
      </c>
      <c r="H1200" s="2">
        <v>7898.75</v>
      </c>
      <c r="I1200" s="2">
        <v>83</v>
      </c>
      <c r="J1200" s="2">
        <v>20925.73</v>
      </c>
      <c r="K1200" s="4">
        <f t="shared" si="72"/>
        <v>6.7494098672334787E-2</v>
      </c>
      <c r="L1200" s="6">
        <f t="shared" si="73"/>
        <v>1.25</v>
      </c>
      <c r="M1200" s="6">
        <f t="shared" si="74"/>
        <v>95.165662650602414</v>
      </c>
      <c r="N1200" s="8">
        <f t="shared" si="75"/>
        <v>2.6492457667352429</v>
      </c>
    </row>
    <row r="1201" spans="1:14" x14ac:dyDescent="0.45">
      <c r="A1201" s="12">
        <v>45424</v>
      </c>
      <c r="B1201" s="2" t="s">
        <v>20</v>
      </c>
      <c r="C1201" s="2" t="s">
        <v>16</v>
      </c>
      <c r="D1201" s="2" t="s">
        <v>21</v>
      </c>
      <c r="E1201" s="2" t="s">
        <v>30</v>
      </c>
      <c r="F1201" s="2">
        <v>118483</v>
      </c>
      <c r="G1201" s="2">
        <v>8826</v>
      </c>
      <c r="H1201" s="2">
        <v>14915.94</v>
      </c>
      <c r="I1201" s="2">
        <v>570</v>
      </c>
      <c r="J1201" s="2">
        <v>139364.5</v>
      </c>
      <c r="K1201" s="4">
        <f t="shared" si="72"/>
        <v>7.4491699231113317E-2</v>
      </c>
      <c r="L1201" s="6">
        <f t="shared" si="73"/>
        <v>1.69</v>
      </c>
      <c r="M1201" s="6">
        <f t="shared" si="74"/>
        <v>26.168315789473684</v>
      </c>
      <c r="N1201" s="8">
        <f t="shared" si="75"/>
        <v>9.3433266693215451</v>
      </c>
    </row>
    <row r="1202" spans="1:14" x14ac:dyDescent="0.45">
      <c r="A1202" s="12">
        <v>45412</v>
      </c>
      <c r="B1202" s="2" t="s">
        <v>15</v>
      </c>
      <c r="C1202" s="2" t="s">
        <v>28</v>
      </c>
      <c r="D1202" s="2" t="s">
        <v>25</v>
      </c>
      <c r="E1202" s="2" t="s">
        <v>18</v>
      </c>
      <c r="F1202" s="2">
        <v>155018</v>
      </c>
      <c r="G1202" s="2">
        <v>9146</v>
      </c>
      <c r="H1202" s="2">
        <v>27072.16</v>
      </c>
      <c r="I1202" s="2">
        <v>495</v>
      </c>
      <c r="J1202" s="2">
        <v>33297.83</v>
      </c>
      <c r="K1202" s="4">
        <f t="shared" si="72"/>
        <v>5.8999600046446221E-2</v>
      </c>
      <c r="L1202" s="6">
        <f t="shared" si="73"/>
        <v>2.96</v>
      </c>
      <c r="M1202" s="6">
        <f t="shared" si="74"/>
        <v>54.69123232323232</v>
      </c>
      <c r="N1202" s="8">
        <f t="shared" si="75"/>
        <v>1.2299657655687615</v>
      </c>
    </row>
    <row r="1203" spans="1:14" x14ac:dyDescent="0.45">
      <c r="A1203" s="12">
        <v>45599</v>
      </c>
      <c r="B1203" s="2" t="s">
        <v>15</v>
      </c>
      <c r="C1203" s="2" t="s">
        <v>16</v>
      </c>
      <c r="D1203" s="2" t="s">
        <v>21</v>
      </c>
      <c r="E1203" s="2" t="s">
        <v>33</v>
      </c>
      <c r="F1203" s="2">
        <v>13614</v>
      </c>
      <c r="G1203" s="2">
        <v>744</v>
      </c>
      <c r="H1203" s="2">
        <v>2209.6799999999998</v>
      </c>
      <c r="I1203" s="2">
        <v>54</v>
      </c>
      <c r="J1203" s="2">
        <v>11111.12</v>
      </c>
      <c r="K1203" s="4">
        <f t="shared" si="72"/>
        <v>5.4649625385632436E-2</v>
      </c>
      <c r="L1203" s="6">
        <f t="shared" si="73"/>
        <v>2.9699999999999998</v>
      </c>
      <c r="M1203" s="6">
        <f t="shared" si="74"/>
        <v>40.919999999999995</v>
      </c>
      <c r="N1203" s="8">
        <f t="shared" si="75"/>
        <v>5.0283842004272117</v>
      </c>
    </row>
    <row r="1204" spans="1:14" x14ac:dyDescent="0.45">
      <c r="A1204" s="12">
        <v>45642</v>
      </c>
      <c r="B1204" s="2" t="s">
        <v>15</v>
      </c>
      <c r="C1204" s="2" t="s">
        <v>38</v>
      </c>
      <c r="D1204" s="2" t="s">
        <v>29</v>
      </c>
      <c r="E1204" s="2" t="s">
        <v>54</v>
      </c>
      <c r="F1204" s="2">
        <v>7594</v>
      </c>
      <c r="G1204" s="2">
        <v>225</v>
      </c>
      <c r="H1204" s="2">
        <v>267.75</v>
      </c>
      <c r="I1204" s="2">
        <v>7</v>
      </c>
      <c r="J1204" s="2">
        <v>1275.1099999999999</v>
      </c>
      <c r="K1204" s="4">
        <f t="shared" si="72"/>
        <v>2.9628654200684751E-2</v>
      </c>
      <c r="L1204" s="6">
        <f t="shared" si="73"/>
        <v>1.19</v>
      </c>
      <c r="M1204" s="6">
        <f t="shared" si="74"/>
        <v>38.25</v>
      </c>
      <c r="N1204" s="8">
        <f t="shared" si="75"/>
        <v>4.7623155929038274</v>
      </c>
    </row>
    <row r="1205" spans="1:14" x14ac:dyDescent="0.45">
      <c r="A1205" s="12">
        <v>45520</v>
      </c>
      <c r="B1205" s="2" t="s">
        <v>20</v>
      </c>
      <c r="C1205" s="2" t="s">
        <v>16</v>
      </c>
      <c r="D1205" s="2" t="s">
        <v>41</v>
      </c>
      <c r="E1205" s="2" t="s">
        <v>54</v>
      </c>
      <c r="F1205" s="2">
        <v>161640</v>
      </c>
      <c r="G1205" s="2">
        <v>5916</v>
      </c>
      <c r="H1205" s="2">
        <v>2721.36</v>
      </c>
      <c r="I1205" s="2">
        <v>445</v>
      </c>
      <c r="J1205" s="2">
        <v>30797.18</v>
      </c>
      <c r="K1205" s="4">
        <f t="shared" si="72"/>
        <v>3.6599851521900519E-2</v>
      </c>
      <c r="L1205" s="6">
        <f t="shared" si="73"/>
        <v>0.46</v>
      </c>
      <c r="M1205" s="6">
        <f t="shared" si="74"/>
        <v>6.1154157303370793</v>
      </c>
      <c r="N1205" s="8">
        <f t="shared" si="75"/>
        <v>11.316834229943851</v>
      </c>
    </row>
    <row r="1206" spans="1:14" x14ac:dyDescent="0.45">
      <c r="A1206" s="12">
        <v>45649</v>
      </c>
      <c r="B1206" s="2" t="s">
        <v>15</v>
      </c>
      <c r="C1206" s="2" t="s">
        <v>24</v>
      </c>
      <c r="D1206" s="2" t="s">
        <v>41</v>
      </c>
      <c r="E1206" s="2" t="s">
        <v>18</v>
      </c>
      <c r="F1206" s="2">
        <v>83845</v>
      </c>
      <c r="G1206" s="2">
        <v>2599</v>
      </c>
      <c r="H1206" s="2">
        <v>6991.31</v>
      </c>
      <c r="I1206" s="2">
        <v>137</v>
      </c>
      <c r="J1206" s="2">
        <v>29891.75</v>
      </c>
      <c r="K1206" s="4">
        <f t="shared" si="72"/>
        <v>3.0997674279921283E-2</v>
      </c>
      <c r="L1206" s="6">
        <f t="shared" si="73"/>
        <v>2.69</v>
      </c>
      <c r="M1206" s="6">
        <f t="shared" si="74"/>
        <v>51.031459854014599</v>
      </c>
      <c r="N1206" s="8">
        <f t="shared" si="75"/>
        <v>4.2755577996112315</v>
      </c>
    </row>
    <row r="1207" spans="1:14" x14ac:dyDescent="0.45">
      <c r="A1207" s="12">
        <v>45429</v>
      </c>
      <c r="B1207" s="2" t="s">
        <v>15</v>
      </c>
      <c r="C1207" s="2" t="s">
        <v>38</v>
      </c>
      <c r="D1207" s="2" t="s">
        <v>25</v>
      </c>
      <c r="E1207" s="2" t="s">
        <v>30</v>
      </c>
      <c r="F1207" s="2">
        <v>195610</v>
      </c>
      <c r="G1207" s="2">
        <v>9956</v>
      </c>
      <c r="H1207" s="2">
        <v>23595.72</v>
      </c>
      <c r="I1207" s="2">
        <v>401</v>
      </c>
      <c r="J1207" s="2">
        <v>116291.87</v>
      </c>
      <c r="K1207" s="4">
        <f t="shared" si="72"/>
        <v>5.0897193395020704E-2</v>
      </c>
      <c r="L1207" s="6">
        <f t="shared" si="73"/>
        <v>2.37</v>
      </c>
      <c r="M1207" s="6">
        <f t="shared" si="74"/>
        <v>58.842194513715711</v>
      </c>
      <c r="N1207" s="8">
        <f t="shared" si="75"/>
        <v>4.9285154256788939</v>
      </c>
    </row>
    <row r="1208" spans="1:14" x14ac:dyDescent="0.45">
      <c r="A1208" s="12">
        <v>45549</v>
      </c>
      <c r="B1208" s="2" t="s">
        <v>15</v>
      </c>
      <c r="C1208" s="2" t="s">
        <v>38</v>
      </c>
      <c r="D1208" s="2" t="s">
        <v>25</v>
      </c>
      <c r="E1208" s="2" t="s">
        <v>18</v>
      </c>
      <c r="F1208" s="2">
        <v>63812</v>
      </c>
      <c r="G1208" s="2">
        <v>2686</v>
      </c>
      <c r="H1208" s="2">
        <v>8004.28</v>
      </c>
      <c r="I1208" s="2">
        <v>84</v>
      </c>
      <c r="J1208" s="2">
        <v>6979.61</v>
      </c>
      <c r="K1208" s="4">
        <f t="shared" si="72"/>
        <v>4.2092396414467499E-2</v>
      </c>
      <c r="L1208" s="6">
        <f t="shared" si="73"/>
        <v>2.98</v>
      </c>
      <c r="M1208" s="6">
        <f t="shared" si="74"/>
        <v>95.289047619047622</v>
      </c>
      <c r="N1208" s="8">
        <f t="shared" si="75"/>
        <v>0.87198473816508171</v>
      </c>
    </row>
    <row r="1209" spans="1:14" x14ac:dyDescent="0.45">
      <c r="A1209" s="12">
        <v>45532</v>
      </c>
      <c r="B1209" s="2" t="s">
        <v>15</v>
      </c>
      <c r="C1209" s="2" t="s">
        <v>24</v>
      </c>
      <c r="D1209" s="2" t="s">
        <v>17</v>
      </c>
      <c r="E1209" s="2" t="s">
        <v>18</v>
      </c>
      <c r="F1209" s="2">
        <v>33794</v>
      </c>
      <c r="G1209" s="2">
        <v>1030</v>
      </c>
      <c r="H1209" s="2">
        <v>1802.5</v>
      </c>
      <c r="I1209" s="2">
        <v>25</v>
      </c>
      <c r="J1209" s="2">
        <v>1849.39</v>
      </c>
      <c r="K1209" s="4">
        <f t="shared" si="72"/>
        <v>3.0478783215955495E-2</v>
      </c>
      <c r="L1209" s="6">
        <f t="shared" si="73"/>
        <v>1.75</v>
      </c>
      <c r="M1209" s="6">
        <f t="shared" si="74"/>
        <v>72.099999999999994</v>
      </c>
      <c r="N1209" s="8">
        <f t="shared" si="75"/>
        <v>1.0260138696255201</v>
      </c>
    </row>
    <row r="1210" spans="1:14" x14ac:dyDescent="0.45">
      <c r="A1210" s="12">
        <v>45458</v>
      </c>
      <c r="B1210" s="2" t="s">
        <v>35</v>
      </c>
      <c r="C1210" s="2" t="s">
        <v>28</v>
      </c>
      <c r="D1210" s="2" t="s">
        <v>17</v>
      </c>
      <c r="E1210" s="2" t="s">
        <v>51</v>
      </c>
      <c r="F1210" s="2">
        <v>130056</v>
      </c>
      <c r="G1210" s="2">
        <v>3537</v>
      </c>
      <c r="H1210" s="2">
        <v>2051.46</v>
      </c>
      <c r="I1210" s="2">
        <v>207</v>
      </c>
      <c r="J1210" s="2">
        <v>27550.99</v>
      </c>
      <c r="K1210" s="4">
        <f t="shared" si="72"/>
        <v>2.7195977117549362E-2</v>
      </c>
      <c r="L1210" s="6">
        <f t="shared" si="73"/>
        <v>0.57999999999999996</v>
      </c>
      <c r="M1210" s="6">
        <f t="shared" si="74"/>
        <v>9.9104347826086965</v>
      </c>
      <c r="N1210" s="8">
        <f t="shared" si="75"/>
        <v>13.429942577481404</v>
      </c>
    </row>
    <row r="1211" spans="1:14" x14ac:dyDescent="0.45">
      <c r="A1211" s="12">
        <v>45655</v>
      </c>
      <c r="B1211" s="2" t="s">
        <v>15</v>
      </c>
      <c r="C1211" s="2" t="s">
        <v>28</v>
      </c>
      <c r="D1211" s="2" t="s">
        <v>29</v>
      </c>
      <c r="E1211" s="2" t="s">
        <v>33</v>
      </c>
      <c r="F1211" s="2">
        <v>149438</v>
      </c>
      <c r="G1211" s="2">
        <v>3287</v>
      </c>
      <c r="H1211" s="2">
        <v>12260.51</v>
      </c>
      <c r="I1211" s="2">
        <v>153</v>
      </c>
      <c r="J1211" s="2">
        <v>8351.9500000000007</v>
      </c>
      <c r="K1211" s="4">
        <f t="shared" si="72"/>
        <v>2.1995744054390448E-2</v>
      </c>
      <c r="L1211" s="6">
        <f t="shared" si="73"/>
        <v>3.73</v>
      </c>
      <c r="M1211" s="6">
        <f t="shared" si="74"/>
        <v>80.134052287581696</v>
      </c>
      <c r="N1211" s="8">
        <f t="shared" si="75"/>
        <v>0.68120738859965868</v>
      </c>
    </row>
    <row r="1212" spans="1:14" x14ac:dyDescent="0.45">
      <c r="A1212" s="12">
        <v>45308</v>
      </c>
      <c r="B1212" s="2" t="s">
        <v>35</v>
      </c>
      <c r="C1212" s="2" t="s">
        <v>28</v>
      </c>
      <c r="D1212" s="2" t="s">
        <v>25</v>
      </c>
      <c r="E1212" s="2" t="s">
        <v>33</v>
      </c>
      <c r="F1212" s="2">
        <v>185750</v>
      </c>
      <c r="G1212" s="2">
        <v>1653</v>
      </c>
      <c r="H1212" s="2">
        <v>2148.9</v>
      </c>
      <c r="I1212" s="2">
        <v>34</v>
      </c>
      <c r="J1212" s="2">
        <v>2916.11</v>
      </c>
      <c r="K1212" s="4">
        <f t="shared" si="72"/>
        <v>8.8990578734858689E-3</v>
      </c>
      <c r="L1212" s="6">
        <f t="shared" si="73"/>
        <v>1.3</v>
      </c>
      <c r="M1212" s="6">
        <f t="shared" si="74"/>
        <v>63.202941176470588</v>
      </c>
      <c r="N1212" s="8">
        <f t="shared" si="75"/>
        <v>1.3570245241751593</v>
      </c>
    </row>
    <row r="1213" spans="1:14" x14ac:dyDescent="0.45">
      <c r="A1213" s="12">
        <v>45502</v>
      </c>
      <c r="B1213" s="2" t="s">
        <v>35</v>
      </c>
      <c r="C1213" s="2" t="s">
        <v>24</v>
      </c>
      <c r="D1213" s="2" t="s">
        <v>29</v>
      </c>
      <c r="E1213" s="2" t="s">
        <v>51</v>
      </c>
      <c r="F1213" s="2">
        <v>24750</v>
      </c>
      <c r="G1213" s="2">
        <v>747</v>
      </c>
      <c r="H1213" s="2">
        <v>888.93</v>
      </c>
      <c r="I1213" s="2">
        <v>48</v>
      </c>
      <c r="J1213" s="2">
        <v>1738.76</v>
      </c>
      <c r="K1213" s="4">
        <f t="shared" si="72"/>
        <v>3.0181818181818181E-2</v>
      </c>
      <c r="L1213" s="6">
        <f t="shared" si="73"/>
        <v>1.19</v>
      </c>
      <c r="M1213" s="6">
        <f t="shared" si="74"/>
        <v>18.519375</v>
      </c>
      <c r="N1213" s="8">
        <f t="shared" si="75"/>
        <v>1.9560145343277875</v>
      </c>
    </row>
    <row r="1214" spans="1:14" x14ac:dyDescent="0.45">
      <c r="A1214" s="12">
        <v>45612</v>
      </c>
      <c r="B1214" s="2" t="s">
        <v>20</v>
      </c>
      <c r="C1214" s="2" t="s">
        <v>28</v>
      </c>
      <c r="D1214" s="2" t="s">
        <v>17</v>
      </c>
      <c r="E1214" s="2" t="s">
        <v>22</v>
      </c>
      <c r="F1214" s="2">
        <v>66262</v>
      </c>
      <c r="G1214" s="2">
        <v>3790</v>
      </c>
      <c r="H1214" s="2">
        <v>4055.3</v>
      </c>
      <c r="I1214" s="2">
        <v>150</v>
      </c>
      <c r="J1214" s="2">
        <v>24443.119999999999</v>
      </c>
      <c r="K1214" s="4">
        <f t="shared" si="72"/>
        <v>5.719718692463252E-2</v>
      </c>
      <c r="L1214" s="6">
        <f t="shared" si="73"/>
        <v>1.07</v>
      </c>
      <c r="M1214" s="6">
        <f t="shared" si="74"/>
        <v>27.035333333333334</v>
      </c>
      <c r="N1214" s="8">
        <f t="shared" si="75"/>
        <v>6.0274504968806246</v>
      </c>
    </row>
    <row r="1215" spans="1:14" x14ac:dyDescent="0.45">
      <c r="A1215" s="12">
        <v>45421</v>
      </c>
      <c r="B1215" s="2" t="s">
        <v>20</v>
      </c>
      <c r="C1215" s="2" t="s">
        <v>24</v>
      </c>
      <c r="D1215" s="2" t="s">
        <v>41</v>
      </c>
      <c r="E1215" s="2" t="s">
        <v>22</v>
      </c>
      <c r="F1215" s="2">
        <v>126854</v>
      </c>
      <c r="G1215" s="2">
        <v>7243</v>
      </c>
      <c r="H1215" s="2">
        <v>5866.83</v>
      </c>
      <c r="I1215" s="2">
        <v>474</v>
      </c>
      <c r="J1215" s="2">
        <v>55705.279999999999</v>
      </c>
      <c r="K1215" s="4">
        <f t="shared" si="72"/>
        <v>5.7097135289387799E-2</v>
      </c>
      <c r="L1215" s="6">
        <f t="shared" si="73"/>
        <v>0.80999999999999994</v>
      </c>
      <c r="M1215" s="6">
        <f t="shared" si="74"/>
        <v>12.377278481012658</v>
      </c>
      <c r="N1215" s="8">
        <f t="shared" si="75"/>
        <v>9.4949538336716763</v>
      </c>
    </row>
    <row r="1216" spans="1:14" x14ac:dyDescent="0.45">
      <c r="A1216" s="12">
        <v>45554</v>
      </c>
      <c r="B1216" s="2" t="s">
        <v>35</v>
      </c>
      <c r="C1216" s="2" t="s">
        <v>24</v>
      </c>
      <c r="D1216" s="2" t="s">
        <v>21</v>
      </c>
      <c r="E1216" s="2" t="s">
        <v>33</v>
      </c>
      <c r="F1216" s="2">
        <v>32559</v>
      </c>
      <c r="G1216" s="2">
        <v>553</v>
      </c>
      <c r="H1216" s="2">
        <v>392.63</v>
      </c>
      <c r="I1216" s="2">
        <v>6</v>
      </c>
      <c r="J1216" s="2">
        <v>1500.74</v>
      </c>
      <c r="K1216" s="4">
        <f t="shared" si="72"/>
        <v>1.6984551122577476E-2</v>
      </c>
      <c r="L1216" s="6">
        <f t="shared" si="73"/>
        <v>0.71</v>
      </c>
      <c r="M1216" s="6">
        <f t="shared" si="74"/>
        <v>65.438333333333333</v>
      </c>
      <c r="N1216" s="8">
        <f t="shared" si="75"/>
        <v>3.8222754247000994</v>
      </c>
    </row>
    <row r="1217" spans="1:14" x14ac:dyDescent="0.45">
      <c r="A1217" s="12">
        <v>45500</v>
      </c>
      <c r="B1217" s="2" t="s">
        <v>15</v>
      </c>
      <c r="C1217" s="2" t="s">
        <v>16</v>
      </c>
      <c r="D1217" s="2" t="s">
        <v>29</v>
      </c>
      <c r="E1217" s="2" t="s">
        <v>18</v>
      </c>
      <c r="F1217" s="2">
        <v>85729</v>
      </c>
      <c r="G1217" s="2">
        <v>1757</v>
      </c>
      <c r="H1217" s="2">
        <v>5306.14</v>
      </c>
      <c r="I1217" s="2">
        <v>90</v>
      </c>
      <c r="J1217" s="2">
        <v>21584.82</v>
      </c>
      <c r="K1217" s="4">
        <f t="shared" si="72"/>
        <v>2.0494815056748591E-2</v>
      </c>
      <c r="L1217" s="6">
        <f t="shared" si="73"/>
        <v>3.02</v>
      </c>
      <c r="M1217" s="6">
        <f t="shared" si="74"/>
        <v>58.957111111111118</v>
      </c>
      <c r="N1217" s="8">
        <f t="shared" si="75"/>
        <v>4.0678949292706186</v>
      </c>
    </row>
    <row r="1218" spans="1:14" x14ac:dyDescent="0.45">
      <c r="A1218" s="12">
        <v>45634</v>
      </c>
      <c r="B1218" s="2" t="s">
        <v>35</v>
      </c>
      <c r="C1218" s="2" t="s">
        <v>28</v>
      </c>
      <c r="D1218" s="2" t="s">
        <v>41</v>
      </c>
      <c r="E1218" s="2" t="s">
        <v>51</v>
      </c>
      <c r="F1218" s="2">
        <v>126432</v>
      </c>
      <c r="G1218" s="2">
        <v>1567</v>
      </c>
      <c r="H1218" s="2">
        <v>2585.5500000000002</v>
      </c>
      <c r="I1218" s="2">
        <v>110</v>
      </c>
      <c r="J1218" s="2">
        <v>31358.68</v>
      </c>
      <c r="K1218" s="4">
        <f t="shared" si="72"/>
        <v>1.2394014173626931E-2</v>
      </c>
      <c r="L1218" s="6">
        <f t="shared" si="73"/>
        <v>1.6500000000000001</v>
      </c>
      <c r="M1218" s="6">
        <f t="shared" si="74"/>
        <v>23.505000000000003</v>
      </c>
      <c r="N1218" s="8">
        <f t="shared" si="75"/>
        <v>12.128436889636633</v>
      </c>
    </row>
    <row r="1219" spans="1:14" x14ac:dyDescent="0.45">
      <c r="A1219" s="12">
        <v>45379</v>
      </c>
      <c r="B1219" s="2" t="s">
        <v>35</v>
      </c>
      <c r="C1219" s="2" t="s">
        <v>16</v>
      </c>
      <c r="D1219" s="2" t="s">
        <v>17</v>
      </c>
      <c r="E1219" s="2" t="s">
        <v>22</v>
      </c>
      <c r="F1219" s="2">
        <v>196595</v>
      </c>
      <c r="G1219" s="2">
        <v>2614</v>
      </c>
      <c r="H1219" s="2">
        <v>993.32</v>
      </c>
      <c r="I1219" s="2">
        <v>28</v>
      </c>
      <c r="J1219" s="2">
        <v>6376.7</v>
      </c>
      <c r="K1219" s="4">
        <f t="shared" ref="K1219:K1282" si="76" xml:space="preserve"> G1219 / F1219</f>
        <v>1.329637071136092E-2</v>
      </c>
      <c r="L1219" s="6">
        <f t="shared" ref="L1219:L1282" si="77">H1219/G1219</f>
        <v>0.38</v>
      </c>
      <c r="M1219" s="6">
        <f t="shared" ref="M1219:M1282" si="78">H1219/I1219</f>
        <v>35.47571428571429</v>
      </c>
      <c r="N1219" s="8">
        <f t="shared" ref="N1219:N1282" si="79">J1219/H1219</f>
        <v>6.4195828131921227</v>
      </c>
    </row>
    <row r="1220" spans="1:14" x14ac:dyDescent="0.45">
      <c r="A1220" s="12">
        <v>45559</v>
      </c>
      <c r="B1220" s="2" t="s">
        <v>35</v>
      </c>
      <c r="C1220" s="2" t="s">
        <v>16</v>
      </c>
      <c r="D1220" s="2" t="s">
        <v>41</v>
      </c>
      <c r="E1220" s="2" t="s">
        <v>22</v>
      </c>
      <c r="F1220" s="2">
        <v>14028</v>
      </c>
      <c r="G1220" s="2">
        <v>342</v>
      </c>
      <c r="H1220" s="2">
        <v>646.38</v>
      </c>
      <c r="I1220" s="2">
        <v>7</v>
      </c>
      <c r="J1220" s="2">
        <v>716.51</v>
      </c>
      <c r="K1220" s="4">
        <f t="shared" si="76"/>
        <v>2.4379811804961505E-2</v>
      </c>
      <c r="L1220" s="6">
        <f t="shared" si="77"/>
        <v>1.89</v>
      </c>
      <c r="M1220" s="6">
        <f t="shared" si="78"/>
        <v>92.34</v>
      </c>
      <c r="N1220" s="8">
        <f t="shared" si="79"/>
        <v>1.1084965500170179</v>
      </c>
    </row>
    <row r="1221" spans="1:14" x14ac:dyDescent="0.45">
      <c r="A1221" s="12">
        <v>45372</v>
      </c>
      <c r="B1221" s="2" t="s">
        <v>15</v>
      </c>
      <c r="C1221" s="2" t="s">
        <v>38</v>
      </c>
      <c r="D1221" s="2" t="s">
        <v>25</v>
      </c>
      <c r="E1221" s="2" t="s">
        <v>33</v>
      </c>
      <c r="F1221" s="2">
        <v>77964</v>
      </c>
      <c r="G1221" s="2">
        <v>2915</v>
      </c>
      <c r="H1221" s="2">
        <v>9852.7000000000007</v>
      </c>
      <c r="I1221" s="2">
        <v>161</v>
      </c>
      <c r="J1221" s="2">
        <v>14283</v>
      </c>
      <c r="K1221" s="4">
        <f t="shared" si="76"/>
        <v>3.738905135703658E-2</v>
      </c>
      <c r="L1221" s="6">
        <f t="shared" si="77"/>
        <v>3.3800000000000003</v>
      </c>
      <c r="M1221" s="6">
        <f t="shared" si="78"/>
        <v>61.19689440993789</v>
      </c>
      <c r="N1221" s="8">
        <f t="shared" si="79"/>
        <v>1.4496533945009997</v>
      </c>
    </row>
    <row r="1222" spans="1:14" x14ac:dyDescent="0.45">
      <c r="A1222" s="12">
        <v>45394</v>
      </c>
      <c r="B1222" s="2" t="s">
        <v>15</v>
      </c>
      <c r="C1222" s="2" t="s">
        <v>16</v>
      </c>
      <c r="D1222" s="2" t="s">
        <v>17</v>
      </c>
      <c r="E1222" s="2" t="s">
        <v>22</v>
      </c>
      <c r="F1222" s="2">
        <v>102677</v>
      </c>
      <c r="G1222" s="2">
        <v>3131</v>
      </c>
      <c r="H1222" s="2">
        <v>11490.77</v>
      </c>
      <c r="I1222" s="2">
        <v>79</v>
      </c>
      <c r="J1222" s="2">
        <v>13056.26</v>
      </c>
      <c r="K1222" s="4">
        <f t="shared" si="76"/>
        <v>3.0493684077251965E-2</v>
      </c>
      <c r="L1222" s="6">
        <f t="shared" si="77"/>
        <v>3.67</v>
      </c>
      <c r="M1222" s="6">
        <f t="shared" si="78"/>
        <v>145.45278481012659</v>
      </c>
      <c r="N1222" s="8">
        <f t="shared" si="79"/>
        <v>1.1362389117526501</v>
      </c>
    </row>
    <row r="1223" spans="1:14" x14ac:dyDescent="0.45">
      <c r="A1223" s="12">
        <v>45655</v>
      </c>
      <c r="B1223" s="2" t="s">
        <v>15</v>
      </c>
      <c r="C1223" s="2" t="s">
        <v>16</v>
      </c>
      <c r="D1223" s="2" t="s">
        <v>17</v>
      </c>
      <c r="E1223" s="2" t="s">
        <v>30</v>
      </c>
      <c r="F1223" s="2">
        <v>137737</v>
      </c>
      <c r="G1223" s="2">
        <v>3925</v>
      </c>
      <c r="H1223" s="2">
        <v>3532.5</v>
      </c>
      <c r="I1223" s="2">
        <v>78</v>
      </c>
      <c r="J1223" s="2">
        <v>11545.1</v>
      </c>
      <c r="K1223" s="4">
        <f t="shared" si="76"/>
        <v>2.8496337222387595E-2</v>
      </c>
      <c r="L1223" s="6">
        <f t="shared" si="77"/>
        <v>0.9</v>
      </c>
      <c r="M1223" s="6">
        <f t="shared" si="78"/>
        <v>45.28846153846154</v>
      </c>
      <c r="N1223" s="8">
        <f t="shared" si="79"/>
        <v>3.2682519462137298</v>
      </c>
    </row>
    <row r="1224" spans="1:14" x14ac:dyDescent="0.45">
      <c r="A1224" s="12">
        <v>45417</v>
      </c>
      <c r="B1224" s="2" t="s">
        <v>15</v>
      </c>
      <c r="C1224" s="2" t="s">
        <v>28</v>
      </c>
      <c r="D1224" s="2" t="s">
        <v>21</v>
      </c>
      <c r="E1224" s="2" t="s">
        <v>26</v>
      </c>
      <c r="F1224" s="2">
        <v>93534</v>
      </c>
      <c r="G1224" s="2">
        <v>3544</v>
      </c>
      <c r="H1224" s="2">
        <v>3366.8</v>
      </c>
      <c r="I1224" s="2">
        <v>187</v>
      </c>
      <c r="J1224" s="2">
        <v>32280.5</v>
      </c>
      <c r="K1224" s="4">
        <f t="shared" si="76"/>
        <v>3.7889965146363891E-2</v>
      </c>
      <c r="L1224" s="6">
        <f t="shared" si="77"/>
        <v>0.95000000000000007</v>
      </c>
      <c r="M1224" s="6">
        <f t="shared" si="78"/>
        <v>18.00427807486631</v>
      </c>
      <c r="N1224" s="8">
        <f t="shared" si="79"/>
        <v>9.5878876084115472</v>
      </c>
    </row>
    <row r="1225" spans="1:14" x14ac:dyDescent="0.45">
      <c r="A1225" s="12">
        <v>45460</v>
      </c>
      <c r="B1225" s="2" t="s">
        <v>15</v>
      </c>
      <c r="C1225" s="2" t="s">
        <v>24</v>
      </c>
      <c r="D1225" s="2" t="s">
        <v>17</v>
      </c>
      <c r="E1225" s="2" t="s">
        <v>54</v>
      </c>
      <c r="F1225" s="2">
        <v>127475</v>
      </c>
      <c r="G1225" s="2">
        <v>7342</v>
      </c>
      <c r="H1225" s="2">
        <v>17180.28</v>
      </c>
      <c r="I1225" s="2">
        <v>574</v>
      </c>
      <c r="J1225" s="2">
        <v>74747.490000000005</v>
      </c>
      <c r="K1225" s="4">
        <f t="shared" si="76"/>
        <v>5.7595606981761131E-2</v>
      </c>
      <c r="L1225" s="6">
        <f t="shared" si="77"/>
        <v>2.34</v>
      </c>
      <c r="M1225" s="6">
        <f t="shared" si="78"/>
        <v>29.93080139372822</v>
      </c>
      <c r="N1225" s="8">
        <f t="shared" si="79"/>
        <v>4.3507725136028057</v>
      </c>
    </row>
    <row r="1226" spans="1:14" x14ac:dyDescent="0.45">
      <c r="A1226" s="12">
        <v>45544</v>
      </c>
      <c r="B1226" s="2" t="s">
        <v>15</v>
      </c>
      <c r="C1226" s="2" t="s">
        <v>38</v>
      </c>
      <c r="D1226" s="2" t="s">
        <v>29</v>
      </c>
      <c r="E1226" s="2" t="s">
        <v>26</v>
      </c>
      <c r="F1226" s="2">
        <v>82700</v>
      </c>
      <c r="G1226" s="2">
        <v>2679</v>
      </c>
      <c r="H1226" s="2">
        <v>2303.94</v>
      </c>
      <c r="I1226" s="2">
        <v>140</v>
      </c>
      <c r="J1226" s="2">
        <v>20788.45</v>
      </c>
      <c r="K1226" s="4">
        <f t="shared" si="76"/>
        <v>3.2394195888754536E-2</v>
      </c>
      <c r="L1226" s="6">
        <f t="shared" si="77"/>
        <v>0.86</v>
      </c>
      <c r="M1226" s="6">
        <f t="shared" si="78"/>
        <v>16.456714285714288</v>
      </c>
      <c r="N1226" s="8">
        <f t="shared" si="79"/>
        <v>9.0229997308957692</v>
      </c>
    </row>
    <row r="1227" spans="1:14" x14ac:dyDescent="0.45">
      <c r="A1227" s="12">
        <v>45431</v>
      </c>
      <c r="B1227" s="2" t="s">
        <v>20</v>
      </c>
      <c r="C1227" s="2" t="s">
        <v>28</v>
      </c>
      <c r="D1227" s="2" t="s">
        <v>41</v>
      </c>
      <c r="E1227" s="2" t="s">
        <v>22</v>
      </c>
      <c r="F1227" s="2">
        <v>96432</v>
      </c>
      <c r="G1227" s="2">
        <v>7155</v>
      </c>
      <c r="H1227" s="2">
        <v>2504.25</v>
      </c>
      <c r="I1227" s="2">
        <v>336</v>
      </c>
      <c r="J1227" s="2">
        <v>47954.95</v>
      </c>
      <c r="K1227" s="4">
        <f t="shared" si="76"/>
        <v>7.4197361871577897E-2</v>
      </c>
      <c r="L1227" s="6">
        <f t="shared" si="77"/>
        <v>0.35</v>
      </c>
      <c r="M1227" s="6">
        <f t="shared" si="78"/>
        <v>7.453125</v>
      </c>
      <c r="N1227" s="8">
        <f t="shared" si="79"/>
        <v>19.149425975841069</v>
      </c>
    </row>
    <row r="1228" spans="1:14" x14ac:dyDescent="0.45">
      <c r="A1228" s="12">
        <v>45632</v>
      </c>
      <c r="B1228" s="2" t="s">
        <v>20</v>
      </c>
      <c r="C1228" s="2" t="s">
        <v>28</v>
      </c>
      <c r="D1228" s="2" t="s">
        <v>29</v>
      </c>
      <c r="E1228" s="2" t="s">
        <v>26</v>
      </c>
      <c r="F1228" s="2">
        <v>154656</v>
      </c>
      <c r="G1228" s="2">
        <v>6557</v>
      </c>
      <c r="H1228" s="2">
        <v>2622.8</v>
      </c>
      <c r="I1228" s="2">
        <v>345</v>
      </c>
      <c r="J1228" s="2">
        <v>49646.11</v>
      </c>
      <c r="K1228" s="4">
        <f t="shared" si="76"/>
        <v>4.2397320504862404E-2</v>
      </c>
      <c r="L1228" s="6">
        <f t="shared" si="77"/>
        <v>0.4</v>
      </c>
      <c r="M1228" s="6">
        <f t="shared" si="78"/>
        <v>7.6023188405797111</v>
      </c>
      <c r="N1228" s="8">
        <f t="shared" si="79"/>
        <v>18.928667835900562</v>
      </c>
    </row>
    <row r="1229" spans="1:14" x14ac:dyDescent="0.45">
      <c r="A1229" s="12">
        <v>45465</v>
      </c>
      <c r="B1229" s="2" t="s">
        <v>15</v>
      </c>
      <c r="C1229" s="2" t="s">
        <v>24</v>
      </c>
      <c r="D1229" s="2" t="s">
        <v>25</v>
      </c>
      <c r="E1229" s="2" t="s">
        <v>22</v>
      </c>
      <c r="F1229" s="2">
        <v>115415</v>
      </c>
      <c r="G1229" s="2">
        <v>3866</v>
      </c>
      <c r="H1229" s="2">
        <v>12719.14</v>
      </c>
      <c r="I1229" s="2">
        <v>280</v>
      </c>
      <c r="J1229" s="2">
        <v>61322.57</v>
      </c>
      <c r="K1229" s="4">
        <f t="shared" si="76"/>
        <v>3.3496512585019275E-2</v>
      </c>
      <c r="L1229" s="6">
        <f t="shared" si="77"/>
        <v>3.29</v>
      </c>
      <c r="M1229" s="6">
        <f t="shared" si="78"/>
        <v>45.4255</v>
      </c>
      <c r="N1229" s="8">
        <f t="shared" si="79"/>
        <v>4.8212827282347712</v>
      </c>
    </row>
    <row r="1230" spans="1:14" x14ac:dyDescent="0.45">
      <c r="A1230" s="12">
        <v>45549</v>
      </c>
      <c r="B1230" s="2" t="s">
        <v>15</v>
      </c>
      <c r="C1230" s="2" t="s">
        <v>16</v>
      </c>
      <c r="D1230" s="2" t="s">
        <v>41</v>
      </c>
      <c r="E1230" s="2" t="s">
        <v>33</v>
      </c>
      <c r="F1230" s="2">
        <v>157963</v>
      </c>
      <c r="G1230" s="2">
        <v>5607</v>
      </c>
      <c r="H1230" s="2">
        <v>4934.16</v>
      </c>
      <c r="I1230" s="2">
        <v>205</v>
      </c>
      <c r="J1230" s="2">
        <v>50937.22</v>
      </c>
      <c r="K1230" s="4">
        <f t="shared" si="76"/>
        <v>3.5495654045567634E-2</v>
      </c>
      <c r="L1230" s="6">
        <f t="shared" si="77"/>
        <v>0.88</v>
      </c>
      <c r="M1230" s="6">
        <f t="shared" si="78"/>
        <v>24.069073170731706</v>
      </c>
      <c r="N1230" s="8">
        <f t="shared" si="79"/>
        <v>10.3233822981014</v>
      </c>
    </row>
    <row r="1231" spans="1:14" x14ac:dyDescent="0.45">
      <c r="A1231" s="12">
        <v>45449</v>
      </c>
      <c r="B1231" s="2" t="s">
        <v>35</v>
      </c>
      <c r="C1231" s="2" t="s">
        <v>24</v>
      </c>
      <c r="D1231" s="2" t="s">
        <v>17</v>
      </c>
      <c r="E1231" s="2" t="s">
        <v>33</v>
      </c>
      <c r="F1231" s="2">
        <v>133684</v>
      </c>
      <c r="G1231" s="2">
        <v>2018</v>
      </c>
      <c r="H1231" s="2">
        <v>3470.96</v>
      </c>
      <c r="I1231" s="2">
        <v>44</v>
      </c>
      <c r="J1231" s="2">
        <v>11449.27</v>
      </c>
      <c r="K1231" s="4">
        <f t="shared" si="76"/>
        <v>1.5095299362676161E-2</v>
      </c>
      <c r="L1231" s="6">
        <f t="shared" si="77"/>
        <v>1.72</v>
      </c>
      <c r="M1231" s="6">
        <f t="shared" si="78"/>
        <v>78.88545454545455</v>
      </c>
      <c r="N1231" s="8">
        <f t="shared" si="79"/>
        <v>3.2985888630234865</v>
      </c>
    </row>
    <row r="1232" spans="1:14" x14ac:dyDescent="0.45">
      <c r="A1232" s="12">
        <v>45296</v>
      </c>
      <c r="B1232" s="2" t="s">
        <v>15</v>
      </c>
      <c r="C1232" s="2" t="s">
        <v>28</v>
      </c>
      <c r="D1232" s="2" t="s">
        <v>25</v>
      </c>
      <c r="E1232" s="2" t="s">
        <v>18</v>
      </c>
      <c r="F1232" s="2">
        <v>20091</v>
      </c>
      <c r="G1232" s="2">
        <v>956</v>
      </c>
      <c r="H1232" s="2">
        <v>3259.96</v>
      </c>
      <c r="I1232" s="2">
        <v>36</v>
      </c>
      <c r="J1232" s="2">
        <v>9230.0499999999993</v>
      </c>
      <c r="K1232" s="4">
        <f t="shared" si="76"/>
        <v>4.7583495097307249E-2</v>
      </c>
      <c r="L1232" s="6">
        <f t="shared" si="77"/>
        <v>3.41</v>
      </c>
      <c r="M1232" s="6">
        <f t="shared" si="78"/>
        <v>90.554444444444442</v>
      </c>
      <c r="N1232" s="8">
        <f t="shared" si="79"/>
        <v>2.8313384213303228</v>
      </c>
    </row>
    <row r="1233" spans="1:14" x14ac:dyDescent="0.45">
      <c r="A1233" s="12">
        <v>45645</v>
      </c>
      <c r="B1233" s="2" t="s">
        <v>15</v>
      </c>
      <c r="C1233" s="2" t="s">
        <v>38</v>
      </c>
      <c r="D1233" s="2" t="s">
        <v>41</v>
      </c>
      <c r="E1233" s="2" t="s">
        <v>33</v>
      </c>
      <c r="F1233" s="2">
        <v>126946</v>
      </c>
      <c r="G1233" s="2">
        <v>6728</v>
      </c>
      <c r="H1233" s="2">
        <v>15541.68</v>
      </c>
      <c r="I1233" s="2">
        <v>132</v>
      </c>
      <c r="J1233" s="2">
        <v>34256.99</v>
      </c>
      <c r="K1233" s="4">
        <f t="shared" si="76"/>
        <v>5.2998912923605312E-2</v>
      </c>
      <c r="L1233" s="6">
        <f t="shared" si="77"/>
        <v>2.31</v>
      </c>
      <c r="M1233" s="6">
        <f t="shared" si="78"/>
        <v>117.74000000000001</v>
      </c>
      <c r="N1233" s="8">
        <f t="shared" si="79"/>
        <v>2.204201218915844</v>
      </c>
    </row>
    <row r="1234" spans="1:14" x14ac:dyDescent="0.45">
      <c r="A1234" s="12">
        <v>45656</v>
      </c>
      <c r="B1234" s="2" t="s">
        <v>20</v>
      </c>
      <c r="C1234" s="2" t="s">
        <v>16</v>
      </c>
      <c r="D1234" s="2" t="s">
        <v>25</v>
      </c>
      <c r="E1234" s="2" t="s">
        <v>30</v>
      </c>
      <c r="F1234" s="2">
        <v>8311</v>
      </c>
      <c r="G1234" s="2">
        <v>476</v>
      </c>
      <c r="H1234" s="2">
        <v>766.36</v>
      </c>
      <c r="I1234" s="2">
        <v>18</v>
      </c>
      <c r="J1234" s="2">
        <v>1064.02</v>
      </c>
      <c r="K1234" s="4">
        <f t="shared" si="76"/>
        <v>5.7273492961135847E-2</v>
      </c>
      <c r="L1234" s="6">
        <f t="shared" si="77"/>
        <v>1.61</v>
      </c>
      <c r="M1234" s="6">
        <f t="shared" si="78"/>
        <v>42.575555555555553</v>
      </c>
      <c r="N1234" s="8">
        <f t="shared" si="79"/>
        <v>1.3884075369278146</v>
      </c>
    </row>
    <row r="1235" spans="1:14" x14ac:dyDescent="0.45">
      <c r="A1235" s="12">
        <v>45408</v>
      </c>
      <c r="B1235" s="2" t="s">
        <v>15</v>
      </c>
      <c r="C1235" s="2" t="s">
        <v>24</v>
      </c>
      <c r="D1235" s="2" t="s">
        <v>25</v>
      </c>
      <c r="E1235" s="2" t="s">
        <v>22</v>
      </c>
      <c r="F1235" s="2">
        <v>140091</v>
      </c>
      <c r="G1235" s="2">
        <v>7242</v>
      </c>
      <c r="H1235" s="2">
        <v>18249.84</v>
      </c>
      <c r="I1235" s="2">
        <v>347</v>
      </c>
      <c r="J1235" s="2">
        <v>24525.17</v>
      </c>
      <c r="K1235" s="4">
        <f t="shared" si="76"/>
        <v>5.1694969698267555E-2</v>
      </c>
      <c r="L1235" s="6">
        <f t="shared" si="77"/>
        <v>2.52</v>
      </c>
      <c r="M1235" s="6">
        <f t="shared" si="78"/>
        <v>52.593198847262251</v>
      </c>
      <c r="N1235" s="8">
        <f t="shared" si="79"/>
        <v>1.3438567132643353</v>
      </c>
    </row>
    <row r="1236" spans="1:14" x14ac:dyDescent="0.45">
      <c r="A1236" s="12">
        <v>45428</v>
      </c>
      <c r="B1236" s="2" t="s">
        <v>20</v>
      </c>
      <c r="C1236" s="2" t="s">
        <v>28</v>
      </c>
      <c r="D1236" s="2" t="s">
        <v>41</v>
      </c>
      <c r="E1236" s="2" t="s">
        <v>33</v>
      </c>
      <c r="F1236" s="2">
        <v>140121</v>
      </c>
      <c r="G1236" s="2">
        <v>4778</v>
      </c>
      <c r="H1236" s="2">
        <v>4109.08</v>
      </c>
      <c r="I1236" s="2">
        <v>291</v>
      </c>
      <c r="J1236" s="2">
        <v>84859.67</v>
      </c>
      <c r="K1236" s="4">
        <f t="shared" si="76"/>
        <v>3.4099100063516533E-2</v>
      </c>
      <c r="L1236" s="6">
        <f t="shared" si="77"/>
        <v>0.86</v>
      </c>
      <c r="M1236" s="6">
        <f t="shared" si="78"/>
        <v>14.120549828178694</v>
      </c>
      <c r="N1236" s="8">
        <f t="shared" si="79"/>
        <v>20.651744429409991</v>
      </c>
    </row>
    <row r="1237" spans="1:14" x14ac:dyDescent="0.45">
      <c r="A1237" s="12">
        <v>45504</v>
      </c>
      <c r="B1237" s="2" t="s">
        <v>35</v>
      </c>
      <c r="C1237" s="2" t="s">
        <v>38</v>
      </c>
      <c r="D1237" s="2" t="s">
        <v>17</v>
      </c>
      <c r="E1237" s="2" t="s">
        <v>22</v>
      </c>
      <c r="F1237" s="2">
        <v>159301</v>
      </c>
      <c r="G1237" s="2">
        <v>6738</v>
      </c>
      <c r="H1237" s="2">
        <v>14688.84</v>
      </c>
      <c r="I1237" s="2">
        <v>302</v>
      </c>
      <c r="J1237" s="2">
        <v>57570.61</v>
      </c>
      <c r="K1237" s="4">
        <f t="shared" si="76"/>
        <v>4.2297286269389396E-2</v>
      </c>
      <c r="L1237" s="6">
        <f t="shared" si="77"/>
        <v>2.1800000000000002</v>
      </c>
      <c r="M1237" s="6">
        <f t="shared" si="78"/>
        <v>48.638543046357618</v>
      </c>
      <c r="N1237" s="8">
        <f t="shared" si="79"/>
        <v>3.9193435288286889</v>
      </c>
    </row>
    <row r="1238" spans="1:14" x14ac:dyDescent="0.45">
      <c r="A1238" s="12">
        <v>45307</v>
      </c>
      <c r="B1238" s="2" t="s">
        <v>20</v>
      </c>
      <c r="C1238" s="2" t="s">
        <v>28</v>
      </c>
      <c r="D1238" s="2" t="s">
        <v>29</v>
      </c>
      <c r="E1238" s="2" t="s">
        <v>30</v>
      </c>
      <c r="F1238" s="2">
        <v>88940</v>
      </c>
      <c r="G1238" s="2">
        <v>4384</v>
      </c>
      <c r="H1238" s="2">
        <v>1402.88</v>
      </c>
      <c r="I1238" s="2">
        <v>66</v>
      </c>
      <c r="J1238" s="2">
        <v>10447.120000000001</v>
      </c>
      <c r="K1238" s="4">
        <f t="shared" si="76"/>
        <v>4.9291657297054196E-2</v>
      </c>
      <c r="L1238" s="6">
        <f t="shared" si="77"/>
        <v>0.32</v>
      </c>
      <c r="M1238" s="6">
        <f t="shared" si="78"/>
        <v>21.255757575757578</v>
      </c>
      <c r="N1238" s="8">
        <f t="shared" si="79"/>
        <v>7.4469092153284668</v>
      </c>
    </row>
    <row r="1239" spans="1:14" x14ac:dyDescent="0.45">
      <c r="A1239" s="12">
        <v>45508</v>
      </c>
      <c r="B1239" s="2" t="s">
        <v>35</v>
      </c>
      <c r="C1239" s="2" t="s">
        <v>16</v>
      </c>
      <c r="D1239" s="2" t="s">
        <v>17</v>
      </c>
      <c r="E1239" s="2" t="s">
        <v>33</v>
      </c>
      <c r="F1239" s="2">
        <v>194287</v>
      </c>
      <c r="G1239" s="2">
        <v>5032</v>
      </c>
      <c r="H1239" s="2">
        <v>4277.2</v>
      </c>
      <c r="I1239" s="2">
        <v>338</v>
      </c>
      <c r="J1239" s="2">
        <v>32920.35</v>
      </c>
      <c r="K1239" s="4">
        <f t="shared" si="76"/>
        <v>2.5899828604075414E-2</v>
      </c>
      <c r="L1239" s="6">
        <f t="shared" si="77"/>
        <v>0.85</v>
      </c>
      <c r="M1239" s="6">
        <f t="shared" si="78"/>
        <v>12.654437869822484</v>
      </c>
      <c r="N1239" s="8">
        <f t="shared" si="79"/>
        <v>7.6967057888338166</v>
      </c>
    </row>
    <row r="1240" spans="1:14" x14ac:dyDescent="0.45">
      <c r="A1240" s="12">
        <v>45330</v>
      </c>
      <c r="B1240" s="2" t="s">
        <v>20</v>
      </c>
      <c r="C1240" s="2" t="s">
        <v>16</v>
      </c>
      <c r="D1240" s="2" t="s">
        <v>25</v>
      </c>
      <c r="E1240" s="2" t="s">
        <v>51</v>
      </c>
      <c r="F1240" s="2">
        <v>17911</v>
      </c>
      <c r="G1240" s="2">
        <v>1148</v>
      </c>
      <c r="H1240" s="2">
        <v>1320.2</v>
      </c>
      <c r="I1240" s="2">
        <v>52</v>
      </c>
      <c r="J1240" s="2">
        <v>3388.21</v>
      </c>
      <c r="K1240" s="4">
        <f t="shared" si="76"/>
        <v>6.4094690413712241E-2</v>
      </c>
      <c r="L1240" s="6">
        <f t="shared" si="77"/>
        <v>1.1500000000000001</v>
      </c>
      <c r="M1240" s="6">
        <f t="shared" si="78"/>
        <v>25.388461538461538</v>
      </c>
      <c r="N1240" s="8">
        <f t="shared" si="79"/>
        <v>2.5664369034994698</v>
      </c>
    </row>
    <row r="1241" spans="1:14" x14ac:dyDescent="0.45">
      <c r="A1241" s="12">
        <v>45495</v>
      </c>
      <c r="B1241" s="2" t="s">
        <v>35</v>
      </c>
      <c r="C1241" s="2" t="s">
        <v>38</v>
      </c>
      <c r="D1241" s="2" t="s">
        <v>29</v>
      </c>
      <c r="E1241" s="2" t="s">
        <v>22</v>
      </c>
      <c r="F1241" s="2">
        <v>9909</v>
      </c>
      <c r="G1241" s="2">
        <v>170</v>
      </c>
      <c r="H1241" s="2">
        <v>316.2</v>
      </c>
      <c r="I1241" s="2">
        <v>10</v>
      </c>
      <c r="J1241" s="2">
        <v>1238.47</v>
      </c>
      <c r="K1241" s="4">
        <f t="shared" si="76"/>
        <v>1.715612069835503E-2</v>
      </c>
      <c r="L1241" s="6">
        <f t="shared" si="77"/>
        <v>1.8599999999999999</v>
      </c>
      <c r="M1241" s="6">
        <f t="shared" si="78"/>
        <v>31.619999999999997</v>
      </c>
      <c r="N1241" s="8">
        <f t="shared" si="79"/>
        <v>3.9167299177735613</v>
      </c>
    </row>
    <row r="1242" spans="1:14" x14ac:dyDescent="0.45">
      <c r="A1242" s="12">
        <v>45309</v>
      </c>
      <c r="B1242" s="2" t="s">
        <v>20</v>
      </c>
      <c r="C1242" s="2" t="s">
        <v>16</v>
      </c>
      <c r="D1242" s="2" t="s">
        <v>41</v>
      </c>
      <c r="E1242" s="2" t="s">
        <v>51</v>
      </c>
      <c r="F1242" s="2">
        <v>168616</v>
      </c>
      <c r="G1242" s="2">
        <v>6508</v>
      </c>
      <c r="H1242" s="2">
        <v>6638.16</v>
      </c>
      <c r="I1242" s="2">
        <v>508</v>
      </c>
      <c r="J1242" s="2">
        <v>151081.09</v>
      </c>
      <c r="K1242" s="4">
        <f t="shared" si="76"/>
        <v>3.8596574465056696E-2</v>
      </c>
      <c r="L1242" s="6">
        <f t="shared" si="77"/>
        <v>1.02</v>
      </c>
      <c r="M1242" s="6">
        <f t="shared" si="78"/>
        <v>13.067244094488188</v>
      </c>
      <c r="N1242" s="8">
        <f t="shared" si="79"/>
        <v>22.759483049519748</v>
      </c>
    </row>
    <row r="1243" spans="1:14" x14ac:dyDescent="0.45">
      <c r="A1243" s="12">
        <v>45564</v>
      </c>
      <c r="B1243" s="2" t="s">
        <v>35</v>
      </c>
      <c r="C1243" s="2" t="s">
        <v>28</v>
      </c>
      <c r="D1243" s="2" t="s">
        <v>25</v>
      </c>
      <c r="E1243" s="2" t="s">
        <v>30</v>
      </c>
      <c r="F1243" s="2">
        <v>139346</v>
      </c>
      <c r="G1243" s="2">
        <v>4096</v>
      </c>
      <c r="H1243" s="2">
        <v>2539.52</v>
      </c>
      <c r="I1243" s="2">
        <v>236</v>
      </c>
      <c r="J1243" s="2">
        <v>12521.54</v>
      </c>
      <c r="K1243" s="4">
        <f t="shared" si="76"/>
        <v>2.9394456963242575E-2</v>
      </c>
      <c r="L1243" s="6">
        <f t="shared" si="77"/>
        <v>0.62</v>
      </c>
      <c r="M1243" s="6">
        <f t="shared" si="78"/>
        <v>10.760677966101694</v>
      </c>
      <c r="N1243" s="8">
        <f t="shared" si="79"/>
        <v>4.9306719380040329</v>
      </c>
    </row>
    <row r="1244" spans="1:14" x14ac:dyDescent="0.45">
      <c r="A1244" s="12">
        <v>45366</v>
      </c>
      <c r="B1244" s="2" t="s">
        <v>35</v>
      </c>
      <c r="C1244" s="2" t="s">
        <v>16</v>
      </c>
      <c r="D1244" s="2" t="s">
        <v>17</v>
      </c>
      <c r="E1244" s="2" t="s">
        <v>22</v>
      </c>
      <c r="F1244" s="2">
        <v>98740</v>
      </c>
      <c r="G1244" s="2">
        <v>1589</v>
      </c>
      <c r="H1244" s="2">
        <v>3321.01</v>
      </c>
      <c r="I1244" s="2">
        <v>47</v>
      </c>
      <c r="J1244" s="2">
        <v>5063.3100000000004</v>
      </c>
      <c r="K1244" s="4">
        <f t="shared" si="76"/>
        <v>1.6092768887988659E-2</v>
      </c>
      <c r="L1244" s="6">
        <f t="shared" si="77"/>
        <v>2.0900000000000003</v>
      </c>
      <c r="M1244" s="6">
        <f t="shared" si="78"/>
        <v>70.659787234042554</v>
      </c>
      <c r="N1244" s="8">
        <f t="shared" si="79"/>
        <v>1.5246295554665599</v>
      </c>
    </row>
    <row r="1245" spans="1:14" x14ac:dyDescent="0.45">
      <c r="A1245" s="12">
        <v>45445</v>
      </c>
      <c r="B1245" s="2" t="s">
        <v>20</v>
      </c>
      <c r="C1245" s="2" t="s">
        <v>24</v>
      </c>
      <c r="D1245" s="2" t="s">
        <v>21</v>
      </c>
      <c r="E1245" s="2" t="s">
        <v>51</v>
      </c>
      <c r="F1245" s="2">
        <v>26471</v>
      </c>
      <c r="G1245" s="2">
        <v>1890</v>
      </c>
      <c r="H1245" s="2">
        <v>1776.6</v>
      </c>
      <c r="I1245" s="2">
        <v>74</v>
      </c>
      <c r="J1245" s="2">
        <v>21647.86</v>
      </c>
      <c r="K1245" s="4">
        <f t="shared" si="76"/>
        <v>7.1398889350610104E-2</v>
      </c>
      <c r="L1245" s="6">
        <f t="shared" si="77"/>
        <v>0.94</v>
      </c>
      <c r="M1245" s="6">
        <f t="shared" si="78"/>
        <v>24.008108108108107</v>
      </c>
      <c r="N1245" s="8">
        <f t="shared" si="79"/>
        <v>12.184993808398065</v>
      </c>
    </row>
    <row r="1246" spans="1:14" x14ac:dyDescent="0.45">
      <c r="A1246" s="12">
        <v>45498</v>
      </c>
      <c r="B1246" s="2" t="s">
        <v>35</v>
      </c>
      <c r="C1246" s="2" t="s">
        <v>38</v>
      </c>
      <c r="D1246" s="2" t="s">
        <v>25</v>
      </c>
      <c r="E1246" s="2" t="s">
        <v>26</v>
      </c>
      <c r="F1246" s="2">
        <v>174048</v>
      </c>
      <c r="G1246" s="2">
        <v>3846</v>
      </c>
      <c r="H1246" s="2">
        <v>6692.04</v>
      </c>
      <c r="I1246" s="2">
        <v>75</v>
      </c>
      <c r="J1246" s="2">
        <v>18304.27</v>
      </c>
      <c r="K1246" s="4">
        <f t="shared" si="76"/>
        <v>2.209735245449531E-2</v>
      </c>
      <c r="L1246" s="6">
        <f t="shared" si="77"/>
        <v>1.74</v>
      </c>
      <c r="M1246" s="6">
        <f t="shared" si="78"/>
        <v>89.227199999999996</v>
      </c>
      <c r="N1246" s="8">
        <f t="shared" si="79"/>
        <v>2.7352302138062536</v>
      </c>
    </row>
    <row r="1247" spans="1:14" x14ac:dyDescent="0.45">
      <c r="A1247" s="12">
        <v>45383</v>
      </c>
      <c r="B1247" s="2" t="s">
        <v>35</v>
      </c>
      <c r="C1247" s="2" t="s">
        <v>16</v>
      </c>
      <c r="D1247" s="2" t="s">
        <v>25</v>
      </c>
      <c r="E1247" s="2" t="s">
        <v>54</v>
      </c>
      <c r="F1247" s="2">
        <v>8877</v>
      </c>
      <c r="G1247" s="2">
        <v>230</v>
      </c>
      <c r="H1247" s="2">
        <v>174.8</v>
      </c>
      <c r="I1247" s="2">
        <v>9</v>
      </c>
      <c r="J1247" s="2">
        <v>1921.06</v>
      </c>
      <c r="K1247" s="4">
        <f t="shared" si="76"/>
        <v>2.5909654162442265E-2</v>
      </c>
      <c r="L1247" s="6">
        <f t="shared" si="77"/>
        <v>0.76</v>
      </c>
      <c r="M1247" s="6">
        <f t="shared" si="78"/>
        <v>19.422222222222224</v>
      </c>
      <c r="N1247" s="8">
        <f t="shared" si="79"/>
        <v>10.990045766590388</v>
      </c>
    </row>
    <row r="1248" spans="1:14" x14ac:dyDescent="0.45">
      <c r="A1248" s="12">
        <v>45425</v>
      </c>
      <c r="B1248" s="2" t="s">
        <v>35</v>
      </c>
      <c r="C1248" s="2" t="s">
        <v>28</v>
      </c>
      <c r="D1248" s="2" t="s">
        <v>21</v>
      </c>
      <c r="E1248" s="2" t="s">
        <v>30</v>
      </c>
      <c r="F1248" s="2">
        <v>32488</v>
      </c>
      <c r="G1248" s="2">
        <v>919</v>
      </c>
      <c r="H1248" s="2">
        <v>1773.67</v>
      </c>
      <c r="I1248" s="2">
        <v>32</v>
      </c>
      <c r="J1248" s="2">
        <v>7341.13</v>
      </c>
      <c r="K1248" s="4">
        <f t="shared" si="76"/>
        <v>2.8287367643437578E-2</v>
      </c>
      <c r="L1248" s="6">
        <f t="shared" si="77"/>
        <v>1.9300000000000002</v>
      </c>
      <c r="M1248" s="6">
        <f t="shared" si="78"/>
        <v>55.427187500000002</v>
      </c>
      <c r="N1248" s="8">
        <f t="shared" si="79"/>
        <v>4.1389491844593413</v>
      </c>
    </row>
    <row r="1249" spans="1:14" x14ac:dyDescent="0.45">
      <c r="A1249" s="12">
        <v>45606</v>
      </c>
      <c r="B1249" s="2" t="s">
        <v>15</v>
      </c>
      <c r="C1249" s="2" t="s">
        <v>16</v>
      </c>
      <c r="D1249" s="2" t="s">
        <v>25</v>
      </c>
      <c r="E1249" s="2" t="s">
        <v>26</v>
      </c>
      <c r="F1249" s="2">
        <v>77968</v>
      </c>
      <c r="G1249" s="2">
        <v>3001</v>
      </c>
      <c r="H1249" s="2">
        <v>8552.85</v>
      </c>
      <c r="I1249" s="2">
        <v>193</v>
      </c>
      <c r="J1249" s="2">
        <v>31448.71</v>
      </c>
      <c r="K1249" s="4">
        <f t="shared" si="76"/>
        <v>3.8490149805048224E-2</v>
      </c>
      <c r="L1249" s="6">
        <f t="shared" si="77"/>
        <v>2.85</v>
      </c>
      <c r="M1249" s="6">
        <f t="shared" si="78"/>
        <v>44.315284974093267</v>
      </c>
      <c r="N1249" s="8">
        <f t="shared" si="79"/>
        <v>3.6769860338951341</v>
      </c>
    </row>
    <row r="1250" spans="1:14" x14ac:dyDescent="0.45">
      <c r="A1250" s="12">
        <v>45504</v>
      </c>
      <c r="B1250" s="2" t="s">
        <v>20</v>
      </c>
      <c r="C1250" s="2" t="s">
        <v>24</v>
      </c>
      <c r="D1250" s="2" t="s">
        <v>17</v>
      </c>
      <c r="E1250" s="2" t="s">
        <v>18</v>
      </c>
      <c r="F1250" s="2">
        <v>10156</v>
      </c>
      <c r="G1250" s="2">
        <v>474</v>
      </c>
      <c r="H1250" s="2">
        <v>146.94</v>
      </c>
      <c r="I1250" s="2">
        <v>29</v>
      </c>
      <c r="J1250" s="2">
        <v>1480.61</v>
      </c>
      <c r="K1250" s="4">
        <f t="shared" si="76"/>
        <v>4.667191807798346E-2</v>
      </c>
      <c r="L1250" s="6">
        <f t="shared" si="77"/>
        <v>0.31</v>
      </c>
      <c r="M1250" s="6">
        <f t="shared" si="78"/>
        <v>5.0668965517241382</v>
      </c>
      <c r="N1250" s="8">
        <f t="shared" si="79"/>
        <v>10.07628964203076</v>
      </c>
    </row>
    <row r="1251" spans="1:14" x14ac:dyDescent="0.45">
      <c r="A1251" s="12">
        <v>45374</v>
      </c>
      <c r="B1251" s="2" t="s">
        <v>35</v>
      </c>
      <c r="C1251" s="2" t="s">
        <v>38</v>
      </c>
      <c r="D1251" s="2" t="s">
        <v>17</v>
      </c>
      <c r="E1251" s="2" t="s">
        <v>22</v>
      </c>
      <c r="F1251" s="2">
        <v>63676</v>
      </c>
      <c r="G1251" s="2">
        <v>1757</v>
      </c>
      <c r="H1251" s="2">
        <v>2038.12</v>
      </c>
      <c r="I1251" s="2">
        <v>137</v>
      </c>
      <c r="J1251" s="2">
        <v>8830.01</v>
      </c>
      <c r="K1251" s="4">
        <f t="shared" si="76"/>
        <v>2.7592813618945913E-2</v>
      </c>
      <c r="L1251" s="6">
        <f t="shared" si="77"/>
        <v>1.1599999999999999</v>
      </c>
      <c r="M1251" s="6">
        <f t="shared" si="78"/>
        <v>14.876788321167883</v>
      </c>
      <c r="N1251" s="8">
        <f t="shared" si="79"/>
        <v>4.3324289050693778</v>
      </c>
    </row>
    <row r="1252" spans="1:14" x14ac:dyDescent="0.45">
      <c r="A1252" s="12">
        <v>45472</v>
      </c>
      <c r="B1252" s="2" t="s">
        <v>15</v>
      </c>
      <c r="C1252" s="2" t="s">
        <v>24</v>
      </c>
      <c r="D1252" s="2" t="s">
        <v>21</v>
      </c>
      <c r="E1252" s="2" t="s">
        <v>18</v>
      </c>
      <c r="F1252" s="2">
        <v>93545</v>
      </c>
      <c r="G1252" s="2">
        <v>2974</v>
      </c>
      <c r="H1252" s="2">
        <v>3449.84</v>
      </c>
      <c r="I1252" s="2">
        <v>58</v>
      </c>
      <c r="J1252" s="2">
        <v>4267.1099999999997</v>
      </c>
      <c r="K1252" s="4">
        <f t="shared" si="76"/>
        <v>3.1792185579133041E-2</v>
      </c>
      <c r="L1252" s="6">
        <f t="shared" si="77"/>
        <v>1.1600000000000001</v>
      </c>
      <c r="M1252" s="6">
        <f t="shared" si="78"/>
        <v>59.480000000000004</v>
      </c>
      <c r="N1252" s="8">
        <f t="shared" si="79"/>
        <v>1.2369008417781693</v>
      </c>
    </row>
    <row r="1253" spans="1:14" x14ac:dyDescent="0.45">
      <c r="A1253" s="12">
        <v>45340</v>
      </c>
      <c r="B1253" s="2" t="s">
        <v>35</v>
      </c>
      <c r="C1253" s="2" t="s">
        <v>38</v>
      </c>
      <c r="D1253" s="2" t="s">
        <v>21</v>
      </c>
      <c r="E1253" s="2" t="s">
        <v>51</v>
      </c>
      <c r="F1253" s="2">
        <v>8671</v>
      </c>
      <c r="G1253" s="2">
        <v>156</v>
      </c>
      <c r="H1253" s="2">
        <v>227.76</v>
      </c>
      <c r="I1253" s="2">
        <v>7</v>
      </c>
      <c r="J1253" s="2">
        <v>1461.2</v>
      </c>
      <c r="K1253" s="4">
        <f t="shared" si="76"/>
        <v>1.7991004497751123E-2</v>
      </c>
      <c r="L1253" s="6">
        <f t="shared" si="77"/>
        <v>1.46</v>
      </c>
      <c r="M1253" s="6">
        <f t="shared" si="78"/>
        <v>32.537142857142854</v>
      </c>
      <c r="N1253" s="8">
        <f t="shared" si="79"/>
        <v>6.4155251141552512</v>
      </c>
    </row>
    <row r="1254" spans="1:14" x14ac:dyDescent="0.45">
      <c r="A1254" s="12">
        <v>45388</v>
      </c>
      <c r="B1254" s="2" t="s">
        <v>35</v>
      </c>
      <c r="C1254" s="2" t="s">
        <v>24</v>
      </c>
      <c r="D1254" s="2" t="s">
        <v>17</v>
      </c>
      <c r="E1254" s="2" t="s">
        <v>26</v>
      </c>
      <c r="F1254" s="2">
        <v>95930</v>
      </c>
      <c r="G1254" s="2">
        <v>1554</v>
      </c>
      <c r="H1254" s="2">
        <v>1118.8800000000001</v>
      </c>
      <c r="I1254" s="2">
        <v>62</v>
      </c>
      <c r="J1254" s="2">
        <v>5774.95</v>
      </c>
      <c r="K1254" s="4">
        <f t="shared" si="76"/>
        <v>1.6199311998332116E-2</v>
      </c>
      <c r="L1254" s="6">
        <f t="shared" si="77"/>
        <v>0.72000000000000008</v>
      </c>
      <c r="M1254" s="6">
        <f t="shared" si="78"/>
        <v>18.046451612903226</v>
      </c>
      <c r="N1254" s="8">
        <f t="shared" si="79"/>
        <v>5.1613667238667231</v>
      </c>
    </row>
    <row r="1255" spans="1:14" x14ac:dyDescent="0.45">
      <c r="A1255" s="12">
        <v>45496</v>
      </c>
      <c r="B1255" s="2" t="s">
        <v>15</v>
      </c>
      <c r="C1255" s="2" t="s">
        <v>38</v>
      </c>
      <c r="D1255" s="2" t="s">
        <v>41</v>
      </c>
      <c r="E1255" s="2" t="s">
        <v>54</v>
      </c>
      <c r="F1255" s="2">
        <v>73683</v>
      </c>
      <c r="G1255" s="2">
        <v>3757</v>
      </c>
      <c r="H1255" s="2">
        <v>12473.24</v>
      </c>
      <c r="I1255" s="2">
        <v>131</v>
      </c>
      <c r="J1255" s="2">
        <v>33721.519999999997</v>
      </c>
      <c r="K1255" s="4">
        <f t="shared" si="76"/>
        <v>5.098869481427195E-2</v>
      </c>
      <c r="L1255" s="6">
        <f t="shared" si="77"/>
        <v>3.32</v>
      </c>
      <c r="M1255" s="6">
        <f t="shared" si="78"/>
        <v>95.215572519083963</v>
      </c>
      <c r="N1255" s="8">
        <f t="shared" si="79"/>
        <v>2.7035092726508907</v>
      </c>
    </row>
    <row r="1256" spans="1:14" x14ac:dyDescent="0.45">
      <c r="A1256" s="12">
        <v>45490</v>
      </c>
      <c r="B1256" s="2" t="s">
        <v>35</v>
      </c>
      <c r="C1256" s="2" t="s">
        <v>28</v>
      </c>
      <c r="D1256" s="2" t="s">
        <v>29</v>
      </c>
      <c r="E1256" s="2" t="s">
        <v>51</v>
      </c>
      <c r="F1256" s="2">
        <v>152932</v>
      </c>
      <c r="G1256" s="2">
        <v>6591</v>
      </c>
      <c r="H1256" s="2">
        <v>8238.75</v>
      </c>
      <c r="I1256" s="2">
        <v>200</v>
      </c>
      <c r="J1256" s="2">
        <v>14211.23</v>
      </c>
      <c r="K1256" s="4">
        <f t="shared" si="76"/>
        <v>4.3097585855151312E-2</v>
      </c>
      <c r="L1256" s="6">
        <f t="shared" si="77"/>
        <v>1.25</v>
      </c>
      <c r="M1256" s="6">
        <f t="shared" si="78"/>
        <v>41.193750000000001</v>
      </c>
      <c r="N1256" s="8">
        <f t="shared" si="79"/>
        <v>1.7249255044758003</v>
      </c>
    </row>
    <row r="1257" spans="1:14" x14ac:dyDescent="0.45">
      <c r="A1257" s="12">
        <v>45352</v>
      </c>
      <c r="B1257" s="2" t="s">
        <v>20</v>
      </c>
      <c r="C1257" s="2" t="s">
        <v>28</v>
      </c>
      <c r="D1257" s="2" t="s">
        <v>29</v>
      </c>
      <c r="E1257" s="2" t="s">
        <v>18</v>
      </c>
      <c r="F1257" s="2">
        <v>125354</v>
      </c>
      <c r="G1257" s="2">
        <v>6179</v>
      </c>
      <c r="H1257" s="2">
        <v>2162.65</v>
      </c>
      <c r="I1257" s="2">
        <v>259</v>
      </c>
      <c r="J1257" s="2">
        <v>9238.1200000000008</v>
      </c>
      <c r="K1257" s="4">
        <f t="shared" si="76"/>
        <v>4.929240391212087E-2</v>
      </c>
      <c r="L1257" s="6">
        <f t="shared" si="77"/>
        <v>0.35000000000000003</v>
      </c>
      <c r="M1257" s="6">
        <f t="shared" si="78"/>
        <v>8.35</v>
      </c>
      <c r="N1257" s="8">
        <f t="shared" si="79"/>
        <v>4.2716667051996398</v>
      </c>
    </row>
    <row r="1258" spans="1:14" x14ac:dyDescent="0.45">
      <c r="A1258" s="12">
        <v>45541</v>
      </c>
      <c r="B1258" s="2" t="s">
        <v>15</v>
      </c>
      <c r="C1258" s="2" t="s">
        <v>28</v>
      </c>
      <c r="D1258" s="2" t="s">
        <v>41</v>
      </c>
      <c r="E1258" s="2" t="s">
        <v>33</v>
      </c>
      <c r="F1258" s="2">
        <v>193613</v>
      </c>
      <c r="G1258" s="2">
        <v>9157</v>
      </c>
      <c r="H1258" s="2">
        <v>25548.03</v>
      </c>
      <c r="I1258" s="2">
        <v>458</v>
      </c>
      <c r="J1258" s="2">
        <v>127981.37</v>
      </c>
      <c r="K1258" s="4">
        <f t="shared" si="76"/>
        <v>4.7295377893013385E-2</v>
      </c>
      <c r="L1258" s="6">
        <f t="shared" si="77"/>
        <v>2.79</v>
      </c>
      <c r="M1258" s="6">
        <f t="shared" si="78"/>
        <v>55.781724890829693</v>
      </c>
      <c r="N1258" s="8">
        <f t="shared" si="79"/>
        <v>5.0094418238901399</v>
      </c>
    </row>
    <row r="1259" spans="1:14" x14ac:dyDescent="0.45">
      <c r="A1259" s="12">
        <v>45621</v>
      </c>
      <c r="B1259" s="2" t="s">
        <v>15</v>
      </c>
      <c r="C1259" s="2" t="s">
        <v>38</v>
      </c>
      <c r="D1259" s="2" t="s">
        <v>21</v>
      </c>
      <c r="E1259" s="2" t="s">
        <v>54</v>
      </c>
      <c r="F1259" s="2">
        <v>158138</v>
      </c>
      <c r="G1259" s="2">
        <v>2846</v>
      </c>
      <c r="H1259" s="2">
        <v>5805.84</v>
      </c>
      <c r="I1259" s="2">
        <v>143</v>
      </c>
      <c r="J1259" s="2">
        <v>22164.01</v>
      </c>
      <c r="K1259" s="4">
        <f t="shared" si="76"/>
        <v>1.7996939382058708E-2</v>
      </c>
      <c r="L1259" s="6">
        <f t="shared" si="77"/>
        <v>2.04</v>
      </c>
      <c r="M1259" s="6">
        <f t="shared" si="78"/>
        <v>40.600279720279723</v>
      </c>
      <c r="N1259" s="8">
        <f t="shared" si="79"/>
        <v>3.8175371694707394</v>
      </c>
    </row>
    <row r="1260" spans="1:14" x14ac:dyDescent="0.45">
      <c r="A1260" s="12">
        <v>45471</v>
      </c>
      <c r="B1260" s="2" t="s">
        <v>15</v>
      </c>
      <c r="C1260" s="2" t="s">
        <v>24</v>
      </c>
      <c r="D1260" s="2" t="s">
        <v>25</v>
      </c>
      <c r="E1260" s="2" t="s">
        <v>18</v>
      </c>
      <c r="F1260" s="2">
        <v>134814</v>
      </c>
      <c r="G1260" s="2">
        <v>2804</v>
      </c>
      <c r="H1260" s="2">
        <v>5355.64</v>
      </c>
      <c r="I1260" s="2">
        <v>195</v>
      </c>
      <c r="J1260" s="2">
        <v>46646.16</v>
      </c>
      <c r="K1260" s="4">
        <f t="shared" si="76"/>
        <v>2.0799026807304881E-2</v>
      </c>
      <c r="L1260" s="6">
        <f t="shared" si="77"/>
        <v>1.9100000000000001</v>
      </c>
      <c r="M1260" s="6">
        <f t="shared" si="78"/>
        <v>27.464820512820513</v>
      </c>
      <c r="N1260" s="8">
        <f t="shared" si="79"/>
        <v>8.7097265686267189</v>
      </c>
    </row>
    <row r="1261" spans="1:14" x14ac:dyDescent="0.45">
      <c r="A1261" s="12">
        <v>45341</v>
      </c>
      <c r="B1261" s="2" t="s">
        <v>15</v>
      </c>
      <c r="C1261" s="2" t="s">
        <v>16</v>
      </c>
      <c r="D1261" s="2" t="s">
        <v>41</v>
      </c>
      <c r="E1261" s="2" t="s">
        <v>54</v>
      </c>
      <c r="F1261" s="2">
        <v>102366</v>
      </c>
      <c r="G1261" s="2">
        <v>2589</v>
      </c>
      <c r="H1261" s="2">
        <v>4116.51</v>
      </c>
      <c r="I1261" s="2">
        <v>148</v>
      </c>
      <c r="J1261" s="2">
        <v>35080.15</v>
      </c>
      <c r="K1261" s="4">
        <f t="shared" si="76"/>
        <v>2.5291600726803823E-2</v>
      </c>
      <c r="L1261" s="6">
        <f t="shared" si="77"/>
        <v>1.59</v>
      </c>
      <c r="M1261" s="6">
        <f t="shared" si="78"/>
        <v>27.814256756756759</v>
      </c>
      <c r="N1261" s="8">
        <f t="shared" si="79"/>
        <v>8.5218182392366355</v>
      </c>
    </row>
    <row r="1262" spans="1:14" x14ac:dyDescent="0.45">
      <c r="A1262" s="12">
        <v>45436</v>
      </c>
      <c r="B1262" s="2" t="s">
        <v>35</v>
      </c>
      <c r="C1262" s="2" t="s">
        <v>38</v>
      </c>
      <c r="D1262" s="2" t="s">
        <v>25</v>
      </c>
      <c r="E1262" s="2" t="s">
        <v>33</v>
      </c>
      <c r="F1262" s="2">
        <v>159044</v>
      </c>
      <c r="G1262" s="2">
        <v>2385</v>
      </c>
      <c r="H1262" s="2">
        <v>3935.25</v>
      </c>
      <c r="I1262" s="2">
        <v>184</v>
      </c>
      <c r="J1262" s="2">
        <v>35387.51</v>
      </c>
      <c r="K1262" s="4">
        <f t="shared" si="76"/>
        <v>1.4995850204974724E-2</v>
      </c>
      <c r="L1262" s="6">
        <f t="shared" si="77"/>
        <v>1.65</v>
      </c>
      <c r="M1262" s="6">
        <f t="shared" si="78"/>
        <v>21.387228260869566</v>
      </c>
      <c r="N1262" s="8">
        <f t="shared" si="79"/>
        <v>8.9924426656502128</v>
      </c>
    </row>
    <row r="1263" spans="1:14" x14ac:dyDescent="0.45">
      <c r="A1263" s="12">
        <v>45404</v>
      </c>
      <c r="B1263" s="2" t="s">
        <v>20</v>
      </c>
      <c r="C1263" s="2" t="s">
        <v>28</v>
      </c>
      <c r="D1263" s="2" t="s">
        <v>21</v>
      </c>
      <c r="E1263" s="2" t="s">
        <v>26</v>
      </c>
      <c r="F1263" s="2">
        <v>35932</v>
      </c>
      <c r="G1263" s="2">
        <v>1440</v>
      </c>
      <c r="H1263" s="2">
        <v>1310.4000000000001</v>
      </c>
      <c r="I1263" s="2">
        <v>68</v>
      </c>
      <c r="J1263" s="2">
        <v>16668.75</v>
      </c>
      <c r="K1263" s="4">
        <f t="shared" si="76"/>
        <v>4.007569854168986E-2</v>
      </c>
      <c r="L1263" s="6">
        <f t="shared" si="77"/>
        <v>0.91</v>
      </c>
      <c r="M1263" s="6">
        <f t="shared" si="78"/>
        <v>19.27058823529412</v>
      </c>
      <c r="N1263" s="8">
        <f t="shared" si="79"/>
        <v>12.720352564102564</v>
      </c>
    </row>
    <row r="1264" spans="1:14" x14ac:dyDescent="0.45">
      <c r="A1264" s="12">
        <v>45383</v>
      </c>
      <c r="B1264" s="2" t="s">
        <v>20</v>
      </c>
      <c r="C1264" s="2" t="s">
        <v>38</v>
      </c>
      <c r="D1264" s="2" t="s">
        <v>21</v>
      </c>
      <c r="E1264" s="2" t="s">
        <v>54</v>
      </c>
      <c r="F1264" s="2">
        <v>116561</v>
      </c>
      <c r="G1264" s="2">
        <v>4231</v>
      </c>
      <c r="H1264" s="2">
        <v>4231</v>
      </c>
      <c r="I1264" s="2">
        <v>172</v>
      </c>
      <c r="J1264" s="2">
        <v>42291.58</v>
      </c>
      <c r="K1264" s="4">
        <f t="shared" si="76"/>
        <v>3.6298590437624935E-2</v>
      </c>
      <c r="L1264" s="6">
        <f t="shared" si="77"/>
        <v>1</v>
      </c>
      <c r="M1264" s="6">
        <f t="shared" si="78"/>
        <v>24.598837209302324</v>
      </c>
      <c r="N1264" s="8">
        <f t="shared" si="79"/>
        <v>9.9956464192862207</v>
      </c>
    </row>
    <row r="1265" spans="1:14" x14ac:dyDescent="0.45">
      <c r="A1265" s="12">
        <v>45480</v>
      </c>
      <c r="B1265" s="2" t="s">
        <v>35</v>
      </c>
      <c r="C1265" s="2" t="s">
        <v>28</v>
      </c>
      <c r="D1265" s="2" t="s">
        <v>17</v>
      </c>
      <c r="E1265" s="2" t="s">
        <v>54</v>
      </c>
      <c r="F1265" s="2">
        <v>8608</v>
      </c>
      <c r="G1265" s="2">
        <v>100</v>
      </c>
      <c r="H1265" s="2">
        <v>58</v>
      </c>
      <c r="I1265" s="2">
        <v>3</v>
      </c>
      <c r="J1265" s="2">
        <v>661.12</v>
      </c>
      <c r="K1265" s="4">
        <f t="shared" si="76"/>
        <v>1.1617100371747211E-2</v>
      </c>
      <c r="L1265" s="6">
        <f t="shared" si="77"/>
        <v>0.57999999999999996</v>
      </c>
      <c r="M1265" s="6">
        <f t="shared" si="78"/>
        <v>19.333333333333332</v>
      </c>
      <c r="N1265" s="8">
        <f t="shared" si="79"/>
        <v>11.398620689655173</v>
      </c>
    </row>
    <row r="1266" spans="1:14" x14ac:dyDescent="0.45">
      <c r="A1266" s="12">
        <v>45523</v>
      </c>
      <c r="B1266" s="2" t="s">
        <v>35</v>
      </c>
      <c r="C1266" s="2" t="s">
        <v>16</v>
      </c>
      <c r="D1266" s="2" t="s">
        <v>41</v>
      </c>
      <c r="E1266" s="2" t="s">
        <v>18</v>
      </c>
      <c r="F1266" s="2">
        <v>19284</v>
      </c>
      <c r="G1266" s="2">
        <v>642</v>
      </c>
      <c r="H1266" s="2">
        <v>1007.94</v>
      </c>
      <c r="I1266" s="2">
        <v>21</v>
      </c>
      <c r="J1266" s="2">
        <v>5907.29</v>
      </c>
      <c r="K1266" s="4">
        <f t="shared" si="76"/>
        <v>3.3291848164281268E-2</v>
      </c>
      <c r="L1266" s="6">
        <f t="shared" si="77"/>
        <v>1.57</v>
      </c>
      <c r="M1266" s="6">
        <f t="shared" si="78"/>
        <v>47.997142857142862</v>
      </c>
      <c r="N1266" s="8">
        <f t="shared" si="79"/>
        <v>5.8607556005317774</v>
      </c>
    </row>
    <row r="1267" spans="1:14" x14ac:dyDescent="0.45">
      <c r="A1267" s="12">
        <v>45358</v>
      </c>
      <c r="B1267" s="2" t="s">
        <v>35</v>
      </c>
      <c r="C1267" s="2" t="s">
        <v>38</v>
      </c>
      <c r="D1267" s="2" t="s">
        <v>17</v>
      </c>
      <c r="E1267" s="2" t="s">
        <v>51</v>
      </c>
      <c r="F1267" s="2">
        <v>161764</v>
      </c>
      <c r="G1267" s="2">
        <v>2652</v>
      </c>
      <c r="H1267" s="2">
        <v>2625.48</v>
      </c>
      <c r="I1267" s="2">
        <v>76</v>
      </c>
      <c r="J1267" s="2">
        <v>16956.509999999998</v>
      </c>
      <c r="K1267" s="4">
        <f t="shared" si="76"/>
        <v>1.6394253356741922E-2</v>
      </c>
      <c r="L1267" s="6">
        <f t="shared" si="77"/>
        <v>0.99</v>
      </c>
      <c r="M1267" s="6">
        <f t="shared" si="78"/>
        <v>34.545789473684209</v>
      </c>
      <c r="N1267" s="8">
        <f t="shared" si="79"/>
        <v>6.4584418849124727</v>
      </c>
    </row>
    <row r="1268" spans="1:14" x14ac:dyDescent="0.45">
      <c r="A1268" s="12">
        <v>45637</v>
      </c>
      <c r="B1268" s="2" t="s">
        <v>20</v>
      </c>
      <c r="C1268" s="2" t="s">
        <v>24</v>
      </c>
      <c r="D1268" s="2" t="s">
        <v>17</v>
      </c>
      <c r="E1268" s="2" t="s">
        <v>30</v>
      </c>
      <c r="F1268" s="2">
        <v>116045</v>
      </c>
      <c r="G1268" s="2">
        <v>6660</v>
      </c>
      <c r="H1268" s="2">
        <v>2331</v>
      </c>
      <c r="I1268" s="2">
        <v>467</v>
      </c>
      <c r="J1268" s="2">
        <v>76092.649999999994</v>
      </c>
      <c r="K1268" s="4">
        <f t="shared" si="76"/>
        <v>5.7391529148175274E-2</v>
      </c>
      <c r="L1268" s="6">
        <f t="shared" si="77"/>
        <v>0.35</v>
      </c>
      <c r="M1268" s="6">
        <f t="shared" si="78"/>
        <v>4.9914346895074946</v>
      </c>
      <c r="N1268" s="8">
        <f t="shared" si="79"/>
        <v>32.643779493779491</v>
      </c>
    </row>
    <row r="1269" spans="1:14" x14ac:dyDescent="0.45">
      <c r="A1269" s="12">
        <v>45449</v>
      </c>
      <c r="B1269" s="2" t="s">
        <v>35</v>
      </c>
      <c r="C1269" s="2" t="s">
        <v>28</v>
      </c>
      <c r="D1269" s="2" t="s">
        <v>41</v>
      </c>
      <c r="E1269" s="2" t="s">
        <v>22</v>
      </c>
      <c r="F1269" s="2">
        <v>61395</v>
      </c>
      <c r="G1269" s="2">
        <v>2038</v>
      </c>
      <c r="H1269" s="2">
        <v>4809.68</v>
      </c>
      <c r="I1269" s="2">
        <v>102</v>
      </c>
      <c r="J1269" s="2">
        <v>16290.15</v>
      </c>
      <c r="K1269" s="4">
        <f t="shared" si="76"/>
        <v>3.3194885577001385E-2</v>
      </c>
      <c r="L1269" s="6">
        <f t="shared" si="77"/>
        <v>2.3600000000000003</v>
      </c>
      <c r="M1269" s="6">
        <f t="shared" si="78"/>
        <v>47.153725490196081</v>
      </c>
      <c r="N1269" s="8">
        <f t="shared" si="79"/>
        <v>3.3869508990203085</v>
      </c>
    </row>
    <row r="1270" spans="1:14" x14ac:dyDescent="0.45">
      <c r="A1270" s="12">
        <v>45384</v>
      </c>
      <c r="B1270" s="2" t="s">
        <v>15</v>
      </c>
      <c r="C1270" s="2" t="s">
        <v>28</v>
      </c>
      <c r="D1270" s="2" t="s">
        <v>21</v>
      </c>
      <c r="E1270" s="2" t="s">
        <v>18</v>
      </c>
      <c r="F1270" s="2">
        <v>119183</v>
      </c>
      <c r="G1270" s="2">
        <v>5041</v>
      </c>
      <c r="H1270" s="2">
        <v>17038.580000000002</v>
      </c>
      <c r="I1270" s="2">
        <v>121</v>
      </c>
      <c r="J1270" s="2">
        <v>25438.17</v>
      </c>
      <c r="K1270" s="4">
        <f t="shared" si="76"/>
        <v>4.2296300646904338E-2</v>
      </c>
      <c r="L1270" s="6">
        <f t="shared" si="77"/>
        <v>3.3800000000000003</v>
      </c>
      <c r="M1270" s="6">
        <f t="shared" si="78"/>
        <v>140.81471074380167</v>
      </c>
      <c r="N1270" s="8">
        <f t="shared" si="79"/>
        <v>1.4929747666765656</v>
      </c>
    </row>
    <row r="1271" spans="1:14" x14ac:dyDescent="0.45">
      <c r="A1271" s="12">
        <v>45569</v>
      </c>
      <c r="B1271" s="2" t="s">
        <v>35</v>
      </c>
      <c r="C1271" s="2" t="s">
        <v>16</v>
      </c>
      <c r="D1271" s="2" t="s">
        <v>41</v>
      </c>
      <c r="E1271" s="2" t="s">
        <v>18</v>
      </c>
      <c r="F1271" s="2">
        <v>26747</v>
      </c>
      <c r="G1271" s="2">
        <v>1099</v>
      </c>
      <c r="H1271" s="2">
        <v>1252.8599999999999</v>
      </c>
      <c r="I1271" s="2">
        <v>36</v>
      </c>
      <c r="J1271" s="2">
        <v>5626.79</v>
      </c>
      <c r="K1271" s="4">
        <f t="shared" si="76"/>
        <v>4.10887202303062E-2</v>
      </c>
      <c r="L1271" s="6">
        <f t="shared" si="77"/>
        <v>1.1399999999999999</v>
      </c>
      <c r="M1271" s="6">
        <f t="shared" si="78"/>
        <v>34.801666666666662</v>
      </c>
      <c r="N1271" s="8">
        <f t="shared" si="79"/>
        <v>4.4911562345353833</v>
      </c>
    </row>
    <row r="1272" spans="1:14" x14ac:dyDescent="0.45">
      <c r="A1272" s="12">
        <v>45642</v>
      </c>
      <c r="B1272" s="2" t="s">
        <v>35</v>
      </c>
      <c r="C1272" s="2" t="s">
        <v>38</v>
      </c>
      <c r="D1272" s="2" t="s">
        <v>21</v>
      </c>
      <c r="E1272" s="2" t="s">
        <v>30</v>
      </c>
      <c r="F1272" s="2">
        <v>157898</v>
      </c>
      <c r="G1272" s="2">
        <v>3094</v>
      </c>
      <c r="H1272" s="2">
        <v>7394.66</v>
      </c>
      <c r="I1272" s="2">
        <v>245</v>
      </c>
      <c r="J1272" s="2">
        <v>72430.36</v>
      </c>
      <c r="K1272" s="4">
        <f t="shared" si="76"/>
        <v>1.9594928371480323E-2</v>
      </c>
      <c r="L1272" s="6">
        <f t="shared" si="77"/>
        <v>2.39</v>
      </c>
      <c r="M1272" s="6">
        <f t="shared" si="78"/>
        <v>30.182285714285715</v>
      </c>
      <c r="N1272" s="8">
        <f t="shared" si="79"/>
        <v>9.7949547376079504</v>
      </c>
    </row>
    <row r="1273" spans="1:14" x14ac:dyDescent="0.45">
      <c r="A1273" s="12">
        <v>45470</v>
      </c>
      <c r="B1273" s="2" t="s">
        <v>35</v>
      </c>
      <c r="C1273" s="2" t="s">
        <v>16</v>
      </c>
      <c r="D1273" s="2" t="s">
        <v>25</v>
      </c>
      <c r="E1273" s="2" t="s">
        <v>26</v>
      </c>
      <c r="F1273" s="2">
        <v>49456</v>
      </c>
      <c r="G1273" s="2">
        <v>801</v>
      </c>
      <c r="H1273" s="2">
        <v>1489.86</v>
      </c>
      <c r="I1273" s="2">
        <v>50</v>
      </c>
      <c r="J1273" s="2">
        <v>4108.2</v>
      </c>
      <c r="K1273" s="4">
        <f t="shared" si="76"/>
        <v>1.6196214817211257E-2</v>
      </c>
      <c r="L1273" s="6">
        <f t="shared" si="77"/>
        <v>1.8599999999999999</v>
      </c>
      <c r="M1273" s="6">
        <f t="shared" si="78"/>
        <v>29.797199999999997</v>
      </c>
      <c r="N1273" s="8">
        <f t="shared" si="79"/>
        <v>2.757440296403689</v>
      </c>
    </row>
    <row r="1274" spans="1:14" x14ac:dyDescent="0.45">
      <c r="A1274" s="12">
        <v>45339</v>
      </c>
      <c r="B1274" s="2" t="s">
        <v>15</v>
      </c>
      <c r="C1274" s="2" t="s">
        <v>24</v>
      </c>
      <c r="D1274" s="2" t="s">
        <v>29</v>
      </c>
      <c r="E1274" s="2" t="s">
        <v>33</v>
      </c>
      <c r="F1274" s="2">
        <v>150213</v>
      </c>
      <c r="G1274" s="2">
        <v>5242</v>
      </c>
      <c r="H1274" s="2">
        <v>16512.3</v>
      </c>
      <c r="I1274" s="2">
        <v>332</v>
      </c>
      <c r="J1274" s="2">
        <v>64497.69</v>
      </c>
      <c r="K1274" s="4">
        <f t="shared" si="76"/>
        <v>3.4897112766538181E-2</v>
      </c>
      <c r="L1274" s="6">
        <f t="shared" si="77"/>
        <v>3.15</v>
      </c>
      <c r="M1274" s="6">
        <f t="shared" si="78"/>
        <v>49.735843373493971</v>
      </c>
      <c r="N1274" s="8">
        <f t="shared" si="79"/>
        <v>3.9060391344634002</v>
      </c>
    </row>
    <row r="1275" spans="1:14" x14ac:dyDescent="0.45">
      <c r="A1275" s="12">
        <v>45298</v>
      </c>
      <c r="B1275" s="2" t="s">
        <v>15</v>
      </c>
      <c r="C1275" s="2" t="s">
        <v>28</v>
      </c>
      <c r="D1275" s="2" t="s">
        <v>21</v>
      </c>
      <c r="E1275" s="2" t="s">
        <v>26</v>
      </c>
      <c r="F1275" s="2">
        <v>73305</v>
      </c>
      <c r="G1275" s="2">
        <v>3635</v>
      </c>
      <c r="H1275" s="2">
        <v>9014.7999999999993</v>
      </c>
      <c r="I1275" s="2">
        <v>47</v>
      </c>
      <c r="J1275" s="2">
        <v>2210.35</v>
      </c>
      <c r="K1275" s="4">
        <f t="shared" si="76"/>
        <v>4.9587340563399494E-2</v>
      </c>
      <c r="L1275" s="6">
        <f t="shared" si="77"/>
        <v>2.48</v>
      </c>
      <c r="M1275" s="6">
        <f t="shared" si="78"/>
        <v>191.80425531914892</v>
      </c>
      <c r="N1275" s="8">
        <f t="shared" si="79"/>
        <v>0.24519124107024007</v>
      </c>
    </row>
    <row r="1276" spans="1:14" x14ac:dyDescent="0.45">
      <c r="A1276" s="12">
        <v>45465</v>
      </c>
      <c r="B1276" s="2" t="s">
        <v>20</v>
      </c>
      <c r="C1276" s="2" t="s">
        <v>38</v>
      </c>
      <c r="D1276" s="2" t="s">
        <v>17</v>
      </c>
      <c r="E1276" s="2" t="s">
        <v>22</v>
      </c>
      <c r="F1276" s="2">
        <v>187663</v>
      </c>
      <c r="G1276" s="2">
        <v>10790</v>
      </c>
      <c r="H1276" s="2">
        <v>7445.1</v>
      </c>
      <c r="I1276" s="2">
        <v>121</v>
      </c>
      <c r="J1276" s="2">
        <v>18190.79</v>
      </c>
      <c r="K1276" s="4">
        <f t="shared" si="76"/>
        <v>5.7496682883679789E-2</v>
      </c>
      <c r="L1276" s="6">
        <f t="shared" si="77"/>
        <v>0.69000000000000006</v>
      </c>
      <c r="M1276" s="6">
        <f t="shared" si="78"/>
        <v>61.529752066115705</v>
      </c>
      <c r="N1276" s="8">
        <f t="shared" si="79"/>
        <v>2.4433237968596795</v>
      </c>
    </row>
    <row r="1277" spans="1:14" x14ac:dyDescent="0.45">
      <c r="A1277" s="12">
        <v>45596</v>
      </c>
      <c r="B1277" s="2" t="s">
        <v>20</v>
      </c>
      <c r="C1277" s="2" t="s">
        <v>38</v>
      </c>
      <c r="D1277" s="2" t="s">
        <v>25</v>
      </c>
      <c r="E1277" s="2" t="s">
        <v>26</v>
      </c>
      <c r="F1277" s="2">
        <v>85066</v>
      </c>
      <c r="G1277" s="2">
        <v>5903</v>
      </c>
      <c r="H1277" s="2">
        <v>7673.9</v>
      </c>
      <c r="I1277" s="2">
        <v>465</v>
      </c>
      <c r="J1277" s="2">
        <v>85397.14</v>
      </c>
      <c r="K1277" s="4">
        <f t="shared" si="76"/>
        <v>6.9393177062516159E-2</v>
      </c>
      <c r="L1277" s="6">
        <f t="shared" si="77"/>
        <v>1.3</v>
      </c>
      <c r="M1277" s="6">
        <f t="shared" si="78"/>
        <v>16.503010752688173</v>
      </c>
      <c r="N1277" s="8">
        <f t="shared" si="79"/>
        <v>11.128258121685192</v>
      </c>
    </row>
    <row r="1278" spans="1:14" x14ac:dyDescent="0.45">
      <c r="A1278" s="12">
        <v>45327</v>
      </c>
      <c r="B1278" s="2" t="s">
        <v>15</v>
      </c>
      <c r="C1278" s="2" t="s">
        <v>28</v>
      </c>
      <c r="D1278" s="2" t="s">
        <v>21</v>
      </c>
      <c r="E1278" s="2" t="s">
        <v>26</v>
      </c>
      <c r="F1278" s="2">
        <v>12045</v>
      </c>
      <c r="G1278" s="2">
        <v>255</v>
      </c>
      <c r="H1278" s="2">
        <v>515.1</v>
      </c>
      <c r="I1278" s="2">
        <v>4</v>
      </c>
      <c r="J1278" s="2">
        <v>161.02000000000001</v>
      </c>
      <c r="K1278" s="4">
        <f t="shared" si="76"/>
        <v>2.1170610211706103E-2</v>
      </c>
      <c r="L1278" s="6">
        <f t="shared" si="77"/>
        <v>2.02</v>
      </c>
      <c r="M1278" s="6">
        <f t="shared" si="78"/>
        <v>128.77500000000001</v>
      </c>
      <c r="N1278" s="8">
        <f t="shared" si="79"/>
        <v>0.312599495243642</v>
      </c>
    </row>
    <row r="1279" spans="1:14" x14ac:dyDescent="0.45">
      <c r="A1279" s="12">
        <v>45420</v>
      </c>
      <c r="B1279" s="2" t="s">
        <v>15</v>
      </c>
      <c r="C1279" s="2" t="s">
        <v>24</v>
      </c>
      <c r="D1279" s="2" t="s">
        <v>17</v>
      </c>
      <c r="E1279" s="2" t="s">
        <v>18</v>
      </c>
      <c r="F1279" s="2">
        <v>77796</v>
      </c>
      <c r="G1279" s="2">
        <v>3703</v>
      </c>
      <c r="H1279" s="2">
        <v>9887.01</v>
      </c>
      <c r="I1279" s="2">
        <v>182</v>
      </c>
      <c r="J1279" s="2">
        <v>43235.35</v>
      </c>
      <c r="K1279" s="4">
        <f t="shared" si="76"/>
        <v>4.7598848269833925E-2</v>
      </c>
      <c r="L1279" s="6">
        <f t="shared" si="77"/>
        <v>2.67</v>
      </c>
      <c r="M1279" s="6">
        <f t="shared" si="78"/>
        <v>54.324230769230773</v>
      </c>
      <c r="N1279" s="8">
        <f t="shared" si="79"/>
        <v>4.3729449044756707</v>
      </c>
    </row>
    <row r="1280" spans="1:14" x14ac:dyDescent="0.45">
      <c r="A1280" s="12">
        <v>45327</v>
      </c>
      <c r="B1280" s="2" t="s">
        <v>20</v>
      </c>
      <c r="C1280" s="2" t="s">
        <v>28</v>
      </c>
      <c r="D1280" s="2" t="s">
        <v>17</v>
      </c>
      <c r="E1280" s="2" t="s">
        <v>22</v>
      </c>
      <c r="F1280" s="2">
        <v>90443</v>
      </c>
      <c r="G1280" s="2">
        <v>3789</v>
      </c>
      <c r="H1280" s="2">
        <v>2159.73</v>
      </c>
      <c r="I1280" s="2">
        <v>94</v>
      </c>
      <c r="J1280" s="2">
        <v>16003.58</v>
      </c>
      <c r="K1280" s="4">
        <f t="shared" si="76"/>
        <v>4.1893789458554008E-2</v>
      </c>
      <c r="L1280" s="6">
        <f t="shared" si="77"/>
        <v>0.56999999999999995</v>
      </c>
      <c r="M1280" s="6">
        <f t="shared" si="78"/>
        <v>22.975851063829786</v>
      </c>
      <c r="N1280" s="8">
        <f t="shared" si="79"/>
        <v>7.4099910636977766</v>
      </c>
    </row>
    <row r="1281" spans="1:14" x14ac:dyDescent="0.45">
      <c r="A1281" s="12">
        <v>45368</v>
      </c>
      <c r="B1281" s="2" t="s">
        <v>35</v>
      </c>
      <c r="C1281" s="2" t="s">
        <v>38</v>
      </c>
      <c r="D1281" s="2" t="s">
        <v>41</v>
      </c>
      <c r="E1281" s="2" t="s">
        <v>33</v>
      </c>
      <c r="F1281" s="2">
        <v>52838</v>
      </c>
      <c r="G1281" s="2">
        <v>660</v>
      </c>
      <c r="H1281" s="2">
        <v>1174.8</v>
      </c>
      <c r="I1281" s="2">
        <v>14</v>
      </c>
      <c r="J1281" s="2">
        <v>2258.16</v>
      </c>
      <c r="K1281" s="4">
        <f t="shared" si="76"/>
        <v>1.249101025776903E-2</v>
      </c>
      <c r="L1281" s="6">
        <f t="shared" si="77"/>
        <v>1.78</v>
      </c>
      <c r="M1281" s="6">
        <f t="shared" si="78"/>
        <v>83.914285714285711</v>
      </c>
      <c r="N1281" s="8">
        <f t="shared" si="79"/>
        <v>1.9221654749744637</v>
      </c>
    </row>
    <row r="1282" spans="1:14" x14ac:dyDescent="0.45">
      <c r="A1282" s="12">
        <v>45456</v>
      </c>
      <c r="B1282" s="2" t="s">
        <v>35</v>
      </c>
      <c r="C1282" s="2" t="s">
        <v>24</v>
      </c>
      <c r="D1282" s="2" t="s">
        <v>41</v>
      </c>
      <c r="E1282" s="2" t="s">
        <v>54</v>
      </c>
      <c r="F1282" s="2">
        <v>61284</v>
      </c>
      <c r="G1282" s="2">
        <v>1574</v>
      </c>
      <c r="H1282" s="2">
        <v>2392.48</v>
      </c>
      <c r="I1282" s="2">
        <v>32</v>
      </c>
      <c r="J1282" s="2">
        <v>3680.82</v>
      </c>
      <c r="K1282" s="4">
        <f t="shared" si="76"/>
        <v>2.5683702108217479E-2</v>
      </c>
      <c r="L1282" s="6">
        <f t="shared" si="77"/>
        <v>1.52</v>
      </c>
      <c r="M1282" s="6">
        <f t="shared" si="78"/>
        <v>74.765000000000001</v>
      </c>
      <c r="N1282" s="8">
        <f t="shared" si="79"/>
        <v>1.5384956196081054</v>
      </c>
    </row>
    <row r="1283" spans="1:14" x14ac:dyDescent="0.45">
      <c r="A1283" s="12">
        <v>45293</v>
      </c>
      <c r="B1283" s="2" t="s">
        <v>35</v>
      </c>
      <c r="C1283" s="2" t="s">
        <v>16</v>
      </c>
      <c r="D1283" s="2" t="s">
        <v>25</v>
      </c>
      <c r="E1283" s="2" t="s">
        <v>51</v>
      </c>
      <c r="F1283" s="2">
        <v>163624</v>
      </c>
      <c r="G1283" s="2">
        <v>4368</v>
      </c>
      <c r="H1283" s="2">
        <v>5591.04</v>
      </c>
      <c r="I1283" s="2">
        <v>296</v>
      </c>
      <c r="J1283" s="2">
        <v>31041.33</v>
      </c>
      <c r="K1283" s="4">
        <f t="shared" ref="K1283:K1346" si="80" xml:space="preserve"> G1283 / F1283</f>
        <v>2.669535031535716E-2</v>
      </c>
      <c r="L1283" s="6">
        <f t="shared" ref="L1283:L1346" si="81">H1283/G1283</f>
        <v>1.28</v>
      </c>
      <c r="M1283" s="6">
        <f t="shared" ref="M1283:M1346" si="82">H1283/I1283</f>
        <v>18.888648648648648</v>
      </c>
      <c r="N1283" s="8">
        <f t="shared" ref="N1283:N1346" si="83">J1283/H1283</f>
        <v>5.5519778073489015</v>
      </c>
    </row>
    <row r="1284" spans="1:14" x14ac:dyDescent="0.45">
      <c r="A1284" s="12">
        <v>45451</v>
      </c>
      <c r="B1284" s="2" t="s">
        <v>35</v>
      </c>
      <c r="C1284" s="2" t="s">
        <v>38</v>
      </c>
      <c r="D1284" s="2" t="s">
        <v>25</v>
      </c>
      <c r="E1284" s="2" t="s">
        <v>22</v>
      </c>
      <c r="F1284" s="2">
        <v>194674</v>
      </c>
      <c r="G1284" s="2">
        <v>3601</v>
      </c>
      <c r="H1284" s="2">
        <v>5221.45</v>
      </c>
      <c r="I1284" s="2">
        <v>165</v>
      </c>
      <c r="J1284" s="2">
        <v>8945.17</v>
      </c>
      <c r="K1284" s="4">
        <f t="shared" si="80"/>
        <v>1.8497590844180529E-2</v>
      </c>
      <c r="L1284" s="6">
        <f t="shared" si="81"/>
        <v>1.45</v>
      </c>
      <c r="M1284" s="6">
        <f t="shared" si="82"/>
        <v>31.645151515151515</v>
      </c>
      <c r="N1284" s="8">
        <f t="shared" si="83"/>
        <v>1.713158222332877</v>
      </c>
    </row>
    <row r="1285" spans="1:14" x14ac:dyDescent="0.45">
      <c r="A1285" s="12">
        <v>45552</v>
      </c>
      <c r="B1285" s="2" t="s">
        <v>35</v>
      </c>
      <c r="C1285" s="2" t="s">
        <v>16</v>
      </c>
      <c r="D1285" s="2" t="s">
        <v>25</v>
      </c>
      <c r="E1285" s="2" t="s">
        <v>51</v>
      </c>
      <c r="F1285" s="2">
        <v>15485</v>
      </c>
      <c r="G1285" s="2">
        <v>196</v>
      </c>
      <c r="H1285" s="2">
        <v>301.83999999999997</v>
      </c>
      <c r="I1285" s="2">
        <v>8</v>
      </c>
      <c r="J1285" s="2">
        <v>362.78</v>
      </c>
      <c r="K1285" s="4">
        <f t="shared" si="80"/>
        <v>1.2657410397158541E-2</v>
      </c>
      <c r="L1285" s="6">
        <f t="shared" si="81"/>
        <v>1.5399999999999998</v>
      </c>
      <c r="M1285" s="6">
        <f t="shared" si="82"/>
        <v>37.729999999999997</v>
      </c>
      <c r="N1285" s="8">
        <f t="shared" si="83"/>
        <v>1.2018950437317784</v>
      </c>
    </row>
    <row r="1286" spans="1:14" x14ac:dyDescent="0.45">
      <c r="A1286" s="12">
        <v>45368</v>
      </c>
      <c r="B1286" s="2" t="s">
        <v>15</v>
      </c>
      <c r="C1286" s="2" t="s">
        <v>16</v>
      </c>
      <c r="D1286" s="2" t="s">
        <v>17</v>
      </c>
      <c r="E1286" s="2" t="s">
        <v>30</v>
      </c>
      <c r="F1286" s="2">
        <v>138154</v>
      </c>
      <c r="G1286" s="2">
        <v>9518</v>
      </c>
      <c r="H1286" s="2">
        <v>21129.96</v>
      </c>
      <c r="I1286" s="2">
        <v>534</v>
      </c>
      <c r="J1286" s="2">
        <v>24562.44</v>
      </c>
      <c r="K1286" s="4">
        <f t="shared" si="80"/>
        <v>6.8894132634596178E-2</v>
      </c>
      <c r="L1286" s="6">
        <f t="shared" si="81"/>
        <v>2.2199999999999998</v>
      </c>
      <c r="M1286" s="6">
        <f t="shared" si="82"/>
        <v>39.569213483146065</v>
      </c>
      <c r="N1286" s="8">
        <f t="shared" si="83"/>
        <v>1.1624461191597144</v>
      </c>
    </row>
    <row r="1287" spans="1:14" x14ac:dyDescent="0.45">
      <c r="A1287" s="12">
        <v>45441</v>
      </c>
      <c r="B1287" s="2" t="s">
        <v>20</v>
      </c>
      <c r="C1287" s="2" t="s">
        <v>24</v>
      </c>
      <c r="D1287" s="2" t="s">
        <v>17</v>
      </c>
      <c r="E1287" s="2" t="s">
        <v>26</v>
      </c>
      <c r="F1287" s="2">
        <v>76922</v>
      </c>
      <c r="G1287" s="2">
        <v>2669</v>
      </c>
      <c r="H1287" s="2">
        <v>3523.08</v>
      </c>
      <c r="I1287" s="2">
        <v>110</v>
      </c>
      <c r="J1287" s="2">
        <v>12940.72</v>
      </c>
      <c r="K1287" s="4">
        <f t="shared" si="80"/>
        <v>3.4697485764800709E-2</v>
      </c>
      <c r="L1287" s="6">
        <f t="shared" si="81"/>
        <v>1.32</v>
      </c>
      <c r="M1287" s="6">
        <f t="shared" si="82"/>
        <v>32.027999999999999</v>
      </c>
      <c r="N1287" s="8">
        <f t="shared" si="83"/>
        <v>3.6731269230332551</v>
      </c>
    </row>
    <row r="1288" spans="1:14" x14ac:dyDescent="0.45">
      <c r="A1288" s="12">
        <v>45516</v>
      </c>
      <c r="B1288" s="2" t="s">
        <v>15</v>
      </c>
      <c r="C1288" s="2" t="s">
        <v>28</v>
      </c>
      <c r="D1288" s="2" t="s">
        <v>21</v>
      </c>
      <c r="E1288" s="2" t="s">
        <v>30</v>
      </c>
      <c r="F1288" s="2">
        <v>13947</v>
      </c>
      <c r="G1288" s="2">
        <v>718</v>
      </c>
      <c r="H1288" s="2">
        <v>1120.08</v>
      </c>
      <c r="I1288" s="2">
        <v>44</v>
      </c>
      <c r="J1288" s="2">
        <v>11863.61</v>
      </c>
      <c r="K1288" s="4">
        <f t="shared" si="80"/>
        <v>5.1480605148060514E-2</v>
      </c>
      <c r="L1288" s="6">
        <f t="shared" si="81"/>
        <v>1.5599999999999998</v>
      </c>
      <c r="M1288" s="6">
        <f t="shared" si="82"/>
        <v>25.456363636363633</v>
      </c>
      <c r="N1288" s="8">
        <f t="shared" si="83"/>
        <v>10.591752374830371</v>
      </c>
    </row>
    <row r="1289" spans="1:14" x14ac:dyDescent="0.45">
      <c r="A1289" s="12">
        <v>45604</v>
      </c>
      <c r="B1289" s="2" t="s">
        <v>15</v>
      </c>
      <c r="C1289" s="2" t="s">
        <v>38</v>
      </c>
      <c r="D1289" s="2" t="s">
        <v>21</v>
      </c>
      <c r="E1289" s="2" t="s">
        <v>30</v>
      </c>
      <c r="F1289" s="2">
        <v>199164</v>
      </c>
      <c r="G1289" s="2">
        <v>6671</v>
      </c>
      <c r="H1289" s="2">
        <v>21280.49</v>
      </c>
      <c r="I1289" s="2">
        <v>118</v>
      </c>
      <c r="J1289" s="2">
        <v>27461.46</v>
      </c>
      <c r="K1289" s="4">
        <f t="shared" si="80"/>
        <v>3.3495009138197668E-2</v>
      </c>
      <c r="L1289" s="6">
        <f t="shared" si="81"/>
        <v>3.1900000000000004</v>
      </c>
      <c r="M1289" s="6">
        <f t="shared" si="82"/>
        <v>180.34313559322035</v>
      </c>
      <c r="N1289" s="8">
        <f t="shared" si="83"/>
        <v>1.2904524284920129</v>
      </c>
    </row>
    <row r="1290" spans="1:14" x14ac:dyDescent="0.45">
      <c r="A1290" s="12">
        <v>45556</v>
      </c>
      <c r="B1290" s="2" t="s">
        <v>35</v>
      </c>
      <c r="C1290" s="2" t="s">
        <v>28</v>
      </c>
      <c r="D1290" s="2" t="s">
        <v>41</v>
      </c>
      <c r="E1290" s="2" t="s">
        <v>33</v>
      </c>
      <c r="F1290" s="2">
        <v>138018</v>
      </c>
      <c r="G1290" s="2">
        <v>1683</v>
      </c>
      <c r="H1290" s="2">
        <v>1733.49</v>
      </c>
      <c r="I1290" s="2">
        <v>56</v>
      </c>
      <c r="J1290" s="2">
        <v>8635.5</v>
      </c>
      <c r="K1290" s="4">
        <f t="shared" si="80"/>
        <v>1.2194061644133374E-2</v>
      </c>
      <c r="L1290" s="6">
        <f t="shared" si="81"/>
        <v>1.03</v>
      </c>
      <c r="M1290" s="6">
        <f t="shared" si="82"/>
        <v>30.955178571428572</v>
      </c>
      <c r="N1290" s="8">
        <f t="shared" si="83"/>
        <v>4.981568973573542</v>
      </c>
    </row>
    <row r="1291" spans="1:14" x14ac:dyDescent="0.45">
      <c r="A1291" s="12">
        <v>45354</v>
      </c>
      <c r="B1291" s="2" t="s">
        <v>35</v>
      </c>
      <c r="C1291" s="2" t="s">
        <v>28</v>
      </c>
      <c r="D1291" s="2" t="s">
        <v>17</v>
      </c>
      <c r="E1291" s="2" t="s">
        <v>18</v>
      </c>
      <c r="F1291" s="2">
        <v>161408</v>
      </c>
      <c r="G1291" s="2">
        <v>1581</v>
      </c>
      <c r="H1291" s="2">
        <v>1754.91</v>
      </c>
      <c r="I1291" s="2">
        <v>51</v>
      </c>
      <c r="J1291" s="2">
        <v>6128.54</v>
      </c>
      <c r="K1291" s="4">
        <f t="shared" si="80"/>
        <v>9.7950535289452814E-3</v>
      </c>
      <c r="L1291" s="6">
        <f t="shared" si="81"/>
        <v>1.1100000000000001</v>
      </c>
      <c r="M1291" s="6">
        <f t="shared" si="82"/>
        <v>34.410000000000004</v>
      </c>
      <c r="N1291" s="8">
        <f t="shared" si="83"/>
        <v>3.4922246724903268</v>
      </c>
    </row>
    <row r="1292" spans="1:14" x14ac:dyDescent="0.45">
      <c r="A1292" s="12">
        <v>45594</v>
      </c>
      <c r="B1292" s="2" t="s">
        <v>20</v>
      </c>
      <c r="C1292" s="2" t="s">
        <v>28</v>
      </c>
      <c r="D1292" s="2" t="s">
        <v>41</v>
      </c>
      <c r="E1292" s="2" t="s">
        <v>30</v>
      </c>
      <c r="F1292" s="2">
        <v>130811</v>
      </c>
      <c r="G1292" s="2">
        <v>8895</v>
      </c>
      <c r="H1292" s="2">
        <v>2846.4</v>
      </c>
      <c r="I1292" s="2">
        <v>150</v>
      </c>
      <c r="J1292" s="2">
        <v>31192.02</v>
      </c>
      <c r="K1292" s="4">
        <f t="shared" si="80"/>
        <v>6.7998868596677656E-2</v>
      </c>
      <c r="L1292" s="6">
        <f t="shared" si="81"/>
        <v>0.32</v>
      </c>
      <c r="M1292" s="6">
        <f t="shared" si="82"/>
        <v>18.975999999999999</v>
      </c>
      <c r="N1292" s="8">
        <f t="shared" si="83"/>
        <v>10.958410623946037</v>
      </c>
    </row>
    <row r="1293" spans="1:14" x14ac:dyDescent="0.45">
      <c r="A1293" s="12">
        <v>45470</v>
      </c>
      <c r="B1293" s="2" t="s">
        <v>35</v>
      </c>
      <c r="C1293" s="2" t="s">
        <v>38</v>
      </c>
      <c r="D1293" s="2" t="s">
        <v>21</v>
      </c>
      <c r="E1293" s="2" t="s">
        <v>18</v>
      </c>
      <c r="F1293" s="2">
        <v>140460</v>
      </c>
      <c r="G1293" s="2">
        <v>2753</v>
      </c>
      <c r="H1293" s="2">
        <v>1404.03</v>
      </c>
      <c r="I1293" s="2">
        <v>87</v>
      </c>
      <c r="J1293" s="2">
        <v>18763.62</v>
      </c>
      <c r="K1293" s="4">
        <f t="shared" si="80"/>
        <v>1.9599886088566141E-2</v>
      </c>
      <c r="L1293" s="6">
        <f t="shared" si="81"/>
        <v>0.51</v>
      </c>
      <c r="M1293" s="6">
        <f t="shared" si="82"/>
        <v>16.138275862068966</v>
      </c>
      <c r="N1293" s="8">
        <f t="shared" si="83"/>
        <v>13.364116151364287</v>
      </c>
    </row>
    <row r="1294" spans="1:14" x14ac:dyDescent="0.45">
      <c r="A1294" s="12">
        <v>45372</v>
      </c>
      <c r="B1294" s="2" t="s">
        <v>35</v>
      </c>
      <c r="C1294" s="2" t="s">
        <v>28</v>
      </c>
      <c r="D1294" s="2" t="s">
        <v>21</v>
      </c>
      <c r="E1294" s="2" t="s">
        <v>33</v>
      </c>
      <c r="F1294" s="2">
        <v>119731</v>
      </c>
      <c r="G1294" s="2">
        <v>2969</v>
      </c>
      <c r="H1294" s="2">
        <v>1662.64</v>
      </c>
      <c r="I1294" s="2">
        <v>47</v>
      </c>
      <c r="J1294" s="2">
        <v>11619.48</v>
      </c>
      <c r="K1294" s="4">
        <f t="shared" si="80"/>
        <v>2.4797253844033709E-2</v>
      </c>
      <c r="L1294" s="6">
        <f t="shared" si="81"/>
        <v>0.56000000000000005</v>
      </c>
      <c r="M1294" s="6">
        <f t="shared" si="82"/>
        <v>35.375319148936171</v>
      </c>
      <c r="N1294" s="8">
        <f t="shared" si="83"/>
        <v>6.9885723908964055</v>
      </c>
    </row>
    <row r="1295" spans="1:14" x14ac:dyDescent="0.45">
      <c r="A1295" s="12">
        <v>45577</v>
      </c>
      <c r="B1295" s="2" t="s">
        <v>35</v>
      </c>
      <c r="C1295" s="2" t="s">
        <v>16</v>
      </c>
      <c r="D1295" s="2" t="s">
        <v>41</v>
      </c>
      <c r="E1295" s="2" t="s">
        <v>26</v>
      </c>
      <c r="F1295" s="2">
        <v>61437</v>
      </c>
      <c r="G1295" s="2">
        <v>1087</v>
      </c>
      <c r="H1295" s="2">
        <v>2424.0100000000002</v>
      </c>
      <c r="I1295" s="2">
        <v>80</v>
      </c>
      <c r="J1295" s="2">
        <v>11780.01</v>
      </c>
      <c r="K1295" s="4">
        <f t="shared" si="80"/>
        <v>1.7692921203834824E-2</v>
      </c>
      <c r="L1295" s="6">
        <f t="shared" si="81"/>
        <v>2.23</v>
      </c>
      <c r="M1295" s="6">
        <f t="shared" si="82"/>
        <v>30.300125000000001</v>
      </c>
      <c r="N1295" s="8">
        <f t="shared" si="83"/>
        <v>4.859720050659857</v>
      </c>
    </row>
    <row r="1296" spans="1:14" x14ac:dyDescent="0.45">
      <c r="A1296" s="12">
        <v>45533</v>
      </c>
      <c r="B1296" s="2" t="s">
        <v>15</v>
      </c>
      <c r="C1296" s="2" t="s">
        <v>16</v>
      </c>
      <c r="D1296" s="2" t="s">
        <v>41</v>
      </c>
      <c r="E1296" s="2" t="s">
        <v>18</v>
      </c>
      <c r="F1296" s="2">
        <v>37827</v>
      </c>
      <c r="G1296" s="2">
        <v>2072</v>
      </c>
      <c r="H1296" s="2">
        <v>1678.32</v>
      </c>
      <c r="I1296" s="2">
        <v>133</v>
      </c>
      <c r="J1296" s="2">
        <v>19268.21</v>
      </c>
      <c r="K1296" s="4">
        <f t="shared" si="80"/>
        <v>5.4775689322441645E-2</v>
      </c>
      <c r="L1296" s="6">
        <f t="shared" si="81"/>
        <v>0.80999999999999994</v>
      </c>
      <c r="M1296" s="6">
        <f t="shared" si="82"/>
        <v>12.618947368421052</v>
      </c>
      <c r="N1296" s="8">
        <f t="shared" si="83"/>
        <v>11.480653272319939</v>
      </c>
    </row>
    <row r="1297" spans="1:14" x14ac:dyDescent="0.45">
      <c r="A1297" s="12">
        <v>45467</v>
      </c>
      <c r="B1297" s="2" t="s">
        <v>15</v>
      </c>
      <c r="C1297" s="2" t="s">
        <v>38</v>
      </c>
      <c r="D1297" s="2" t="s">
        <v>29</v>
      </c>
      <c r="E1297" s="2" t="s">
        <v>30</v>
      </c>
      <c r="F1297" s="2">
        <v>180848</v>
      </c>
      <c r="G1297" s="2">
        <v>5515</v>
      </c>
      <c r="H1297" s="2">
        <v>18309.8</v>
      </c>
      <c r="I1297" s="2">
        <v>362</v>
      </c>
      <c r="J1297" s="2">
        <v>84316.14</v>
      </c>
      <c r="K1297" s="4">
        <f t="shared" si="80"/>
        <v>3.0495222507298948E-2</v>
      </c>
      <c r="L1297" s="6">
        <f t="shared" si="81"/>
        <v>3.32</v>
      </c>
      <c r="M1297" s="6">
        <f t="shared" si="82"/>
        <v>50.57955801104972</v>
      </c>
      <c r="N1297" s="8">
        <f t="shared" si="83"/>
        <v>4.6049732929906391</v>
      </c>
    </row>
    <row r="1298" spans="1:14" x14ac:dyDescent="0.45">
      <c r="A1298" s="12">
        <v>45341</v>
      </c>
      <c r="B1298" s="2" t="s">
        <v>15</v>
      </c>
      <c r="C1298" s="2" t="s">
        <v>24</v>
      </c>
      <c r="D1298" s="2" t="s">
        <v>17</v>
      </c>
      <c r="E1298" s="2" t="s">
        <v>18</v>
      </c>
      <c r="F1298" s="2">
        <v>30545</v>
      </c>
      <c r="G1298" s="2">
        <v>1728</v>
      </c>
      <c r="H1298" s="2">
        <v>2989.44</v>
      </c>
      <c r="I1298" s="2">
        <v>51</v>
      </c>
      <c r="J1298" s="2">
        <v>3408.09</v>
      </c>
      <c r="K1298" s="4">
        <f t="shared" si="80"/>
        <v>5.6572270420690782E-2</v>
      </c>
      <c r="L1298" s="6">
        <f t="shared" si="81"/>
        <v>1.73</v>
      </c>
      <c r="M1298" s="6">
        <f t="shared" si="82"/>
        <v>58.616470588235295</v>
      </c>
      <c r="N1298" s="8">
        <f t="shared" si="83"/>
        <v>1.1400429511881824</v>
      </c>
    </row>
    <row r="1299" spans="1:14" x14ac:dyDescent="0.45">
      <c r="A1299" s="12">
        <v>45499</v>
      </c>
      <c r="B1299" s="2" t="s">
        <v>20</v>
      </c>
      <c r="C1299" s="2" t="s">
        <v>28</v>
      </c>
      <c r="D1299" s="2" t="s">
        <v>17</v>
      </c>
      <c r="E1299" s="2" t="s">
        <v>18</v>
      </c>
      <c r="F1299" s="2">
        <v>21643</v>
      </c>
      <c r="G1299" s="2">
        <v>1142</v>
      </c>
      <c r="H1299" s="2">
        <v>1176.26</v>
      </c>
      <c r="I1299" s="2">
        <v>81</v>
      </c>
      <c r="J1299" s="2">
        <v>18823.45</v>
      </c>
      <c r="K1299" s="4">
        <f t="shared" si="80"/>
        <v>5.2765328281661507E-2</v>
      </c>
      <c r="L1299" s="6">
        <f t="shared" si="81"/>
        <v>1.03</v>
      </c>
      <c r="M1299" s="6">
        <f t="shared" si="82"/>
        <v>14.521728395061729</v>
      </c>
      <c r="N1299" s="8">
        <f t="shared" si="83"/>
        <v>16.002797000663119</v>
      </c>
    </row>
    <row r="1300" spans="1:14" x14ac:dyDescent="0.45">
      <c r="A1300" s="12">
        <v>45328</v>
      </c>
      <c r="B1300" s="2" t="s">
        <v>35</v>
      </c>
      <c r="C1300" s="2" t="s">
        <v>38</v>
      </c>
      <c r="D1300" s="2" t="s">
        <v>25</v>
      </c>
      <c r="E1300" s="2" t="s">
        <v>22</v>
      </c>
      <c r="F1300" s="2">
        <v>58164</v>
      </c>
      <c r="G1300" s="2">
        <v>936</v>
      </c>
      <c r="H1300" s="2">
        <v>823.68</v>
      </c>
      <c r="I1300" s="2">
        <v>13</v>
      </c>
      <c r="J1300" s="2">
        <v>1791.65</v>
      </c>
      <c r="K1300" s="4">
        <f t="shared" si="80"/>
        <v>1.6092428306168763E-2</v>
      </c>
      <c r="L1300" s="6">
        <f t="shared" si="81"/>
        <v>0.87999999999999989</v>
      </c>
      <c r="M1300" s="6">
        <f t="shared" si="82"/>
        <v>63.36</v>
      </c>
      <c r="N1300" s="8">
        <f t="shared" si="83"/>
        <v>2.1751772533022535</v>
      </c>
    </row>
    <row r="1301" spans="1:14" x14ac:dyDescent="0.45">
      <c r="A1301" s="12">
        <v>45391</v>
      </c>
      <c r="B1301" s="2" t="s">
        <v>35</v>
      </c>
      <c r="C1301" s="2" t="s">
        <v>28</v>
      </c>
      <c r="D1301" s="2" t="s">
        <v>17</v>
      </c>
      <c r="E1301" s="2" t="s">
        <v>18</v>
      </c>
      <c r="F1301" s="2">
        <v>69102</v>
      </c>
      <c r="G1301" s="2">
        <v>1354</v>
      </c>
      <c r="H1301" s="2">
        <v>2179.94</v>
      </c>
      <c r="I1301" s="2">
        <v>89</v>
      </c>
      <c r="J1301" s="2">
        <v>14410.72</v>
      </c>
      <c r="K1301" s="4">
        <f t="shared" si="80"/>
        <v>1.9594223032618447E-2</v>
      </c>
      <c r="L1301" s="6">
        <f t="shared" si="81"/>
        <v>1.61</v>
      </c>
      <c r="M1301" s="6">
        <f t="shared" si="82"/>
        <v>24.493707865168538</v>
      </c>
      <c r="N1301" s="8">
        <f t="shared" si="83"/>
        <v>6.6106039615769241</v>
      </c>
    </row>
    <row r="1302" spans="1:14" x14ac:dyDescent="0.45">
      <c r="A1302" s="12">
        <v>45505</v>
      </c>
      <c r="B1302" s="2" t="s">
        <v>20</v>
      </c>
      <c r="C1302" s="2" t="s">
        <v>28</v>
      </c>
      <c r="D1302" s="2" t="s">
        <v>17</v>
      </c>
      <c r="E1302" s="2" t="s">
        <v>22</v>
      </c>
      <c r="F1302" s="2">
        <v>164852</v>
      </c>
      <c r="G1302" s="2">
        <v>6445</v>
      </c>
      <c r="H1302" s="2">
        <v>10569.8</v>
      </c>
      <c r="I1302" s="2">
        <v>471</v>
      </c>
      <c r="J1302" s="2">
        <v>43233.91</v>
      </c>
      <c r="K1302" s="4">
        <f t="shared" si="80"/>
        <v>3.9095673695193262E-2</v>
      </c>
      <c r="L1302" s="6">
        <f t="shared" si="81"/>
        <v>1.64</v>
      </c>
      <c r="M1302" s="6">
        <f t="shared" si="82"/>
        <v>22.441188959660295</v>
      </c>
      <c r="N1302" s="8">
        <f t="shared" si="83"/>
        <v>4.0903243202331172</v>
      </c>
    </row>
    <row r="1303" spans="1:14" x14ac:dyDescent="0.45">
      <c r="A1303" s="12">
        <v>45589</v>
      </c>
      <c r="B1303" s="2" t="s">
        <v>15</v>
      </c>
      <c r="C1303" s="2" t="s">
        <v>28</v>
      </c>
      <c r="D1303" s="2" t="s">
        <v>17</v>
      </c>
      <c r="E1303" s="2" t="s">
        <v>51</v>
      </c>
      <c r="F1303" s="2">
        <v>149064</v>
      </c>
      <c r="G1303" s="2">
        <v>5724</v>
      </c>
      <c r="H1303" s="2">
        <v>7555.68</v>
      </c>
      <c r="I1303" s="2">
        <v>369</v>
      </c>
      <c r="J1303" s="2">
        <v>107029.4</v>
      </c>
      <c r="K1303" s="4">
        <f t="shared" si="80"/>
        <v>3.8399613588794075E-2</v>
      </c>
      <c r="L1303" s="6">
        <f t="shared" si="81"/>
        <v>1.32</v>
      </c>
      <c r="M1303" s="6">
        <f t="shared" si="82"/>
        <v>20.47609756097561</v>
      </c>
      <c r="N1303" s="8">
        <f t="shared" si="83"/>
        <v>14.165422569510618</v>
      </c>
    </row>
    <row r="1304" spans="1:14" x14ac:dyDescent="0.45">
      <c r="A1304" s="12">
        <v>45479</v>
      </c>
      <c r="B1304" s="2" t="s">
        <v>35</v>
      </c>
      <c r="C1304" s="2" t="s">
        <v>28</v>
      </c>
      <c r="D1304" s="2" t="s">
        <v>41</v>
      </c>
      <c r="E1304" s="2" t="s">
        <v>22</v>
      </c>
      <c r="F1304" s="2">
        <v>80888</v>
      </c>
      <c r="G1304" s="2">
        <v>2070</v>
      </c>
      <c r="H1304" s="2">
        <v>1531.8</v>
      </c>
      <c r="I1304" s="2">
        <v>71</v>
      </c>
      <c r="J1304" s="2">
        <v>19601.22</v>
      </c>
      <c r="K1304" s="4">
        <f t="shared" si="80"/>
        <v>2.559094055978637E-2</v>
      </c>
      <c r="L1304" s="6">
        <f t="shared" si="81"/>
        <v>0.74</v>
      </c>
      <c r="M1304" s="6">
        <f t="shared" si="82"/>
        <v>21.574647887323945</v>
      </c>
      <c r="N1304" s="8">
        <f t="shared" si="83"/>
        <v>12.796200548374463</v>
      </c>
    </row>
    <row r="1305" spans="1:14" x14ac:dyDescent="0.45">
      <c r="A1305" s="12">
        <v>45642</v>
      </c>
      <c r="B1305" s="2" t="s">
        <v>35</v>
      </c>
      <c r="C1305" s="2" t="s">
        <v>38</v>
      </c>
      <c r="D1305" s="2" t="s">
        <v>29</v>
      </c>
      <c r="E1305" s="2" t="s">
        <v>26</v>
      </c>
      <c r="F1305" s="2">
        <v>21471</v>
      </c>
      <c r="G1305" s="2">
        <v>753</v>
      </c>
      <c r="H1305" s="2">
        <v>1347.87</v>
      </c>
      <c r="I1305" s="2">
        <v>28</v>
      </c>
      <c r="J1305" s="2">
        <v>7559</v>
      </c>
      <c r="K1305" s="4">
        <f t="shared" si="80"/>
        <v>3.5070560290624567E-2</v>
      </c>
      <c r="L1305" s="6">
        <f t="shared" si="81"/>
        <v>1.7899999999999998</v>
      </c>
      <c r="M1305" s="6">
        <f t="shared" si="82"/>
        <v>48.138214285714284</v>
      </c>
      <c r="N1305" s="8">
        <f t="shared" si="83"/>
        <v>5.6081076068166817</v>
      </c>
    </row>
    <row r="1306" spans="1:14" x14ac:dyDescent="0.45">
      <c r="A1306" s="12">
        <v>45417</v>
      </c>
      <c r="B1306" s="2" t="s">
        <v>35</v>
      </c>
      <c r="C1306" s="2" t="s">
        <v>28</v>
      </c>
      <c r="D1306" s="2" t="s">
        <v>25</v>
      </c>
      <c r="E1306" s="2" t="s">
        <v>51</v>
      </c>
      <c r="F1306" s="2">
        <v>160182</v>
      </c>
      <c r="G1306" s="2">
        <v>4901</v>
      </c>
      <c r="H1306" s="2">
        <v>4999.0200000000004</v>
      </c>
      <c r="I1306" s="2">
        <v>88</v>
      </c>
      <c r="J1306" s="2">
        <v>22338.67</v>
      </c>
      <c r="K1306" s="4">
        <f t="shared" si="80"/>
        <v>3.0596446542058408E-2</v>
      </c>
      <c r="L1306" s="6">
        <f t="shared" si="81"/>
        <v>1.02</v>
      </c>
      <c r="M1306" s="6">
        <f t="shared" si="82"/>
        <v>56.80704545454546</v>
      </c>
      <c r="N1306" s="8">
        <f t="shared" si="83"/>
        <v>4.4686098475301153</v>
      </c>
    </row>
    <row r="1307" spans="1:14" x14ac:dyDescent="0.45">
      <c r="A1307" s="12">
        <v>45383</v>
      </c>
      <c r="B1307" s="2" t="s">
        <v>20</v>
      </c>
      <c r="C1307" s="2" t="s">
        <v>38</v>
      </c>
      <c r="D1307" s="2" t="s">
        <v>21</v>
      </c>
      <c r="E1307" s="2" t="s">
        <v>33</v>
      </c>
      <c r="F1307" s="2">
        <v>30226</v>
      </c>
      <c r="G1307" s="2">
        <v>1196</v>
      </c>
      <c r="H1307" s="2">
        <v>1746.16</v>
      </c>
      <c r="I1307" s="2">
        <v>12</v>
      </c>
      <c r="J1307" s="2">
        <v>2625.21</v>
      </c>
      <c r="K1307" s="4">
        <f t="shared" si="80"/>
        <v>3.956858333884735E-2</v>
      </c>
      <c r="L1307" s="6">
        <f t="shared" si="81"/>
        <v>1.46</v>
      </c>
      <c r="M1307" s="6">
        <f t="shared" si="82"/>
        <v>145.51333333333335</v>
      </c>
      <c r="N1307" s="8">
        <f t="shared" si="83"/>
        <v>1.5034189306821826</v>
      </c>
    </row>
    <row r="1308" spans="1:14" x14ac:dyDescent="0.45">
      <c r="A1308" s="12">
        <v>45485</v>
      </c>
      <c r="B1308" s="2" t="s">
        <v>15</v>
      </c>
      <c r="C1308" s="2" t="s">
        <v>16</v>
      </c>
      <c r="D1308" s="2" t="s">
        <v>29</v>
      </c>
      <c r="E1308" s="2" t="s">
        <v>54</v>
      </c>
      <c r="F1308" s="2">
        <v>146677</v>
      </c>
      <c r="G1308" s="2">
        <v>7597</v>
      </c>
      <c r="H1308" s="2">
        <v>10787.74</v>
      </c>
      <c r="I1308" s="2">
        <v>186</v>
      </c>
      <c r="J1308" s="2">
        <v>35941.14</v>
      </c>
      <c r="K1308" s="4">
        <f t="shared" si="80"/>
        <v>5.1794078144494368E-2</v>
      </c>
      <c r="L1308" s="6">
        <f t="shared" si="81"/>
        <v>1.42</v>
      </c>
      <c r="M1308" s="6">
        <f t="shared" si="82"/>
        <v>57.998602150537636</v>
      </c>
      <c r="N1308" s="8">
        <f t="shared" si="83"/>
        <v>3.3316653905266533</v>
      </c>
    </row>
    <row r="1309" spans="1:14" x14ac:dyDescent="0.45">
      <c r="A1309" s="12">
        <v>45467</v>
      </c>
      <c r="B1309" s="2" t="s">
        <v>35</v>
      </c>
      <c r="C1309" s="2" t="s">
        <v>28</v>
      </c>
      <c r="D1309" s="2" t="s">
        <v>25</v>
      </c>
      <c r="E1309" s="2" t="s">
        <v>18</v>
      </c>
      <c r="F1309" s="2">
        <v>74859</v>
      </c>
      <c r="G1309" s="2">
        <v>1661</v>
      </c>
      <c r="H1309" s="2">
        <v>2242.35</v>
      </c>
      <c r="I1309" s="2">
        <v>101</v>
      </c>
      <c r="J1309" s="2">
        <v>6046.11</v>
      </c>
      <c r="K1309" s="4">
        <f t="shared" si="80"/>
        <v>2.218838082261318E-2</v>
      </c>
      <c r="L1309" s="6">
        <f t="shared" si="81"/>
        <v>1.3499999999999999</v>
      </c>
      <c r="M1309" s="6">
        <f t="shared" si="82"/>
        <v>22.201485148514852</v>
      </c>
      <c r="N1309" s="8">
        <f t="shared" si="83"/>
        <v>2.6963275135460565</v>
      </c>
    </row>
    <row r="1310" spans="1:14" x14ac:dyDescent="0.45">
      <c r="A1310" s="12">
        <v>45414</v>
      </c>
      <c r="B1310" s="2" t="s">
        <v>15</v>
      </c>
      <c r="C1310" s="2" t="s">
        <v>38</v>
      </c>
      <c r="D1310" s="2" t="s">
        <v>29</v>
      </c>
      <c r="E1310" s="2" t="s">
        <v>54</v>
      </c>
      <c r="F1310" s="2">
        <v>127232</v>
      </c>
      <c r="G1310" s="2">
        <v>3867</v>
      </c>
      <c r="H1310" s="2">
        <v>11407.65</v>
      </c>
      <c r="I1310" s="2">
        <v>177</v>
      </c>
      <c r="J1310" s="2">
        <v>6676.28</v>
      </c>
      <c r="K1310" s="4">
        <f t="shared" si="80"/>
        <v>3.0393297283702214E-2</v>
      </c>
      <c r="L1310" s="6">
        <f t="shared" si="81"/>
        <v>2.9499999999999997</v>
      </c>
      <c r="M1310" s="6">
        <f t="shared" si="82"/>
        <v>64.45</v>
      </c>
      <c r="N1310" s="8">
        <f t="shared" si="83"/>
        <v>0.5852458657129207</v>
      </c>
    </row>
    <row r="1311" spans="1:14" x14ac:dyDescent="0.45">
      <c r="A1311" s="12">
        <v>45647</v>
      </c>
      <c r="B1311" s="2" t="s">
        <v>15</v>
      </c>
      <c r="C1311" s="2" t="s">
        <v>24</v>
      </c>
      <c r="D1311" s="2" t="s">
        <v>29</v>
      </c>
      <c r="E1311" s="2" t="s">
        <v>22</v>
      </c>
      <c r="F1311" s="2">
        <v>83243</v>
      </c>
      <c r="G1311" s="2">
        <v>2821</v>
      </c>
      <c r="H1311" s="2">
        <v>8547.6299999999992</v>
      </c>
      <c r="I1311" s="2">
        <v>181</v>
      </c>
      <c r="J1311" s="2">
        <v>43894.09</v>
      </c>
      <c r="K1311" s="4">
        <f t="shared" si="80"/>
        <v>3.3888735389161852E-2</v>
      </c>
      <c r="L1311" s="6">
        <f t="shared" si="81"/>
        <v>3.03</v>
      </c>
      <c r="M1311" s="6">
        <f t="shared" si="82"/>
        <v>47.224475138121541</v>
      </c>
      <c r="N1311" s="8">
        <f t="shared" si="83"/>
        <v>5.135235147052458</v>
      </c>
    </row>
    <row r="1312" spans="1:14" x14ac:dyDescent="0.45">
      <c r="A1312" s="12">
        <v>45432</v>
      </c>
      <c r="B1312" s="2" t="s">
        <v>35</v>
      </c>
      <c r="C1312" s="2" t="s">
        <v>28</v>
      </c>
      <c r="D1312" s="2" t="s">
        <v>21</v>
      </c>
      <c r="E1312" s="2" t="s">
        <v>18</v>
      </c>
      <c r="F1312" s="2">
        <v>85846</v>
      </c>
      <c r="G1312" s="2">
        <v>2274</v>
      </c>
      <c r="H1312" s="2">
        <v>977.82</v>
      </c>
      <c r="I1312" s="2">
        <v>113</v>
      </c>
      <c r="J1312" s="2">
        <v>8382.57</v>
      </c>
      <c r="K1312" s="4">
        <f t="shared" si="80"/>
        <v>2.6489294783682407E-2</v>
      </c>
      <c r="L1312" s="6">
        <f t="shared" si="81"/>
        <v>0.43000000000000005</v>
      </c>
      <c r="M1312" s="6">
        <f t="shared" si="82"/>
        <v>8.6532743362831859</v>
      </c>
      <c r="N1312" s="8">
        <f t="shared" si="83"/>
        <v>8.5727127692213276</v>
      </c>
    </row>
    <row r="1313" spans="1:14" x14ac:dyDescent="0.45">
      <c r="A1313" s="12">
        <v>45325</v>
      </c>
      <c r="B1313" s="2" t="s">
        <v>20</v>
      </c>
      <c r="C1313" s="2" t="s">
        <v>38</v>
      </c>
      <c r="D1313" s="2" t="s">
        <v>25</v>
      </c>
      <c r="E1313" s="2" t="s">
        <v>26</v>
      </c>
      <c r="F1313" s="2">
        <v>150227</v>
      </c>
      <c r="G1313" s="2">
        <v>8683</v>
      </c>
      <c r="H1313" s="2">
        <v>14761.1</v>
      </c>
      <c r="I1313" s="2">
        <v>315</v>
      </c>
      <c r="J1313" s="2">
        <v>86296.01</v>
      </c>
      <c r="K1313" s="4">
        <f t="shared" si="80"/>
        <v>5.7799197214881477E-2</v>
      </c>
      <c r="L1313" s="6">
        <f t="shared" si="81"/>
        <v>1.7</v>
      </c>
      <c r="M1313" s="6">
        <f t="shared" si="82"/>
        <v>46.860634920634922</v>
      </c>
      <c r="N1313" s="8">
        <f t="shared" si="83"/>
        <v>5.8461774528998509</v>
      </c>
    </row>
    <row r="1314" spans="1:14" x14ac:dyDescent="0.45">
      <c r="A1314" s="12">
        <v>45503</v>
      </c>
      <c r="B1314" s="2" t="s">
        <v>15</v>
      </c>
      <c r="C1314" s="2" t="s">
        <v>38</v>
      </c>
      <c r="D1314" s="2" t="s">
        <v>25</v>
      </c>
      <c r="E1314" s="2" t="s">
        <v>33</v>
      </c>
      <c r="F1314" s="2">
        <v>50411</v>
      </c>
      <c r="G1314" s="2">
        <v>1320</v>
      </c>
      <c r="H1314" s="2">
        <v>3537.6</v>
      </c>
      <c r="I1314" s="2">
        <v>49</v>
      </c>
      <c r="J1314" s="2">
        <v>12873.07</v>
      </c>
      <c r="K1314" s="4">
        <f t="shared" si="80"/>
        <v>2.6184761262422883E-2</v>
      </c>
      <c r="L1314" s="6">
        <f t="shared" si="81"/>
        <v>2.6799999999999997</v>
      </c>
      <c r="M1314" s="6">
        <f t="shared" si="82"/>
        <v>72.195918367346934</v>
      </c>
      <c r="N1314" s="8">
        <f t="shared" si="83"/>
        <v>3.6389275214834917</v>
      </c>
    </row>
    <row r="1315" spans="1:14" x14ac:dyDescent="0.45">
      <c r="A1315" s="12">
        <v>45308</v>
      </c>
      <c r="B1315" s="2" t="s">
        <v>15</v>
      </c>
      <c r="C1315" s="2" t="s">
        <v>28</v>
      </c>
      <c r="D1315" s="2" t="s">
        <v>17</v>
      </c>
      <c r="E1315" s="2" t="s">
        <v>22</v>
      </c>
      <c r="F1315" s="2">
        <v>100552</v>
      </c>
      <c r="G1315" s="2">
        <v>3861</v>
      </c>
      <c r="H1315" s="2">
        <v>7374.51</v>
      </c>
      <c r="I1315" s="2">
        <v>57</v>
      </c>
      <c r="J1315" s="2">
        <v>14567.86</v>
      </c>
      <c r="K1315" s="4">
        <f t="shared" si="80"/>
        <v>3.8398042803723449E-2</v>
      </c>
      <c r="L1315" s="6">
        <f t="shared" si="81"/>
        <v>1.9100000000000001</v>
      </c>
      <c r="M1315" s="6">
        <f t="shared" si="82"/>
        <v>129.37736842105264</v>
      </c>
      <c r="N1315" s="8">
        <f t="shared" si="83"/>
        <v>1.9754343000416299</v>
      </c>
    </row>
    <row r="1316" spans="1:14" x14ac:dyDescent="0.45">
      <c r="A1316" s="12">
        <v>45475</v>
      </c>
      <c r="B1316" s="2" t="s">
        <v>15</v>
      </c>
      <c r="C1316" s="2" t="s">
        <v>38</v>
      </c>
      <c r="D1316" s="2" t="s">
        <v>17</v>
      </c>
      <c r="E1316" s="2" t="s">
        <v>18</v>
      </c>
      <c r="F1316" s="2">
        <v>32428</v>
      </c>
      <c r="G1316" s="2">
        <v>603</v>
      </c>
      <c r="H1316" s="2">
        <v>970.83</v>
      </c>
      <c r="I1316" s="2">
        <v>47</v>
      </c>
      <c r="J1316" s="2">
        <v>11645.06</v>
      </c>
      <c r="K1316" s="4">
        <f t="shared" si="80"/>
        <v>1.859504132231405E-2</v>
      </c>
      <c r="L1316" s="6">
        <f t="shared" si="81"/>
        <v>1.61</v>
      </c>
      <c r="M1316" s="6">
        <f t="shared" si="82"/>
        <v>20.655957446808511</v>
      </c>
      <c r="N1316" s="8">
        <f t="shared" si="83"/>
        <v>11.994952772370032</v>
      </c>
    </row>
    <row r="1317" spans="1:14" x14ac:dyDescent="0.45">
      <c r="A1317" s="12">
        <v>45609</v>
      </c>
      <c r="B1317" s="2" t="s">
        <v>15</v>
      </c>
      <c r="C1317" s="2" t="s">
        <v>16</v>
      </c>
      <c r="D1317" s="2" t="s">
        <v>25</v>
      </c>
      <c r="E1317" s="2" t="s">
        <v>26</v>
      </c>
      <c r="F1317" s="2">
        <v>84517</v>
      </c>
      <c r="G1317" s="2">
        <v>1664</v>
      </c>
      <c r="H1317" s="2">
        <v>3993.6</v>
      </c>
      <c r="I1317" s="2">
        <v>91</v>
      </c>
      <c r="J1317" s="2">
        <v>21828</v>
      </c>
      <c r="K1317" s="4">
        <f t="shared" si="80"/>
        <v>1.9688346723144456E-2</v>
      </c>
      <c r="L1317" s="6">
        <f t="shared" si="81"/>
        <v>2.4</v>
      </c>
      <c r="M1317" s="6">
        <f t="shared" si="82"/>
        <v>43.885714285714286</v>
      </c>
      <c r="N1317" s="8">
        <f t="shared" si="83"/>
        <v>5.4657451923076925</v>
      </c>
    </row>
    <row r="1318" spans="1:14" x14ac:dyDescent="0.45">
      <c r="A1318" s="12">
        <v>45372</v>
      </c>
      <c r="B1318" s="2" t="s">
        <v>35</v>
      </c>
      <c r="C1318" s="2" t="s">
        <v>28</v>
      </c>
      <c r="D1318" s="2" t="s">
        <v>21</v>
      </c>
      <c r="E1318" s="2" t="s">
        <v>30</v>
      </c>
      <c r="F1318" s="2">
        <v>160091</v>
      </c>
      <c r="G1318" s="2">
        <v>4210</v>
      </c>
      <c r="H1318" s="2">
        <v>4504.7</v>
      </c>
      <c r="I1318" s="2">
        <v>322</v>
      </c>
      <c r="J1318" s="2">
        <v>62914.38</v>
      </c>
      <c r="K1318" s="4">
        <f t="shared" si="80"/>
        <v>2.6297543272263899E-2</v>
      </c>
      <c r="L1318" s="6">
        <f t="shared" si="81"/>
        <v>1.07</v>
      </c>
      <c r="M1318" s="6">
        <f t="shared" si="82"/>
        <v>13.989751552795031</v>
      </c>
      <c r="N1318" s="8">
        <f t="shared" si="83"/>
        <v>13.966386218838103</v>
      </c>
    </row>
    <row r="1319" spans="1:14" x14ac:dyDescent="0.45">
      <c r="A1319" s="12">
        <v>45466</v>
      </c>
      <c r="B1319" s="2" t="s">
        <v>15</v>
      </c>
      <c r="C1319" s="2" t="s">
        <v>16</v>
      </c>
      <c r="D1319" s="2" t="s">
        <v>21</v>
      </c>
      <c r="E1319" s="2" t="s">
        <v>22</v>
      </c>
      <c r="F1319" s="2">
        <v>158778</v>
      </c>
      <c r="G1319" s="2">
        <v>7256</v>
      </c>
      <c r="H1319" s="2">
        <v>10884</v>
      </c>
      <c r="I1319" s="2">
        <v>431</v>
      </c>
      <c r="J1319" s="2">
        <v>17905.23</v>
      </c>
      <c r="K1319" s="4">
        <f t="shared" si="80"/>
        <v>4.5699026313469122E-2</v>
      </c>
      <c r="L1319" s="6">
        <f t="shared" si="81"/>
        <v>1.5</v>
      </c>
      <c r="M1319" s="6">
        <f t="shared" si="82"/>
        <v>25.252900232018561</v>
      </c>
      <c r="N1319" s="8">
        <f t="shared" si="83"/>
        <v>1.6450964718853363</v>
      </c>
    </row>
    <row r="1320" spans="1:14" x14ac:dyDescent="0.45">
      <c r="A1320" s="12">
        <v>45398</v>
      </c>
      <c r="B1320" s="2" t="s">
        <v>15</v>
      </c>
      <c r="C1320" s="2" t="s">
        <v>16</v>
      </c>
      <c r="D1320" s="2" t="s">
        <v>25</v>
      </c>
      <c r="E1320" s="2" t="s">
        <v>30</v>
      </c>
      <c r="F1320" s="2">
        <v>145284</v>
      </c>
      <c r="G1320" s="2">
        <v>8121</v>
      </c>
      <c r="H1320" s="2">
        <v>21601.86</v>
      </c>
      <c r="I1320" s="2">
        <v>503</v>
      </c>
      <c r="J1320" s="2">
        <v>135453.16</v>
      </c>
      <c r="K1320" s="4">
        <f t="shared" si="80"/>
        <v>5.589741471875774E-2</v>
      </c>
      <c r="L1320" s="6">
        <f t="shared" si="81"/>
        <v>2.66</v>
      </c>
      <c r="M1320" s="6">
        <f t="shared" si="82"/>
        <v>42.946043737574556</v>
      </c>
      <c r="N1320" s="8">
        <f t="shared" si="83"/>
        <v>6.2704396751020512</v>
      </c>
    </row>
    <row r="1321" spans="1:14" x14ac:dyDescent="0.45">
      <c r="A1321" s="12">
        <v>45326</v>
      </c>
      <c r="B1321" s="2" t="s">
        <v>35</v>
      </c>
      <c r="C1321" s="2" t="s">
        <v>28</v>
      </c>
      <c r="D1321" s="2" t="s">
        <v>41</v>
      </c>
      <c r="E1321" s="2" t="s">
        <v>30</v>
      </c>
      <c r="F1321" s="2">
        <v>82665</v>
      </c>
      <c r="G1321" s="2">
        <v>2521</v>
      </c>
      <c r="H1321" s="2">
        <v>1613.44</v>
      </c>
      <c r="I1321" s="2">
        <v>182</v>
      </c>
      <c r="J1321" s="2">
        <v>48413.75</v>
      </c>
      <c r="K1321" s="4">
        <f t="shared" si="80"/>
        <v>3.0496582592390974E-2</v>
      </c>
      <c r="L1321" s="6">
        <f t="shared" si="81"/>
        <v>0.64</v>
      </c>
      <c r="M1321" s="6">
        <f t="shared" si="82"/>
        <v>8.8650549450549452</v>
      </c>
      <c r="N1321" s="8">
        <f t="shared" si="83"/>
        <v>30.006538823879414</v>
      </c>
    </row>
    <row r="1322" spans="1:14" x14ac:dyDescent="0.45">
      <c r="A1322" s="12">
        <v>45494</v>
      </c>
      <c r="B1322" s="2" t="s">
        <v>20</v>
      </c>
      <c r="C1322" s="2" t="s">
        <v>28</v>
      </c>
      <c r="D1322" s="2" t="s">
        <v>17</v>
      </c>
      <c r="E1322" s="2" t="s">
        <v>22</v>
      </c>
      <c r="F1322" s="2">
        <v>157973</v>
      </c>
      <c r="G1322" s="2">
        <v>12227</v>
      </c>
      <c r="H1322" s="2">
        <v>6480.31</v>
      </c>
      <c r="I1322" s="2">
        <v>540</v>
      </c>
      <c r="J1322" s="2">
        <v>99930.16</v>
      </c>
      <c r="K1322" s="4">
        <f t="shared" si="80"/>
        <v>7.7399302412437573E-2</v>
      </c>
      <c r="L1322" s="6">
        <f t="shared" si="81"/>
        <v>0.53</v>
      </c>
      <c r="M1322" s="6">
        <f t="shared" si="82"/>
        <v>12.000574074074075</v>
      </c>
      <c r="N1322" s="8">
        <f t="shared" si="83"/>
        <v>15.420583274565567</v>
      </c>
    </row>
    <row r="1323" spans="1:14" x14ac:dyDescent="0.45">
      <c r="A1323" s="12">
        <v>45391</v>
      </c>
      <c r="B1323" s="2" t="s">
        <v>20</v>
      </c>
      <c r="C1323" s="2" t="s">
        <v>38</v>
      </c>
      <c r="D1323" s="2" t="s">
        <v>17</v>
      </c>
      <c r="E1323" s="2" t="s">
        <v>51</v>
      </c>
      <c r="F1323" s="2">
        <v>48898</v>
      </c>
      <c r="G1323" s="2">
        <v>3193</v>
      </c>
      <c r="H1323" s="2">
        <v>2841.77</v>
      </c>
      <c r="I1323" s="2">
        <v>179</v>
      </c>
      <c r="J1323" s="2">
        <v>27594.33</v>
      </c>
      <c r="K1323" s="4">
        <f t="shared" si="80"/>
        <v>6.529919424107325E-2</v>
      </c>
      <c r="L1323" s="6">
        <f t="shared" si="81"/>
        <v>0.89</v>
      </c>
      <c r="M1323" s="6">
        <f t="shared" si="82"/>
        <v>15.875810055865921</v>
      </c>
      <c r="N1323" s="8">
        <f t="shared" si="83"/>
        <v>9.7102615623361501</v>
      </c>
    </row>
    <row r="1324" spans="1:14" x14ac:dyDescent="0.45">
      <c r="A1324" s="12">
        <v>45359</v>
      </c>
      <c r="B1324" s="2" t="s">
        <v>15</v>
      </c>
      <c r="C1324" s="2" t="s">
        <v>16</v>
      </c>
      <c r="D1324" s="2" t="s">
        <v>29</v>
      </c>
      <c r="E1324" s="2" t="s">
        <v>26</v>
      </c>
      <c r="F1324" s="2">
        <v>185923</v>
      </c>
      <c r="G1324" s="2">
        <v>7827</v>
      </c>
      <c r="H1324" s="2">
        <v>28803.360000000001</v>
      </c>
      <c r="I1324" s="2">
        <v>215</v>
      </c>
      <c r="J1324" s="2">
        <v>61106.18</v>
      </c>
      <c r="K1324" s="4">
        <f t="shared" si="80"/>
        <v>4.2098072858118681E-2</v>
      </c>
      <c r="L1324" s="6">
        <f t="shared" si="81"/>
        <v>3.68</v>
      </c>
      <c r="M1324" s="6">
        <f t="shared" si="82"/>
        <v>133.96911627906977</v>
      </c>
      <c r="N1324" s="8">
        <f t="shared" si="83"/>
        <v>2.1214948533782167</v>
      </c>
    </row>
    <row r="1325" spans="1:14" x14ac:dyDescent="0.45">
      <c r="A1325" s="12">
        <v>45524</v>
      </c>
      <c r="B1325" s="2" t="s">
        <v>20</v>
      </c>
      <c r="C1325" s="2" t="s">
        <v>16</v>
      </c>
      <c r="D1325" s="2" t="s">
        <v>25</v>
      </c>
      <c r="E1325" s="2" t="s">
        <v>33</v>
      </c>
      <c r="F1325" s="2">
        <v>89688</v>
      </c>
      <c r="G1325" s="2">
        <v>6583</v>
      </c>
      <c r="H1325" s="2">
        <v>2238.2199999999998</v>
      </c>
      <c r="I1325" s="2">
        <v>273</v>
      </c>
      <c r="J1325" s="2">
        <v>36559.47</v>
      </c>
      <c r="K1325" s="4">
        <f t="shared" si="80"/>
        <v>7.3398893943448396E-2</v>
      </c>
      <c r="L1325" s="6">
        <f t="shared" si="81"/>
        <v>0.33999999999999997</v>
      </c>
      <c r="M1325" s="6">
        <f t="shared" si="82"/>
        <v>8.1986080586080572</v>
      </c>
      <c r="N1325" s="8">
        <f t="shared" si="83"/>
        <v>16.334171797231729</v>
      </c>
    </row>
    <row r="1326" spans="1:14" x14ac:dyDescent="0.45">
      <c r="A1326" s="12">
        <v>45519</v>
      </c>
      <c r="B1326" s="2" t="s">
        <v>20</v>
      </c>
      <c r="C1326" s="2" t="s">
        <v>16</v>
      </c>
      <c r="D1326" s="2" t="s">
        <v>17</v>
      </c>
      <c r="E1326" s="2" t="s">
        <v>33</v>
      </c>
      <c r="F1326" s="2">
        <v>15273</v>
      </c>
      <c r="G1326" s="2">
        <v>464</v>
      </c>
      <c r="H1326" s="2">
        <v>357.28</v>
      </c>
      <c r="I1326" s="2">
        <v>24</v>
      </c>
      <c r="J1326" s="2">
        <v>871.3</v>
      </c>
      <c r="K1326" s="4">
        <f t="shared" si="80"/>
        <v>3.0380409873633208E-2</v>
      </c>
      <c r="L1326" s="6">
        <f t="shared" si="81"/>
        <v>0.76999999999999991</v>
      </c>
      <c r="M1326" s="6">
        <f t="shared" si="82"/>
        <v>14.886666666666665</v>
      </c>
      <c r="N1326" s="8">
        <f t="shared" si="83"/>
        <v>2.438703537841469</v>
      </c>
    </row>
    <row r="1327" spans="1:14" x14ac:dyDescent="0.45">
      <c r="A1327" s="12">
        <v>45361</v>
      </c>
      <c r="B1327" s="2" t="s">
        <v>15</v>
      </c>
      <c r="C1327" s="2" t="s">
        <v>28</v>
      </c>
      <c r="D1327" s="2" t="s">
        <v>29</v>
      </c>
      <c r="E1327" s="2" t="s">
        <v>54</v>
      </c>
      <c r="F1327" s="2">
        <v>71107</v>
      </c>
      <c r="G1327" s="2">
        <v>2936</v>
      </c>
      <c r="H1327" s="2">
        <v>7839.12</v>
      </c>
      <c r="I1327" s="2">
        <v>215</v>
      </c>
      <c r="J1327" s="2">
        <v>26952.54</v>
      </c>
      <c r="K1327" s="4">
        <f t="shared" si="80"/>
        <v>4.1289887071596323E-2</v>
      </c>
      <c r="L1327" s="6">
        <f t="shared" si="81"/>
        <v>2.67</v>
      </c>
      <c r="M1327" s="6">
        <f t="shared" si="82"/>
        <v>36.461023255813956</v>
      </c>
      <c r="N1327" s="8">
        <f t="shared" si="83"/>
        <v>3.4382099011113496</v>
      </c>
    </row>
    <row r="1328" spans="1:14" x14ac:dyDescent="0.45">
      <c r="A1328" s="12">
        <v>45473</v>
      </c>
      <c r="B1328" s="2" t="s">
        <v>15</v>
      </c>
      <c r="C1328" s="2" t="s">
        <v>28</v>
      </c>
      <c r="D1328" s="2" t="s">
        <v>29</v>
      </c>
      <c r="E1328" s="2" t="s">
        <v>18</v>
      </c>
      <c r="F1328" s="2">
        <v>79681</v>
      </c>
      <c r="G1328" s="2">
        <v>2916</v>
      </c>
      <c r="H1328" s="2">
        <v>6823.44</v>
      </c>
      <c r="I1328" s="2">
        <v>184</v>
      </c>
      <c r="J1328" s="2">
        <v>46327.26</v>
      </c>
      <c r="K1328" s="4">
        <f t="shared" si="80"/>
        <v>3.6595926255945585E-2</v>
      </c>
      <c r="L1328" s="6">
        <f t="shared" si="81"/>
        <v>2.34</v>
      </c>
      <c r="M1328" s="6">
        <f t="shared" si="82"/>
        <v>37.083913043478262</v>
      </c>
      <c r="N1328" s="8">
        <f t="shared" si="83"/>
        <v>6.7894287925152126</v>
      </c>
    </row>
    <row r="1329" spans="1:14" x14ac:dyDescent="0.45">
      <c r="A1329" s="12">
        <v>45370</v>
      </c>
      <c r="B1329" s="2" t="s">
        <v>35</v>
      </c>
      <c r="C1329" s="2" t="s">
        <v>24</v>
      </c>
      <c r="D1329" s="2" t="s">
        <v>25</v>
      </c>
      <c r="E1329" s="2" t="s">
        <v>22</v>
      </c>
      <c r="F1329" s="2">
        <v>102148</v>
      </c>
      <c r="G1329" s="2">
        <v>1205</v>
      </c>
      <c r="H1329" s="2">
        <v>1578.55</v>
      </c>
      <c r="I1329" s="2">
        <v>59</v>
      </c>
      <c r="J1329" s="2">
        <v>17697.95</v>
      </c>
      <c r="K1329" s="4">
        <f t="shared" si="80"/>
        <v>1.1796608842072287E-2</v>
      </c>
      <c r="L1329" s="6">
        <f t="shared" si="81"/>
        <v>1.31</v>
      </c>
      <c r="M1329" s="6">
        <f t="shared" si="82"/>
        <v>26.755084745762712</v>
      </c>
      <c r="N1329" s="8">
        <f t="shared" si="83"/>
        <v>11.21152323334706</v>
      </c>
    </row>
    <row r="1330" spans="1:14" x14ac:dyDescent="0.45">
      <c r="A1330" s="12">
        <v>45470</v>
      </c>
      <c r="B1330" s="2" t="s">
        <v>35</v>
      </c>
      <c r="C1330" s="2" t="s">
        <v>16</v>
      </c>
      <c r="D1330" s="2" t="s">
        <v>17</v>
      </c>
      <c r="E1330" s="2" t="s">
        <v>22</v>
      </c>
      <c r="F1330" s="2">
        <v>115540</v>
      </c>
      <c r="G1330" s="2">
        <v>1686</v>
      </c>
      <c r="H1330" s="2">
        <v>2663.88</v>
      </c>
      <c r="I1330" s="2">
        <v>87</v>
      </c>
      <c r="J1330" s="2">
        <v>20354.07</v>
      </c>
      <c r="K1330" s="4">
        <f t="shared" si="80"/>
        <v>1.459234897005366E-2</v>
      </c>
      <c r="L1330" s="6">
        <f t="shared" si="81"/>
        <v>1.58</v>
      </c>
      <c r="M1330" s="6">
        <f t="shared" si="82"/>
        <v>30.619310344827589</v>
      </c>
      <c r="N1330" s="8">
        <f t="shared" si="83"/>
        <v>7.6407608450831113</v>
      </c>
    </row>
    <row r="1331" spans="1:14" x14ac:dyDescent="0.45">
      <c r="A1331" s="12">
        <v>45456</v>
      </c>
      <c r="B1331" s="2" t="s">
        <v>15</v>
      </c>
      <c r="C1331" s="2" t="s">
        <v>24</v>
      </c>
      <c r="D1331" s="2" t="s">
        <v>41</v>
      </c>
      <c r="E1331" s="2" t="s">
        <v>18</v>
      </c>
      <c r="F1331" s="2">
        <v>16766</v>
      </c>
      <c r="G1331" s="2">
        <v>846</v>
      </c>
      <c r="H1331" s="2">
        <v>2081.16</v>
      </c>
      <c r="I1331" s="2">
        <v>34</v>
      </c>
      <c r="J1331" s="2">
        <v>7254.65</v>
      </c>
      <c r="K1331" s="4">
        <f t="shared" si="80"/>
        <v>5.0459262793749252E-2</v>
      </c>
      <c r="L1331" s="6">
        <f t="shared" si="81"/>
        <v>2.46</v>
      </c>
      <c r="M1331" s="6">
        <f t="shared" si="82"/>
        <v>61.210588235294111</v>
      </c>
      <c r="N1331" s="8">
        <f t="shared" si="83"/>
        <v>3.4858684579753598</v>
      </c>
    </row>
    <row r="1332" spans="1:14" x14ac:dyDescent="0.45">
      <c r="A1332" s="12">
        <v>45329</v>
      </c>
      <c r="B1332" s="2" t="s">
        <v>15</v>
      </c>
      <c r="C1332" s="2" t="s">
        <v>38</v>
      </c>
      <c r="D1332" s="2" t="s">
        <v>41</v>
      </c>
      <c r="E1332" s="2" t="s">
        <v>30</v>
      </c>
      <c r="F1332" s="2">
        <v>96931</v>
      </c>
      <c r="G1332" s="2">
        <v>5844</v>
      </c>
      <c r="H1332" s="2">
        <v>6545.28</v>
      </c>
      <c r="I1332" s="2">
        <v>297</v>
      </c>
      <c r="J1332" s="2">
        <v>47765.4</v>
      </c>
      <c r="K1332" s="4">
        <f t="shared" si="80"/>
        <v>6.0290309601675418E-2</v>
      </c>
      <c r="L1332" s="6">
        <f t="shared" si="81"/>
        <v>1.1199999999999999</v>
      </c>
      <c r="M1332" s="6">
        <f t="shared" si="82"/>
        <v>22.037979797979798</v>
      </c>
      <c r="N1332" s="8">
        <f t="shared" si="83"/>
        <v>7.2976862716339106</v>
      </c>
    </row>
    <row r="1333" spans="1:14" x14ac:dyDescent="0.45">
      <c r="A1333" s="12">
        <v>45301</v>
      </c>
      <c r="B1333" s="2" t="s">
        <v>35</v>
      </c>
      <c r="C1333" s="2" t="s">
        <v>16</v>
      </c>
      <c r="D1333" s="2" t="s">
        <v>29</v>
      </c>
      <c r="E1333" s="2" t="s">
        <v>22</v>
      </c>
      <c r="F1333" s="2">
        <v>175574</v>
      </c>
      <c r="G1333" s="2">
        <v>6935</v>
      </c>
      <c r="H1333" s="2">
        <v>4785.1499999999996</v>
      </c>
      <c r="I1333" s="2">
        <v>515</v>
      </c>
      <c r="J1333" s="2">
        <v>69264.33</v>
      </c>
      <c r="K1333" s="4">
        <f t="shared" si="80"/>
        <v>3.9499014660485041E-2</v>
      </c>
      <c r="L1333" s="6">
        <f t="shared" si="81"/>
        <v>0.69</v>
      </c>
      <c r="M1333" s="6">
        <f t="shared" si="82"/>
        <v>9.2915533980582516</v>
      </c>
      <c r="N1333" s="8">
        <f t="shared" si="83"/>
        <v>14.474850318171846</v>
      </c>
    </row>
    <row r="1334" spans="1:14" x14ac:dyDescent="0.45">
      <c r="A1334" s="12">
        <v>45634</v>
      </c>
      <c r="B1334" s="2" t="s">
        <v>20</v>
      </c>
      <c r="C1334" s="2" t="s">
        <v>28</v>
      </c>
      <c r="D1334" s="2" t="s">
        <v>21</v>
      </c>
      <c r="E1334" s="2" t="s">
        <v>54</v>
      </c>
      <c r="F1334" s="2">
        <v>175330</v>
      </c>
      <c r="G1334" s="2">
        <v>8766</v>
      </c>
      <c r="H1334" s="2">
        <v>6399.18</v>
      </c>
      <c r="I1334" s="2">
        <v>302</v>
      </c>
      <c r="J1334" s="2">
        <v>35245.68</v>
      </c>
      <c r="K1334" s="4">
        <f t="shared" si="80"/>
        <v>4.9997148234757316E-2</v>
      </c>
      <c r="L1334" s="6">
        <f t="shared" si="81"/>
        <v>0.73</v>
      </c>
      <c r="M1334" s="6">
        <f t="shared" si="82"/>
        <v>21.189337748344371</v>
      </c>
      <c r="N1334" s="8">
        <f t="shared" si="83"/>
        <v>5.5078431924090276</v>
      </c>
    </row>
    <row r="1335" spans="1:14" x14ac:dyDescent="0.45">
      <c r="A1335" s="12">
        <v>45656</v>
      </c>
      <c r="B1335" s="2" t="s">
        <v>15</v>
      </c>
      <c r="C1335" s="2" t="s">
        <v>28</v>
      </c>
      <c r="D1335" s="2" t="s">
        <v>41</v>
      </c>
      <c r="E1335" s="2" t="s">
        <v>18</v>
      </c>
      <c r="F1335" s="2">
        <v>45225</v>
      </c>
      <c r="G1335" s="2">
        <v>2211</v>
      </c>
      <c r="H1335" s="2">
        <v>2012.01</v>
      </c>
      <c r="I1335" s="2">
        <v>156</v>
      </c>
      <c r="J1335" s="2">
        <v>38495.980000000003</v>
      </c>
      <c r="K1335" s="4">
        <f t="shared" si="80"/>
        <v>4.8888888888888891E-2</v>
      </c>
      <c r="L1335" s="6">
        <f t="shared" si="81"/>
        <v>0.91</v>
      </c>
      <c r="M1335" s="6">
        <f t="shared" si="82"/>
        <v>12.897499999999999</v>
      </c>
      <c r="N1335" s="8">
        <f t="shared" si="83"/>
        <v>19.133095759961432</v>
      </c>
    </row>
    <row r="1336" spans="1:14" x14ac:dyDescent="0.45">
      <c r="A1336" s="12">
        <v>45539</v>
      </c>
      <c r="B1336" s="2" t="s">
        <v>35</v>
      </c>
      <c r="C1336" s="2" t="s">
        <v>28</v>
      </c>
      <c r="D1336" s="2" t="s">
        <v>17</v>
      </c>
      <c r="E1336" s="2" t="s">
        <v>51</v>
      </c>
      <c r="F1336" s="2">
        <v>79992</v>
      </c>
      <c r="G1336" s="2">
        <v>1055</v>
      </c>
      <c r="H1336" s="2">
        <v>1603.6</v>
      </c>
      <c r="I1336" s="2">
        <v>21</v>
      </c>
      <c r="J1336" s="2">
        <v>4912.79</v>
      </c>
      <c r="K1336" s="4">
        <f t="shared" si="80"/>
        <v>1.3188818881888189E-2</v>
      </c>
      <c r="L1336" s="6">
        <f t="shared" si="81"/>
        <v>1.52</v>
      </c>
      <c r="M1336" s="6">
        <f t="shared" si="82"/>
        <v>76.361904761904754</v>
      </c>
      <c r="N1336" s="8">
        <f t="shared" si="83"/>
        <v>3.0636006485407834</v>
      </c>
    </row>
    <row r="1337" spans="1:14" x14ac:dyDescent="0.45">
      <c r="A1337" s="12">
        <v>45552</v>
      </c>
      <c r="B1337" s="2" t="s">
        <v>35</v>
      </c>
      <c r="C1337" s="2" t="s">
        <v>38</v>
      </c>
      <c r="D1337" s="2" t="s">
        <v>21</v>
      </c>
      <c r="E1337" s="2" t="s">
        <v>54</v>
      </c>
      <c r="F1337" s="2">
        <v>23113</v>
      </c>
      <c r="G1337" s="2">
        <v>228</v>
      </c>
      <c r="H1337" s="2">
        <v>136.80000000000001</v>
      </c>
      <c r="I1337" s="2">
        <v>17</v>
      </c>
      <c r="J1337" s="2">
        <v>2097.34</v>
      </c>
      <c r="K1337" s="4">
        <f t="shared" si="80"/>
        <v>9.8645783758058228E-3</v>
      </c>
      <c r="L1337" s="6">
        <f t="shared" si="81"/>
        <v>0.60000000000000009</v>
      </c>
      <c r="M1337" s="6">
        <f t="shared" si="82"/>
        <v>8.0470588235294116</v>
      </c>
      <c r="N1337" s="8">
        <f t="shared" si="83"/>
        <v>15.331432748538012</v>
      </c>
    </row>
    <row r="1338" spans="1:14" x14ac:dyDescent="0.45">
      <c r="A1338" s="12">
        <v>45504</v>
      </c>
      <c r="B1338" s="2" t="s">
        <v>35</v>
      </c>
      <c r="C1338" s="2" t="s">
        <v>16</v>
      </c>
      <c r="D1338" s="2" t="s">
        <v>21</v>
      </c>
      <c r="E1338" s="2" t="s">
        <v>30</v>
      </c>
      <c r="F1338" s="2">
        <v>39754</v>
      </c>
      <c r="G1338" s="2">
        <v>1164</v>
      </c>
      <c r="H1338" s="2">
        <v>1571.4</v>
      </c>
      <c r="I1338" s="2">
        <v>72</v>
      </c>
      <c r="J1338" s="2">
        <v>9221.61</v>
      </c>
      <c r="K1338" s="4">
        <f t="shared" si="80"/>
        <v>2.9280072445540071E-2</v>
      </c>
      <c r="L1338" s="6">
        <f t="shared" si="81"/>
        <v>1.35</v>
      </c>
      <c r="M1338" s="6">
        <f t="shared" si="82"/>
        <v>21.825000000000003</v>
      </c>
      <c r="N1338" s="8">
        <f t="shared" si="83"/>
        <v>5.8684039709812907</v>
      </c>
    </row>
    <row r="1339" spans="1:14" x14ac:dyDescent="0.45">
      <c r="A1339" s="12">
        <v>45520</v>
      </c>
      <c r="B1339" s="2" t="s">
        <v>15</v>
      </c>
      <c r="C1339" s="2" t="s">
        <v>28</v>
      </c>
      <c r="D1339" s="2" t="s">
        <v>29</v>
      </c>
      <c r="E1339" s="2" t="s">
        <v>18</v>
      </c>
      <c r="F1339" s="2">
        <v>89383</v>
      </c>
      <c r="G1339" s="2">
        <v>5631</v>
      </c>
      <c r="H1339" s="2">
        <v>20665.77</v>
      </c>
      <c r="I1339" s="2">
        <v>163</v>
      </c>
      <c r="J1339" s="2">
        <v>35918.239999999998</v>
      </c>
      <c r="K1339" s="4">
        <f t="shared" si="80"/>
        <v>6.299855677254064E-2</v>
      </c>
      <c r="L1339" s="6">
        <f t="shared" si="81"/>
        <v>3.67</v>
      </c>
      <c r="M1339" s="6">
        <f t="shared" si="82"/>
        <v>126.78386503067485</v>
      </c>
      <c r="N1339" s="8">
        <f t="shared" si="83"/>
        <v>1.7380547639889536</v>
      </c>
    </row>
    <row r="1340" spans="1:14" x14ac:dyDescent="0.45">
      <c r="A1340" s="12">
        <v>45330</v>
      </c>
      <c r="B1340" s="2" t="s">
        <v>20</v>
      </c>
      <c r="C1340" s="2" t="s">
        <v>16</v>
      </c>
      <c r="D1340" s="2" t="s">
        <v>21</v>
      </c>
      <c r="E1340" s="2" t="s">
        <v>26</v>
      </c>
      <c r="F1340" s="2">
        <v>128900</v>
      </c>
      <c r="G1340" s="2">
        <v>10273</v>
      </c>
      <c r="H1340" s="2">
        <v>8629.32</v>
      </c>
      <c r="I1340" s="2">
        <v>238</v>
      </c>
      <c r="J1340" s="2">
        <v>11417.91</v>
      </c>
      <c r="K1340" s="4">
        <f t="shared" si="80"/>
        <v>7.9697439875872772E-2</v>
      </c>
      <c r="L1340" s="6">
        <f t="shared" si="81"/>
        <v>0.84</v>
      </c>
      <c r="M1340" s="6">
        <f t="shared" si="82"/>
        <v>36.25764705882353</v>
      </c>
      <c r="N1340" s="8">
        <f t="shared" si="83"/>
        <v>1.3231529251435803</v>
      </c>
    </row>
    <row r="1341" spans="1:14" x14ac:dyDescent="0.45">
      <c r="A1341" s="12">
        <v>45522</v>
      </c>
      <c r="B1341" s="2" t="s">
        <v>15</v>
      </c>
      <c r="C1341" s="2" t="s">
        <v>38</v>
      </c>
      <c r="D1341" s="2" t="s">
        <v>21</v>
      </c>
      <c r="E1341" s="2" t="s">
        <v>33</v>
      </c>
      <c r="F1341" s="2">
        <v>179159</v>
      </c>
      <c r="G1341" s="2">
        <v>6593</v>
      </c>
      <c r="H1341" s="2">
        <v>14702.39</v>
      </c>
      <c r="I1341" s="2">
        <v>459</v>
      </c>
      <c r="J1341" s="2">
        <v>76527.740000000005</v>
      </c>
      <c r="K1341" s="4">
        <f t="shared" si="80"/>
        <v>3.6799714220329426E-2</v>
      </c>
      <c r="L1341" s="6">
        <f t="shared" si="81"/>
        <v>2.23</v>
      </c>
      <c r="M1341" s="6">
        <f t="shared" si="82"/>
        <v>32.031350762527232</v>
      </c>
      <c r="N1341" s="8">
        <f t="shared" si="83"/>
        <v>5.2051224324752647</v>
      </c>
    </row>
    <row r="1342" spans="1:14" x14ac:dyDescent="0.45">
      <c r="A1342" s="12">
        <v>45381</v>
      </c>
      <c r="B1342" s="2" t="s">
        <v>20</v>
      </c>
      <c r="C1342" s="2" t="s">
        <v>38</v>
      </c>
      <c r="D1342" s="2" t="s">
        <v>29</v>
      </c>
      <c r="E1342" s="2" t="s">
        <v>51</v>
      </c>
      <c r="F1342" s="2">
        <v>15739</v>
      </c>
      <c r="G1342" s="2">
        <v>1205</v>
      </c>
      <c r="H1342" s="2">
        <v>554.29999999999995</v>
      </c>
      <c r="I1342" s="2">
        <v>60</v>
      </c>
      <c r="J1342" s="2">
        <v>6092.69</v>
      </c>
      <c r="K1342" s="4">
        <f t="shared" si="80"/>
        <v>7.6561407967469339E-2</v>
      </c>
      <c r="L1342" s="6">
        <f t="shared" si="81"/>
        <v>0.45999999999999996</v>
      </c>
      <c r="M1342" s="6">
        <f t="shared" si="82"/>
        <v>9.2383333333333333</v>
      </c>
      <c r="N1342" s="8">
        <f t="shared" si="83"/>
        <v>10.991683204041133</v>
      </c>
    </row>
    <row r="1343" spans="1:14" x14ac:dyDescent="0.45">
      <c r="A1343" s="12">
        <v>45371</v>
      </c>
      <c r="B1343" s="2" t="s">
        <v>35</v>
      </c>
      <c r="C1343" s="2" t="s">
        <v>28</v>
      </c>
      <c r="D1343" s="2" t="s">
        <v>17</v>
      </c>
      <c r="E1343" s="2" t="s">
        <v>54</v>
      </c>
      <c r="F1343" s="2">
        <v>25243</v>
      </c>
      <c r="G1343" s="2">
        <v>580</v>
      </c>
      <c r="H1343" s="2">
        <v>1148.4000000000001</v>
      </c>
      <c r="I1343" s="2">
        <v>13</v>
      </c>
      <c r="J1343" s="2">
        <v>3883.09</v>
      </c>
      <c r="K1343" s="4">
        <f t="shared" si="80"/>
        <v>2.2976666798716475E-2</v>
      </c>
      <c r="L1343" s="6">
        <f t="shared" si="81"/>
        <v>1.9800000000000002</v>
      </c>
      <c r="M1343" s="6">
        <f t="shared" si="82"/>
        <v>88.338461538461544</v>
      </c>
      <c r="N1343" s="8">
        <f t="shared" si="83"/>
        <v>3.3813044235458025</v>
      </c>
    </row>
    <row r="1344" spans="1:14" x14ac:dyDescent="0.45">
      <c r="A1344" s="12">
        <v>45450</v>
      </c>
      <c r="B1344" s="2" t="s">
        <v>20</v>
      </c>
      <c r="C1344" s="2" t="s">
        <v>24</v>
      </c>
      <c r="D1344" s="2" t="s">
        <v>17</v>
      </c>
      <c r="E1344" s="2" t="s">
        <v>33</v>
      </c>
      <c r="F1344" s="2">
        <v>196745</v>
      </c>
      <c r="G1344" s="2">
        <v>13240</v>
      </c>
      <c r="H1344" s="2">
        <v>21581.200000000001</v>
      </c>
      <c r="I1344" s="2">
        <v>761</v>
      </c>
      <c r="J1344" s="2">
        <v>195233.42</v>
      </c>
      <c r="K1344" s="4">
        <f t="shared" si="80"/>
        <v>6.7295229866070297E-2</v>
      </c>
      <c r="L1344" s="6">
        <f t="shared" si="81"/>
        <v>1.6300000000000001</v>
      </c>
      <c r="M1344" s="6">
        <f t="shared" si="82"/>
        <v>28.359001314060446</v>
      </c>
      <c r="N1344" s="8">
        <f t="shared" si="83"/>
        <v>9.0464580282838778</v>
      </c>
    </row>
    <row r="1345" spans="1:14" x14ac:dyDescent="0.45">
      <c r="A1345" s="12">
        <v>45618</v>
      </c>
      <c r="B1345" s="2" t="s">
        <v>35</v>
      </c>
      <c r="C1345" s="2" t="s">
        <v>16</v>
      </c>
      <c r="D1345" s="2" t="s">
        <v>41</v>
      </c>
      <c r="E1345" s="2" t="s">
        <v>30</v>
      </c>
      <c r="F1345" s="2">
        <v>23186</v>
      </c>
      <c r="G1345" s="2">
        <v>512</v>
      </c>
      <c r="H1345" s="2">
        <v>1080.32</v>
      </c>
      <c r="I1345" s="2">
        <v>26</v>
      </c>
      <c r="J1345" s="2">
        <v>2663.68</v>
      </c>
      <c r="K1345" s="4">
        <f t="shared" si="80"/>
        <v>2.208229103769516E-2</v>
      </c>
      <c r="L1345" s="6">
        <f t="shared" si="81"/>
        <v>2.11</v>
      </c>
      <c r="M1345" s="6">
        <f t="shared" si="82"/>
        <v>41.550769230769227</v>
      </c>
      <c r="N1345" s="8">
        <f t="shared" si="83"/>
        <v>2.4656398104265405</v>
      </c>
    </row>
    <row r="1346" spans="1:14" x14ac:dyDescent="0.45">
      <c r="A1346" s="12">
        <v>45591</v>
      </c>
      <c r="B1346" s="2" t="s">
        <v>15</v>
      </c>
      <c r="C1346" s="2" t="s">
        <v>28</v>
      </c>
      <c r="D1346" s="2" t="s">
        <v>29</v>
      </c>
      <c r="E1346" s="2" t="s">
        <v>26</v>
      </c>
      <c r="F1346" s="2">
        <v>189480</v>
      </c>
      <c r="G1346" s="2">
        <v>6290</v>
      </c>
      <c r="H1346" s="2">
        <v>22329.5</v>
      </c>
      <c r="I1346" s="2">
        <v>204</v>
      </c>
      <c r="J1346" s="2">
        <v>44620.04</v>
      </c>
      <c r="K1346" s="4">
        <f t="shared" si="80"/>
        <v>3.3196115685032723E-2</v>
      </c>
      <c r="L1346" s="6">
        <f t="shared" si="81"/>
        <v>3.55</v>
      </c>
      <c r="M1346" s="6">
        <f t="shared" si="82"/>
        <v>109.45833333333333</v>
      </c>
      <c r="N1346" s="8">
        <f t="shared" si="83"/>
        <v>1.9982552229113952</v>
      </c>
    </row>
    <row r="1347" spans="1:14" x14ac:dyDescent="0.45">
      <c r="A1347" s="12">
        <v>45607</v>
      </c>
      <c r="B1347" s="2" t="s">
        <v>35</v>
      </c>
      <c r="C1347" s="2" t="s">
        <v>24</v>
      </c>
      <c r="D1347" s="2" t="s">
        <v>17</v>
      </c>
      <c r="E1347" s="2" t="s">
        <v>22</v>
      </c>
      <c r="F1347" s="2">
        <v>112518</v>
      </c>
      <c r="G1347" s="2">
        <v>1597</v>
      </c>
      <c r="H1347" s="2">
        <v>1724.76</v>
      </c>
      <c r="I1347" s="2">
        <v>105</v>
      </c>
      <c r="J1347" s="2">
        <v>25379.08</v>
      </c>
      <c r="K1347" s="4">
        <f t="shared" ref="K1347:K1410" si="84" xml:space="preserve"> G1347 / F1347</f>
        <v>1.4193284630014753E-2</v>
      </c>
      <c r="L1347" s="6">
        <f t="shared" ref="L1347:L1410" si="85">H1347/G1347</f>
        <v>1.08</v>
      </c>
      <c r="M1347" s="6">
        <f t="shared" ref="M1347:M1410" si="86">H1347/I1347</f>
        <v>16.426285714285715</v>
      </c>
      <c r="N1347" s="8">
        <f t="shared" ref="N1347:N1410" si="87">J1347/H1347</f>
        <v>14.714557387694521</v>
      </c>
    </row>
    <row r="1348" spans="1:14" x14ac:dyDescent="0.45">
      <c r="A1348" s="12">
        <v>45516</v>
      </c>
      <c r="B1348" s="2" t="s">
        <v>15</v>
      </c>
      <c r="C1348" s="2" t="s">
        <v>24</v>
      </c>
      <c r="D1348" s="2" t="s">
        <v>41</v>
      </c>
      <c r="E1348" s="2" t="s">
        <v>26</v>
      </c>
      <c r="F1348" s="2">
        <v>116789</v>
      </c>
      <c r="G1348" s="2">
        <v>6586</v>
      </c>
      <c r="H1348" s="2">
        <v>17716.34</v>
      </c>
      <c r="I1348" s="2">
        <v>220</v>
      </c>
      <c r="J1348" s="2">
        <v>34309.56</v>
      </c>
      <c r="K1348" s="4">
        <f t="shared" si="84"/>
        <v>5.639229721977241E-2</v>
      </c>
      <c r="L1348" s="6">
        <f t="shared" si="85"/>
        <v>2.69</v>
      </c>
      <c r="M1348" s="6">
        <f t="shared" si="86"/>
        <v>80.528818181818181</v>
      </c>
      <c r="N1348" s="8">
        <f t="shared" si="87"/>
        <v>1.9366054162428581</v>
      </c>
    </row>
    <row r="1349" spans="1:14" x14ac:dyDescent="0.45">
      <c r="A1349" s="12">
        <v>45408</v>
      </c>
      <c r="B1349" s="2" t="s">
        <v>20</v>
      </c>
      <c r="C1349" s="2" t="s">
        <v>16</v>
      </c>
      <c r="D1349" s="2" t="s">
        <v>29</v>
      </c>
      <c r="E1349" s="2" t="s">
        <v>30</v>
      </c>
      <c r="F1349" s="2">
        <v>42575</v>
      </c>
      <c r="G1349" s="2">
        <v>2188</v>
      </c>
      <c r="H1349" s="2">
        <v>3938.4</v>
      </c>
      <c r="I1349" s="2">
        <v>63</v>
      </c>
      <c r="J1349" s="2">
        <v>13519.27</v>
      </c>
      <c r="K1349" s="4">
        <f t="shared" si="84"/>
        <v>5.139166177334116E-2</v>
      </c>
      <c r="L1349" s="6">
        <f t="shared" si="85"/>
        <v>1.8</v>
      </c>
      <c r="M1349" s="6">
        <f t="shared" si="86"/>
        <v>62.514285714285712</v>
      </c>
      <c r="N1349" s="8">
        <f t="shared" si="87"/>
        <v>3.4326807840747513</v>
      </c>
    </row>
    <row r="1350" spans="1:14" x14ac:dyDescent="0.45">
      <c r="A1350" s="12">
        <v>45496</v>
      </c>
      <c r="B1350" s="2" t="s">
        <v>20</v>
      </c>
      <c r="C1350" s="2" t="s">
        <v>24</v>
      </c>
      <c r="D1350" s="2" t="s">
        <v>17</v>
      </c>
      <c r="E1350" s="2" t="s">
        <v>33</v>
      </c>
      <c r="F1350" s="2">
        <v>51557</v>
      </c>
      <c r="G1350" s="2">
        <v>2882</v>
      </c>
      <c r="H1350" s="2">
        <v>3602.5</v>
      </c>
      <c r="I1350" s="2">
        <v>135</v>
      </c>
      <c r="J1350" s="2">
        <v>6028.08</v>
      </c>
      <c r="K1350" s="4">
        <f t="shared" si="84"/>
        <v>5.5899295924898659E-2</v>
      </c>
      <c r="L1350" s="6">
        <f t="shared" si="85"/>
        <v>1.25</v>
      </c>
      <c r="M1350" s="6">
        <f t="shared" si="86"/>
        <v>26.685185185185187</v>
      </c>
      <c r="N1350" s="8">
        <f t="shared" si="87"/>
        <v>1.6733046495489243</v>
      </c>
    </row>
    <row r="1351" spans="1:14" x14ac:dyDescent="0.45">
      <c r="A1351" s="12">
        <v>45297</v>
      </c>
      <c r="B1351" s="2" t="s">
        <v>35</v>
      </c>
      <c r="C1351" s="2" t="s">
        <v>24</v>
      </c>
      <c r="D1351" s="2" t="s">
        <v>25</v>
      </c>
      <c r="E1351" s="2" t="s">
        <v>54</v>
      </c>
      <c r="F1351" s="2">
        <v>131681</v>
      </c>
      <c r="G1351" s="2">
        <v>1725</v>
      </c>
      <c r="H1351" s="2">
        <v>1362.75</v>
      </c>
      <c r="I1351" s="2">
        <v>108</v>
      </c>
      <c r="J1351" s="2">
        <v>31291.1</v>
      </c>
      <c r="K1351" s="4">
        <f t="shared" si="84"/>
        <v>1.3099839764278825E-2</v>
      </c>
      <c r="L1351" s="6">
        <f t="shared" si="85"/>
        <v>0.79</v>
      </c>
      <c r="M1351" s="6">
        <f t="shared" si="86"/>
        <v>12.618055555555555</v>
      </c>
      <c r="N1351" s="8">
        <f t="shared" si="87"/>
        <v>22.96173179233168</v>
      </c>
    </row>
    <row r="1352" spans="1:14" x14ac:dyDescent="0.45">
      <c r="A1352" s="12">
        <v>45423</v>
      </c>
      <c r="B1352" s="2" t="s">
        <v>15</v>
      </c>
      <c r="C1352" s="2" t="s">
        <v>16</v>
      </c>
      <c r="D1352" s="2" t="s">
        <v>29</v>
      </c>
      <c r="E1352" s="2" t="s">
        <v>33</v>
      </c>
      <c r="F1352" s="2">
        <v>89833</v>
      </c>
      <c r="G1352" s="2">
        <v>4536</v>
      </c>
      <c r="H1352" s="2">
        <v>16964.64</v>
      </c>
      <c r="I1352" s="2">
        <v>166</v>
      </c>
      <c r="J1352" s="2">
        <v>42497.440000000002</v>
      </c>
      <c r="K1352" s="4">
        <f t="shared" si="84"/>
        <v>5.0493693854151589E-2</v>
      </c>
      <c r="L1352" s="6">
        <f t="shared" si="85"/>
        <v>3.7399999999999998</v>
      </c>
      <c r="M1352" s="6">
        <f t="shared" si="86"/>
        <v>102.19662650602409</v>
      </c>
      <c r="N1352" s="8">
        <f t="shared" si="87"/>
        <v>2.5050599364324855</v>
      </c>
    </row>
    <row r="1353" spans="1:14" x14ac:dyDescent="0.45">
      <c r="A1353" s="12">
        <v>45635</v>
      </c>
      <c r="B1353" s="2" t="s">
        <v>35</v>
      </c>
      <c r="C1353" s="2" t="s">
        <v>28</v>
      </c>
      <c r="D1353" s="2" t="s">
        <v>17</v>
      </c>
      <c r="E1353" s="2" t="s">
        <v>26</v>
      </c>
      <c r="F1353" s="2">
        <v>116161</v>
      </c>
      <c r="G1353" s="2">
        <v>4379</v>
      </c>
      <c r="H1353" s="2">
        <v>7750.83</v>
      </c>
      <c r="I1353" s="2">
        <v>264</v>
      </c>
      <c r="J1353" s="2">
        <v>18090.29</v>
      </c>
      <c r="K1353" s="4">
        <f t="shared" si="84"/>
        <v>3.7697678222467092E-2</v>
      </c>
      <c r="L1353" s="6">
        <f t="shared" si="85"/>
        <v>1.77</v>
      </c>
      <c r="M1353" s="6">
        <f t="shared" si="86"/>
        <v>29.359204545454546</v>
      </c>
      <c r="N1353" s="8">
        <f t="shared" si="87"/>
        <v>2.3339810059051742</v>
      </c>
    </row>
    <row r="1354" spans="1:14" x14ac:dyDescent="0.45">
      <c r="A1354" s="12">
        <v>45300</v>
      </c>
      <c r="B1354" s="2" t="s">
        <v>15</v>
      </c>
      <c r="C1354" s="2" t="s">
        <v>16</v>
      </c>
      <c r="D1354" s="2" t="s">
        <v>29</v>
      </c>
      <c r="E1354" s="2" t="s">
        <v>54</v>
      </c>
      <c r="F1354" s="2">
        <v>53544</v>
      </c>
      <c r="G1354" s="2">
        <v>1670</v>
      </c>
      <c r="H1354" s="2">
        <v>2354.6999999999998</v>
      </c>
      <c r="I1354" s="2">
        <v>20</v>
      </c>
      <c r="J1354" s="2">
        <v>4659.21</v>
      </c>
      <c r="K1354" s="4">
        <f t="shared" si="84"/>
        <v>3.1189302256088451E-2</v>
      </c>
      <c r="L1354" s="6">
        <f t="shared" si="85"/>
        <v>1.41</v>
      </c>
      <c r="M1354" s="6">
        <f t="shared" si="86"/>
        <v>117.73499999999999</v>
      </c>
      <c r="N1354" s="8">
        <f t="shared" si="87"/>
        <v>1.9786851828258378</v>
      </c>
    </row>
    <row r="1355" spans="1:14" x14ac:dyDescent="0.45">
      <c r="A1355" s="12">
        <v>45639</v>
      </c>
      <c r="B1355" s="2" t="s">
        <v>35</v>
      </c>
      <c r="C1355" s="2" t="s">
        <v>28</v>
      </c>
      <c r="D1355" s="2" t="s">
        <v>17</v>
      </c>
      <c r="E1355" s="2" t="s">
        <v>33</v>
      </c>
      <c r="F1355" s="2">
        <v>107126</v>
      </c>
      <c r="G1355" s="2">
        <v>3631</v>
      </c>
      <c r="H1355" s="2">
        <v>3921.48</v>
      </c>
      <c r="I1355" s="2">
        <v>260</v>
      </c>
      <c r="J1355" s="2">
        <v>19151.86</v>
      </c>
      <c r="K1355" s="4">
        <f t="shared" si="84"/>
        <v>3.3894666094132143E-2</v>
      </c>
      <c r="L1355" s="6">
        <f t="shared" si="85"/>
        <v>1.08</v>
      </c>
      <c r="M1355" s="6">
        <f t="shared" si="86"/>
        <v>15.082615384615385</v>
      </c>
      <c r="N1355" s="8">
        <f t="shared" si="87"/>
        <v>4.8838346746636478</v>
      </c>
    </row>
    <row r="1356" spans="1:14" x14ac:dyDescent="0.45">
      <c r="A1356" s="12">
        <v>45594</v>
      </c>
      <c r="B1356" s="2" t="s">
        <v>15</v>
      </c>
      <c r="C1356" s="2" t="s">
        <v>28</v>
      </c>
      <c r="D1356" s="2" t="s">
        <v>21</v>
      </c>
      <c r="E1356" s="2" t="s">
        <v>26</v>
      </c>
      <c r="F1356" s="2">
        <v>182395</v>
      </c>
      <c r="G1356" s="2">
        <v>8517</v>
      </c>
      <c r="H1356" s="2">
        <v>29383.65</v>
      </c>
      <c r="I1356" s="2">
        <v>517</v>
      </c>
      <c r="J1356" s="2">
        <v>27133.78</v>
      </c>
      <c r="K1356" s="4">
        <f t="shared" si="84"/>
        <v>4.6695358973656079E-2</v>
      </c>
      <c r="L1356" s="6">
        <f t="shared" si="85"/>
        <v>3.45</v>
      </c>
      <c r="M1356" s="6">
        <f t="shared" si="86"/>
        <v>56.83491295938105</v>
      </c>
      <c r="N1356" s="8">
        <f t="shared" si="87"/>
        <v>0.92343122791075982</v>
      </c>
    </row>
    <row r="1357" spans="1:14" x14ac:dyDescent="0.45">
      <c r="A1357" s="12">
        <v>45580</v>
      </c>
      <c r="B1357" s="2" t="s">
        <v>35</v>
      </c>
      <c r="C1357" s="2" t="s">
        <v>24</v>
      </c>
      <c r="D1357" s="2" t="s">
        <v>29</v>
      </c>
      <c r="E1357" s="2" t="s">
        <v>26</v>
      </c>
      <c r="F1357" s="2">
        <v>39253</v>
      </c>
      <c r="G1357" s="2">
        <v>1122</v>
      </c>
      <c r="H1357" s="2">
        <v>1402.5</v>
      </c>
      <c r="I1357" s="2">
        <v>81</v>
      </c>
      <c r="J1357" s="2">
        <v>15452.61</v>
      </c>
      <c r="K1357" s="4">
        <f t="shared" si="84"/>
        <v>2.8583802511909919E-2</v>
      </c>
      <c r="L1357" s="6">
        <f t="shared" si="85"/>
        <v>1.25</v>
      </c>
      <c r="M1357" s="6">
        <f t="shared" si="86"/>
        <v>17.314814814814813</v>
      </c>
      <c r="N1357" s="8">
        <f t="shared" si="87"/>
        <v>11.017903743315509</v>
      </c>
    </row>
    <row r="1358" spans="1:14" x14ac:dyDescent="0.45">
      <c r="A1358" s="12">
        <v>45348</v>
      </c>
      <c r="B1358" s="2" t="s">
        <v>20</v>
      </c>
      <c r="C1358" s="2" t="s">
        <v>16</v>
      </c>
      <c r="D1358" s="2" t="s">
        <v>41</v>
      </c>
      <c r="E1358" s="2" t="s">
        <v>33</v>
      </c>
      <c r="F1358" s="2">
        <v>109794</v>
      </c>
      <c r="G1358" s="2">
        <v>3886</v>
      </c>
      <c r="H1358" s="2">
        <v>6256.46</v>
      </c>
      <c r="I1358" s="2">
        <v>73</v>
      </c>
      <c r="J1358" s="2">
        <v>9808.76</v>
      </c>
      <c r="K1358" s="4">
        <f t="shared" si="84"/>
        <v>3.5393555203380875E-2</v>
      </c>
      <c r="L1358" s="6">
        <f t="shared" si="85"/>
        <v>1.61</v>
      </c>
      <c r="M1358" s="6">
        <f t="shared" si="86"/>
        <v>85.70493150684932</v>
      </c>
      <c r="N1358" s="8">
        <f t="shared" si="87"/>
        <v>1.5677811414122362</v>
      </c>
    </row>
    <row r="1359" spans="1:14" x14ac:dyDescent="0.45">
      <c r="A1359" s="12">
        <v>45605</v>
      </c>
      <c r="B1359" s="2" t="s">
        <v>15</v>
      </c>
      <c r="C1359" s="2" t="s">
        <v>24</v>
      </c>
      <c r="D1359" s="2" t="s">
        <v>41</v>
      </c>
      <c r="E1359" s="2" t="s">
        <v>18</v>
      </c>
      <c r="F1359" s="2">
        <v>27612</v>
      </c>
      <c r="G1359" s="2">
        <v>963</v>
      </c>
      <c r="H1359" s="2">
        <v>3177.9</v>
      </c>
      <c r="I1359" s="2">
        <v>75</v>
      </c>
      <c r="J1359" s="2">
        <v>12575.02</v>
      </c>
      <c r="K1359" s="4">
        <f t="shared" si="84"/>
        <v>3.4876140808344197E-2</v>
      </c>
      <c r="L1359" s="6">
        <f t="shared" si="85"/>
        <v>3.3000000000000003</v>
      </c>
      <c r="M1359" s="6">
        <f t="shared" si="86"/>
        <v>42.372</v>
      </c>
      <c r="N1359" s="8">
        <f t="shared" si="87"/>
        <v>3.9570219327228675</v>
      </c>
    </row>
    <row r="1360" spans="1:14" x14ac:dyDescent="0.45">
      <c r="A1360" s="12">
        <v>45578</v>
      </c>
      <c r="B1360" s="2" t="s">
        <v>35</v>
      </c>
      <c r="C1360" s="2" t="s">
        <v>16</v>
      </c>
      <c r="D1360" s="2" t="s">
        <v>41</v>
      </c>
      <c r="E1360" s="2" t="s">
        <v>51</v>
      </c>
      <c r="F1360" s="2">
        <v>61994</v>
      </c>
      <c r="G1360" s="2">
        <v>1847</v>
      </c>
      <c r="H1360" s="2">
        <v>1477.6</v>
      </c>
      <c r="I1360" s="2">
        <v>147</v>
      </c>
      <c r="J1360" s="2">
        <v>5622.21</v>
      </c>
      <c r="K1360" s="4">
        <f t="shared" si="84"/>
        <v>2.9793205794109108E-2</v>
      </c>
      <c r="L1360" s="6">
        <f t="shared" si="85"/>
        <v>0.79999999999999993</v>
      </c>
      <c r="M1360" s="6">
        <f t="shared" si="86"/>
        <v>10.051700680272107</v>
      </c>
      <c r="N1360" s="8">
        <f t="shared" si="87"/>
        <v>3.8049607471575531</v>
      </c>
    </row>
    <row r="1361" spans="1:14" x14ac:dyDescent="0.45">
      <c r="A1361" s="12">
        <v>45570</v>
      </c>
      <c r="B1361" s="2" t="s">
        <v>15</v>
      </c>
      <c r="C1361" s="2" t="s">
        <v>16</v>
      </c>
      <c r="D1361" s="2" t="s">
        <v>41</v>
      </c>
      <c r="E1361" s="2" t="s">
        <v>18</v>
      </c>
      <c r="F1361" s="2">
        <v>48953</v>
      </c>
      <c r="G1361" s="2">
        <v>2447</v>
      </c>
      <c r="H1361" s="2">
        <v>2716.17</v>
      </c>
      <c r="I1361" s="2">
        <v>144</v>
      </c>
      <c r="J1361" s="2">
        <v>17526.62</v>
      </c>
      <c r="K1361" s="4">
        <f t="shared" si="84"/>
        <v>4.9986721957796257E-2</v>
      </c>
      <c r="L1361" s="6">
        <f t="shared" si="85"/>
        <v>1.1100000000000001</v>
      </c>
      <c r="M1361" s="6">
        <f t="shared" si="86"/>
        <v>18.862291666666668</v>
      </c>
      <c r="N1361" s="8">
        <f t="shared" si="87"/>
        <v>6.4526962598070075</v>
      </c>
    </row>
    <row r="1362" spans="1:14" x14ac:dyDescent="0.45">
      <c r="A1362" s="12">
        <v>45400</v>
      </c>
      <c r="B1362" s="2" t="s">
        <v>15</v>
      </c>
      <c r="C1362" s="2" t="s">
        <v>16</v>
      </c>
      <c r="D1362" s="2" t="s">
        <v>41</v>
      </c>
      <c r="E1362" s="2" t="s">
        <v>30</v>
      </c>
      <c r="F1362" s="2">
        <v>13484</v>
      </c>
      <c r="G1362" s="2">
        <v>382</v>
      </c>
      <c r="H1362" s="2">
        <v>511.88</v>
      </c>
      <c r="I1362" s="2">
        <v>23</v>
      </c>
      <c r="J1362" s="2">
        <v>1623.76</v>
      </c>
      <c r="K1362" s="4">
        <f t="shared" si="84"/>
        <v>2.8329872441412045E-2</v>
      </c>
      <c r="L1362" s="6">
        <f t="shared" si="85"/>
        <v>1.34</v>
      </c>
      <c r="M1362" s="6">
        <f t="shared" si="86"/>
        <v>22.255652173913042</v>
      </c>
      <c r="N1362" s="8">
        <f t="shared" si="87"/>
        <v>3.1721497225912323</v>
      </c>
    </row>
    <row r="1363" spans="1:14" x14ac:dyDescent="0.45">
      <c r="A1363" s="12">
        <v>45612</v>
      </c>
      <c r="B1363" s="2" t="s">
        <v>20</v>
      </c>
      <c r="C1363" s="2" t="s">
        <v>38</v>
      </c>
      <c r="D1363" s="2" t="s">
        <v>21</v>
      </c>
      <c r="E1363" s="2" t="s">
        <v>22</v>
      </c>
      <c r="F1363" s="2">
        <v>13255</v>
      </c>
      <c r="G1363" s="2">
        <v>709</v>
      </c>
      <c r="H1363" s="2">
        <v>935.88</v>
      </c>
      <c r="I1363" s="2">
        <v>37</v>
      </c>
      <c r="J1363" s="2">
        <v>11059.11</v>
      </c>
      <c r="K1363" s="4">
        <f t="shared" si="84"/>
        <v>5.3489249339871744E-2</v>
      </c>
      <c r="L1363" s="6">
        <f t="shared" si="85"/>
        <v>1.32</v>
      </c>
      <c r="M1363" s="6">
        <f t="shared" si="86"/>
        <v>25.294054054054055</v>
      </c>
      <c r="N1363" s="8">
        <f t="shared" si="87"/>
        <v>11.816803436337993</v>
      </c>
    </row>
    <row r="1364" spans="1:14" x14ac:dyDescent="0.45">
      <c r="A1364" s="12">
        <v>45604</v>
      </c>
      <c r="B1364" s="2" t="s">
        <v>35</v>
      </c>
      <c r="C1364" s="2" t="s">
        <v>24</v>
      </c>
      <c r="D1364" s="2" t="s">
        <v>21</v>
      </c>
      <c r="E1364" s="2" t="s">
        <v>54</v>
      </c>
      <c r="F1364" s="2">
        <v>162889</v>
      </c>
      <c r="G1364" s="2">
        <v>4658</v>
      </c>
      <c r="H1364" s="2">
        <v>5170.38</v>
      </c>
      <c r="I1364" s="2">
        <v>332</v>
      </c>
      <c r="J1364" s="2">
        <v>57094.6</v>
      </c>
      <c r="K1364" s="4">
        <f t="shared" si="84"/>
        <v>2.85961605756067E-2</v>
      </c>
      <c r="L1364" s="6">
        <f t="shared" si="85"/>
        <v>1.1100000000000001</v>
      </c>
      <c r="M1364" s="6">
        <f t="shared" si="86"/>
        <v>15.57343373493976</v>
      </c>
      <c r="N1364" s="8">
        <f t="shared" si="87"/>
        <v>11.042631295958904</v>
      </c>
    </row>
    <row r="1365" spans="1:14" x14ac:dyDescent="0.45">
      <c r="A1365" s="12">
        <v>45593</v>
      </c>
      <c r="B1365" s="2" t="s">
        <v>20</v>
      </c>
      <c r="C1365" s="2" t="s">
        <v>28</v>
      </c>
      <c r="D1365" s="2" t="s">
        <v>25</v>
      </c>
      <c r="E1365" s="2" t="s">
        <v>18</v>
      </c>
      <c r="F1365" s="2">
        <v>21972</v>
      </c>
      <c r="G1365" s="2">
        <v>1915</v>
      </c>
      <c r="H1365" s="2">
        <v>2010.75</v>
      </c>
      <c r="I1365" s="2">
        <v>36</v>
      </c>
      <c r="J1365" s="2">
        <v>2412.15</v>
      </c>
      <c r="K1365" s="4">
        <f t="shared" si="84"/>
        <v>8.7156380848352449E-2</v>
      </c>
      <c r="L1365" s="6">
        <f t="shared" si="85"/>
        <v>1.05</v>
      </c>
      <c r="M1365" s="6">
        <f t="shared" si="86"/>
        <v>55.854166666666664</v>
      </c>
      <c r="N1365" s="8">
        <f t="shared" si="87"/>
        <v>1.199627004848937</v>
      </c>
    </row>
    <row r="1366" spans="1:14" x14ac:dyDescent="0.45">
      <c r="A1366" s="12">
        <v>45524</v>
      </c>
      <c r="B1366" s="2" t="s">
        <v>20</v>
      </c>
      <c r="C1366" s="2" t="s">
        <v>28</v>
      </c>
      <c r="D1366" s="2" t="s">
        <v>29</v>
      </c>
      <c r="E1366" s="2" t="s">
        <v>33</v>
      </c>
      <c r="F1366" s="2">
        <v>186136</v>
      </c>
      <c r="G1366" s="2">
        <v>13885</v>
      </c>
      <c r="H1366" s="2">
        <v>13190.75</v>
      </c>
      <c r="I1366" s="2">
        <v>891</v>
      </c>
      <c r="J1366" s="2">
        <v>133397.70000000001</v>
      </c>
      <c r="K1366" s="4">
        <f t="shared" si="84"/>
        <v>7.4595994326728837E-2</v>
      </c>
      <c r="L1366" s="6">
        <f t="shared" si="85"/>
        <v>0.95</v>
      </c>
      <c r="M1366" s="6">
        <f t="shared" si="86"/>
        <v>14.804433221099888</v>
      </c>
      <c r="N1366" s="8">
        <f t="shared" si="87"/>
        <v>10.112973106153934</v>
      </c>
    </row>
    <row r="1367" spans="1:14" x14ac:dyDescent="0.45">
      <c r="A1367" s="12">
        <v>45410</v>
      </c>
      <c r="B1367" s="2" t="s">
        <v>15</v>
      </c>
      <c r="C1367" s="2" t="s">
        <v>38</v>
      </c>
      <c r="D1367" s="2" t="s">
        <v>25</v>
      </c>
      <c r="E1367" s="2" t="s">
        <v>18</v>
      </c>
      <c r="F1367" s="2">
        <v>135171</v>
      </c>
      <c r="G1367" s="2">
        <v>5231</v>
      </c>
      <c r="H1367" s="2">
        <v>9311.18</v>
      </c>
      <c r="I1367" s="2">
        <v>149</v>
      </c>
      <c r="J1367" s="2">
        <v>19918.919999999998</v>
      </c>
      <c r="K1367" s="4">
        <f t="shared" si="84"/>
        <v>3.869912925109676E-2</v>
      </c>
      <c r="L1367" s="6">
        <f t="shared" si="85"/>
        <v>1.78</v>
      </c>
      <c r="M1367" s="6">
        <f t="shared" si="86"/>
        <v>62.491140939597315</v>
      </c>
      <c r="N1367" s="8">
        <f t="shared" si="87"/>
        <v>2.1392476571175725</v>
      </c>
    </row>
    <row r="1368" spans="1:14" x14ac:dyDescent="0.45">
      <c r="A1368" s="12">
        <v>45378</v>
      </c>
      <c r="B1368" s="2" t="s">
        <v>35</v>
      </c>
      <c r="C1368" s="2" t="s">
        <v>16</v>
      </c>
      <c r="D1368" s="2" t="s">
        <v>17</v>
      </c>
      <c r="E1368" s="2" t="s">
        <v>51</v>
      </c>
      <c r="F1368" s="2">
        <v>176656</v>
      </c>
      <c r="G1368" s="2">
        <v>2897</v>
      </c>
      <c r="H1368" s="2">
        <v>5417.39</v>
      </c>
      <c r="I1368" s="2">
        <v>86</v>
      </c>
      <c r="J1368" s="2">
        <v>23130.95</v>
      </c>
      <c r="K1368" s="4">
        <f t="shared" si="84"/>
        <v>1.6399103342088578E-2</v>
      </c>
      <c r="L1368" s="6">
        <f t="shared" si="85"/>
        <v>1.87</v>
      </c>
      <c r="M1368" s="6">
        <f t="shared" si="86"/>
        <v>62.992906976744187</v>
      </c>
      <c r="N1368" s="8">
        <f t="shared" si="87"/>
        <v>4.2697590537140577</v>
      </c>
    </row>
    <row r="1369" spans="1:14" x14ac:dyDescent="0.45">
      <c r="A1369" s="12">
        <v>45328</v>
      </c>
      <c r="B1369" s="2" t="s">
        <v>15</v>
      </c>
      <c r="C1369" s="2" t="s">
        <v>38</v>
      </c>
      <c r="D1369" s="2" t="s">
        <v>25</v>
      </c>
      <c r="E1369" s="2" t="s">
        <v>26</v>
      </c>
      <c r="F1369" s="2">
        <v>51678</v>
      </c>
      <c r="G1369" s="2">
        <v>2966</v>
      </c>
      <c r="H1369" s="2">
        <v>7652.28</v>
      </c>
      <c r="I1369" s="2">
        <v>192</v>
      </c>
      <c r="J1369" s="2">
        <v>21240.9</v>
      </c>
      <c r="K1369" s="4">
        <f t="shared" si="84"/>
        <v>5.7393861991563142E-2</v>
      </c>
      <c r="L1369" s="6">
        <f t="shared" si="85"/>
        <v>2.58</v>
      </c>
      <c r="M1369" s="6">
        <f t="shared" si="86"/>
        <v>39.855624999999996</v>
      </c>
      <c r="N1369" s="8">
        <f t="shared" si="87"/>
        <v>2.7757609496777436</v>
      </c>
    </row>
    <row r="1370" spans="1:14" x14ac:dyDescent="0.45">
      <c r="A1370" s="12">
        <v>45515</v>
      </c>
      <c r="B1370" s="2" t="s">
        <v>35</v>
      </c>
      <c r="C1370" s="2" t="s">
        <v>16</v>
      </c>
      <c r="D1370" s="2" t="s">
        <v>29</v>
      </c>
      <c r="E1370" s="2" t="s">
        <v>30</v>
      </c>
      <c r="F1370" s="2">
        <v>26491</v>
      </c>
      <c r="G1370" s="2">
        <v>423</v>
      </c>
      <c r="H1370" s="2">
        <v>401.85</v>
      </c>
      <c r="I1370" s="2">
        <v>28</v>
      </c>
      <c r="J1370" s="2">
        <v>3219.77</v>
      </c>
      <c r="K1370" s="4">
        <f t="shared" si="84"/>
        <v>1.5967687139028349E-2</v>
      </c>
      <c r="L1370" s="6">
        <f t="shared" si="85"/>
        <v>0.95000000000000007</v>
      </c>
      <c r="M1370" s="6">
        <f t="shared" si="86"/>
        <v>14.351785714285715</v>
      </c>
      <c r="N1370" s="8">
        <f t="shared" si="87"/>
        <v>8.0123677989299491</v>
      </c>
    </row>
    <row r="1371" spans="1:14" x14ac:dyDescent="0.45">
      <c r="A1371" s="12">
        <v>45550</v>
      </c>
      <c r="B1371" s="2" t="s">
        <v>35</v>
      </c>
      <c r="C1371" s="2" t="s">
        <v>28</v>
      </c>
      <c r="D1371" s="2" t="s">
        <v>25</v>
      </c>
      <c r="E1371" s="2" t="s">
        <v>22</v>
      </c>
      <c r="F1371" s="2">
        <v>174862</v>
      </c>
      <c r="G1371" s="2">
        <v>3846</v>
      </c>
      <c r="H1371" s="2">
        <v>1730.7</v>
      </c>
      <c r="I1371" s="2">
        <v>299</v>
      </c>
      <c r="J1371" s="2">
        <v>67036.78</v>
      </c>
      <c r="K1371" s="4">
        <f t="shared" si="84"/>
        <v>2.1994487081241208E-2</v>
      </c>
      <c r="L1371" s="6">
        <f t="shared" si="85"/>
        <v>0.45</v>
      </c>
      <c r="M1371" s="6">
        <f t="shared" si="86"/>
        <v>5.7882943143812708</v>
      </c>
      <c r="N1371" s="8">
        <f t="shared" si="87"/>
        <v>38.733911134223142</v>
      </c>
    </row>
    <row r="1372" spans="1:14" x14ac:dyDescent="0.45">
      <c r="A1372" s="12">
        <v>45578</v>
      </c>
      <c r="B1372" s="2" t="s">
        <v>35</v>
      </c>
      <c r="C1372" s="2" t="s">
        <v>24</v>
      </c>
      <c r="D1372" s="2" t="s">
        <v>41</v>
      </c>
      <c r="E1372" s="2" t="s">
        <v>30</v>
      </c>
      <c r="F1372" s="2">
        <v>77353</v>
      </c>
      <c r="G1372" s="2">
        <v>1895</v>
      </c>
      <c r="H1372" s="2">
        <v>3202.55</v>
      </c>
      <c r="I1372" s="2">
        <v>73</v>
      </c>
      <c r="J1372" s="2">
        <v>9316.26</v>
      </c>
      <c r="K1372" s="4">
        <f t="shared" si="84"/>
        <v>2.4498080229596784E-2</v>
      </c>
      <c r="L1372" s="6">
        <f t="shared" si="85"/>
        <v>1.6900000000000002</v>
      </c>
      <c r="M1372" s="6">
        <f t="shared" si="86"/>
        <v>43.87054794520548</v>
      </c>
      <c r="N1372" s="8">
        <f t="shared" si="87"/>
        <v>2.909013130161902</v>
      </c>
    </row>
    <row r="1373" spans="1:14" x14ac:dyDescent="0.45">
      <c r="A1373" s="12">
        <v>45368</v>
      </c>
      <c r="B1373" s="2" t="s">
        <v>35</v>
      </c>
      <c r="C1373" s="2" t="s">
        <v>28</v>
      </c>
      <c r="D1373" s="2" t="s">
        <v>21</v>
      </c>
      <c r="E1373" s="2" t="s">
        <v>18</v>
      </c>
      <c r="F1373" s="2">
        <v>108726</v>
      </c>
      <c r="G1373" s="2">
        <v>2968</v>
      </c>
      <c r="H1373" s="2">
        <v>6885.76</v>
      </c>
      <c r="I1373" s="2">
        <v>49</v>
      </c>
      <c r="J1373" s="2">
        <v>2393.62</v>
      </c>
      <c r="K1373" s="4">
        <f t="shared" si="84"/>
        <v>2.7297978404429483E-2</v>
      </c>
      <c r="L1373" s="6">
        <f t="shared" si="85"/>
        <v>2.3200000000000003</v>
      </c>
      <c r="M1373" s="6">
        <f t="shared" si="86"/>
        <v>140.52571428571429</v>
      </c>
      <c r="N1373" s="8">
        <f t="shared" si="87"/>
        <v>0.34761885398271214</v>
      </c>
    </row>
    <row r="1374" spans="1:14" x14ac:dyDescent="0.45">
      <c r="A1374" s="12">
        <v>45471</v>
      </c>
      <c r="B1374" s="2" t="s">
        <v>15</v>
      </c>
      <c r="C1374" s="2" t="s">
        <v>16</v>
      </c>
      <c r="D1374" s="2" t="s">
        <v>17</v>
      </c>
      <c r="E1374" s="2" t="s">
        <v>22</v>
      </c>
      <c r="F1374" s="2">
        <v>196883</v>
      </c>
      <c r="G1374" s="2">
        <v>10119</v>
      </c>
      <c r="H1374" s="2">
        <v>14976.12</v>
      </c>
      <c r="I1374" s="2">
        <v>636</v>
      </c>
      <c r="J1374" s="2">
        <v>121588.49</v>
      </c>
      <c r="K1374" s="4">
        <f t="shared" si="84"/>
        <v>5.1396006765439373E-2</v>
      </c>
      <c r="L1374" s="6">
        <f t="shared" si="85"/>
        <v>1.48</v>
      </c>
      <c r="M1374" s="6">
        <f t="shared" si="86"/>
        <v>23.54735849056604</v>
      </c>
      <c r="N1374" s="8">
        <f t="shared" si="87"/>
        <v>8.1188245019404217</v>
      </c>
    </row>
    <row r="1375" spans="1:14" x14ac:dyDescent="0.45">
      <c r="A1375" s="12">
        <v>45649</v>
      </c>
      <c r="B1375" s="2" t="s">
        <v>15</v>
      </c>
      <c r="C1375" s="2" t="s">
        <v>16</v>
      </c>
      <c r="D1375" s="2" t="s">
        <v>21</v>
      </c>
      <c r="E1375" s="2" t="s">
        <v>18</v>
      </c>
      <c r="F1375" s="2">
        <v>180627</v>
      </c>
      <c r="G1375" s="2">
        <v>8074</v>
      </c>
      <c r="H1375" s="2">
        <v>12756.92</v>
      </c>
      <c r="I1375" s="2">
        <v>266</v>
      </c>
      <c r="J1375" s="2">
        <v>72041.279999999999</v>
      </c>
      <c r="K1375" s="4">
        <f t="shared" si="84"/>
        <v>4.4699851074313367E-2</v>
      </c>
      <c r="L1375" s="6">
        <f t="shared" si="85"/>
        <v>1.58</v>
      </c>
      <c r="M1375" s="6">
        <f t="shared" si="86"/>
        <v>47.958345864661652</v>
      </c>
      <c r="N1375" s="8">
        <f t="shared" si="87"/>
        <v>5.6472314633939851</v>
      </c>
    </row>
    <row r="1376" spans="1:14" x14ac:dyDescent="0.45">
      <c r="A1376" s="12">
        <v>45347</v>
      </c>
      <c r="B1376" s="2" t="s">
        <v>15</v>
      </c>
      <c r="C1376" s="2" t="s">
        <v>24</v>
      </c>
      <c r="D1376" s="2" t="s">
        <v>29</v>
      </c>
      <c r="E1376" s="2" t="s">
        <v>51</v>
      </c>
      <c r="F1376" s="2">
        <v>85196</v>
      </c>
      <c r="G1376" s="2">
        <v>2572</v>
      </c>
      <c r="H1376" s="2">
        <v>5889.88</v>
      </c>
      <c r="I1376" s="2">
        <v>34</v>
      </c>
      <c r="J1376" s="2">
        <v>8900.58</v>
      </c>
      <c r="K1376" s="4">
        <f t="shared" si="84"/>
        <v>3.0189210761068595E-2</v>
      </c>
      <c r="L1376" s="6">
        <f t="shared" si="85"/>
        <v>2.29</v>
      </c>
      <c r="M1376" s="6">
        <f t="shared" si="86"/>
        <v>173.23176470588237</v>
      </c>
      <c r="N1376" s="8">
        <f t="shared" si="87"/>
        <v>1.511164913376843</v>
      </c>
    </row>
    <row r="1377" spans="1:14" x14ac:dyDescent="0.45">
      <c r="A1377" s="12">
        <v>45369</v>
      </c>
      <c r="B1377" s="2" t="s">
        <v>15</v>
      </c>
      <c r="C1377" s="2" t="s">
        <v>24</v>
      </c>
      <c r="D1377" s="2" t="s">
        <v>41</v>
      </c>
      <c r="E1377" s="2" t="s">
        <v>54</v>
      </c>
      <c r="F1377" s="2">
        <v>74098</v>
      </c>
      <c r="G1377" s="2">
        <v>1911</v>
      </c>
      <c r="H1377" s="2">
        <v>5446.35</v>
      </c>
      <c r="I1377" s="2">
        <v>91</v>
      </c>
      <c r="J1377" s="2">
        <v>9234.9599999999991</v>
      </c>
      <c r="K1377" s="4">
        <f t="shared" si="84"/>
        <v>2.5790169775162623E-2</v>
      </c>
      <c r="L1377" s="6">
        <f t="shared" si="85"/>
        <v>2.85</v>
      </c>
      <c r="M1377" s="6">
        <f t="shared" si="86"/>
        <v>59.85</v>
      </c>
      <c r="N1377" s="8">
        <f t="shared" si="87"/>
        <v>1.6956236745710427</v>
      </c>
    </row>
    <row r="1378" spans="1:14" x14ac:dyDescent="0.45">
      <c r="A1378" s="12">
        <v>45298</v>
      </c>
      <c r="B1378" s="2" t="s">
        <v>20</v>
      </c>
      <c r="C1378" s="2" t="s">
        <v>16</v>
      </c>
      <c r="D1378" s="2" t="s">
        <v>25</v>
      </c>
      <c r="E1378" s="2" t="s">
        <v>22</v>
      </c>
      <c r="F1378" s="2">
        <v>166711</v>
      </c>
      <c r="G1378" s="2">
        <v>13670</v>
      </c>
      <c r="H1378" s="2">
        <v>20505</v>
      </c>
      <c r="I1378" s="2">
        <v>592</v>
      </c>
      <c r="J1378" s="2">
        <v>43676.76</v>
      </c>
      <c r="K1378" s="4">
        <f t="shared" si="84"/>
        <v>8.1998188481863826E-2</v>
      </c>
      <c r="L1378" s="6">
        <f t="shared" si="85"/>
        <v>1.5</v>
      </c>
      <c r="M1378" s="6">
        <f t="shared" si="86"/>
        <v>34.636824324324323</v>
      </c>
      <c r="N1378" s="8">
        <f t="shared" si="87"/>
        <v>2.130054133138259</v>
      </c>
    </row>
    <row r="1379" spans="1:14" x14ac:dyDescent="0.45">
      <c r="A1379" s="12">
        <v>45553</v>
      </c>
      <c r="B1379" s="2" t="s">
        <v>15</v>
      </c>
      <c r="C1379" s="2" t="s">
        <v>24</v>
      </c>
      <c r="D1379" s="2" t="s">
        <v>25</v>
      </c>
      <c r="E1379" s="2" t="s">
        <v>18</v>
      </c>
      <c r="F1379" s="2">
        <v>141501</v>
      </c>
      <c r="G1379" s="2">
        <v>6452</v>
      </c>
      <c r="H1379" s="2">
        <v>19162.439999999999</v>
      </c>
      <c r="I1379" s="2">
        <v>193</v>
      </c>
      <c r="J1379" s="2">
        <v>47970.13</v>
      </c>
      <c r="K1379" s="4">
        <f t="shared" si="84"/>
        <v>4.5596850905647308E-2</v>
      </c>
      <c r="L1379" s="6">
        <f t="shared" si="85"/>
        <v>2.9699999999999998</v>
      </c>
      <c r="M1379" s="6">
        <f t="shared" si="86"/>
        <v>99.287253886010362</v>
      </c>
      <c r="N1379" s="8">
        <f t="shared" si="87"/>
        <v>2.5033414325106822</v>
      </c>
    </row>
    <row r="1380" spans="1:14" x14ac:dyDescent="0.45">
      <c r="A1380" s="12">
        <v>45381</v>
      </c>
      <c r="B1380" s="2" t="s">
        <v>15</v>
      </c>
      <c r="C1380" s="2" t="s">
        <v>24</v>
      </c>
      <c r="D1380" s="2" t="s">
        <v>17</v>
      </c>
      <c r="E1380" s="2" t="s">
        <v>18</v>
      </c>
      <c r="F1380" s="2">
        <v>81303</v>
      </c>
      <c r="G1380" s="2">
        <v>4154</v>
      </c>
      <c r="H1380" s="2">
        <v>8100.3</v>
      </c>
      <c r="I1380" s="2">
        <v>121</v>
      </c>
      <c r="J1380" s="2">
        <v>35667.19</v>
      </c>
      <c r="K1380" s="4">
        <f t="shared" si="84"/>
        <v>5.1092825602991276E-2</v>
      </c>
      <c r="L1380" s="6">
        <f t="shared" si="85"/>
        <v>1.95</v>
      </c>
      <c r="M1380" s="6">
        <f t="shared" si="86"/>
        <v>66.944628099173556</v>
      </c>
      <c r="N1380" s="8">
        <f t="shared" si="87"/>
        <v>4.40319370887498</v>
      </c>
    </row>
    <row r="1381" spans="1:14" x14ac:dyDescent="0.45">
      <c r="A1381" s="12">
        <v>45304</v>
      </c>
      <c r="B1381" s="2" t="s">
        <v>20</v>
      </c>
      <c r="C1381" s="2" t="s">
        <v>28</v>
      </c>
      <c r="D1381" s="2" t="s">
        <v>29</v>
      </c>
      <c r="E1381" s="2" t="s">
        <v>51</v>
      </c>
      <c r="F1381" s="2">
        <v>83871</v>
      </c>
      <c r="G1381" s="2">
        <v>6382</v>
      </c>
      <c r="H1381" s="2">
        <v>6701.1</v>
      </c>
      <c r="I1381" s="2">
        <v>196</v>
      </c>
      <c r="J1381" s="2">
        <v>31406.57</v>
      </c>
      <c r="K1381" s="4">
        <f t="shared" si="84"/>
        <v>7.6093047656520127E-2</v>
      </c>
      <c r="L1381" s="6">
        <f t="shared" si="85"/>
        <v>1.05</v>
      </c>
      <c r="M1381" s="6">
        <f t="shared" si="86"/>
        <v>34.189285714285717</v>
      </c>
      <c r="N1381" s="8">
        <f t="shared" si="87"/>
        <v>4.6867782901314703</v>
      </c>
    </row>
    <row r="1382" spans="1:14" x14ac:dyDescent="0.45">
      <c r="A1382" s="12">
        <v>45601</v>
      </c>
      <c r="B1382" s="2" t="s">
        <v>35</v>
      </c>
      <c r="C1382" s="2" t="s">
        <v>24</v>
      </c>
      <c r="D1382" s="2" t="s">
        <v>25</v>
      </c>
      <c r="E1382" s="2" t="s">
        <v>30</v>
      </c>
      <c r="F1382" s="2">
        <v>178013</v>
      </c>
      <c r="G1382" s="2">
        <v>1886</v>
      </c>
      <c r="H1382" s="2">
        <v>2150.04</v>
      </c>
      <c r="I1382" s="2">
        <v>83</v>
      </c>
      <c r="J1382" s="2">
        <v>22320.49</v>
      </c>
      <c r="K1382" s="4">
        <f t="shared" si="84"/>
        <v>1.059473184542702E-2</v>
      </c>
      <c r="L1382" s="6">
        <f t="shared" si="85"/>
        <v>1.1399999999999999</v>
      </c>
      <c r="M1382" s="6">
        <f t="shared" si="86"/>
        <v>25.904096385542168</v>
      </c>
      <c r="N1382" s="8">
        <f t="shared" si="87"/>
        <v>10.381430112928133</v>
      </c>
    </row>
    <row r="1383" spans="1:14" x14ac:dyDescent="0.45">
      <c r="A1383" s="12">
        <v>45545</v>
      </c>
      <c r="B1383" s="2" t="s">
        <v>35</v>
      </c>
      <c r="C1383" s="2" t="s">
        <v>16</v>
      </c>
      <c r="D1383" s="2" t="s">
        <v>21</v>
      </c>
      <c r="E1383" s="2" t="s">
        <v>51</v>
      </c>
      <c r="F1383" s="2">
        <v>160341</v>
      </c>
      <c r="G1383" s="2">
        <v>2228</v>
      </c>
      <c r="H1383" s="2">
        <v>1916.08</v>
      </c>
      <c r="I1383" s="2">
        <v>70</v>
      </c>
      <c r="J1383" s="2">
        <v>6302.54</v>
      </c>
      <c r="K1383" s="4">
        <f t="shared" si="84"/>
        <v>1.3895385459738931E-2</v>
      </c>
      <c r="L1383" s="6">
        <f t="shared" si="85"/>
        <v>0.86</v>
      </c>
      <c r="M1383" s="6">
        <f t="shared" si="86"/>
        <v>27.372571428571426</v>
      </c>
      <c r="N1383" s="8">
        <f t="shared" si="87"/>
        <v>3.2892885474510458</v>
      </c>
    </row>
    <row r="1384" spans="1:14" x14ac:dyDescent="0.45">
      <c r="A1384" s="12">
        <v>45458</v>
      </c>
      <c r="B1384" s="2" t="s">
        <v>15</v>
      </c>
      <c r="C1384" s="2" t="s">
        <v>28</v>
      </c>
      <c r="D1384" s="2" t="s">
        <v>41</v>
      </c>
      <c r="E1384" s="2" t="s">
        <v>26</v>
      </c>
      <c r="F1384" s="2">
        <v>138135</v>
      </c>
      <c r="G1384" s="2">
        <v>7721</v>
      </c>
      <c r="H1384" s="2">
        <v>12816.86</v>
      </c>
      <c r="I1384" s="2">
        <v>112</v>
      </c>
      <c r="J1384" s="2">
        <v>4652.6000000000004</v>
      </c>
      <c r="K1384" s="4">
        <f t="shared" si="84"/>
        <v>5.5894595866362619E-2</v>
      </c>
      <c r="L1384" s="6">
        <f t="shared" si="85"/>
        <v>1.6600000000000001</v>
      </c>
      <c r="M1384" s="6">
        <f t="shared" si="86"/>
        <v>114.43625</v>
      </c>
      <c r="N1384" s="8">
        <f t="shared" si="87"/>
        <v>0.36300622773440611</v>
      </c>
    </row>
    <row r="1385" spans="1:14" x14ac:dyDescent="0.45">
      <c r="A1385" s="12">
        <v>45574</v>
      </c>
      <c r="B1385" s="2" t="s">
        <v>35</v>
      </c>
      <c r="C1385" s="2" t="s">
        <v>38</v>
      </c>
      <c r="D1385" s="2" t="s">
        <v>41</v>
      </c>
      <c r="E1385" s="2" t="s">
        <v>30</v>
      </c>
      <c r="F1385" s="2">
        <v>72500</v>
      </c>
      <c r="G1385" s="2">
        <v>1341</v>
      </c>
      <c r="H1385" s="2">
        <v>2078.5500000000002</v>
      </c>
      <c r="I1385" s="2">
        <v>30</v>
      </c>
      <c r="J1385" s="2">
        <v>5770.13</v>
      </c>
      <c r="K1385" s="4">
        <f t="shared" si="84"/>
        <v>1.849655172413793E-2</v>
      </c>
      <c r="L1385" s="6">
        <f t="shared" si="85"/>
        <v>1.55</v>
      </c>
      <c r="M1385" s="6">
        <f t="shared" si="86"/>
        <v>69.285000000000011</v>
      </c>
      <c r="N1385" s="8">
        <f t="shared" si="87"/>
        <v>2.776036179067138</v>
      </c>
    </row>
    <row r="1386" spans="1:14" x14ac:dyDescent="0.45">
      <c r="A1386" s="12">
        <v>45319</v>
      </c>
      <c r="B1386" s="2" t="s">
        <v>20</v>
      </c>
      <c r="C1386" s="2" t="s">
        <v>38</v>
      </c>
      <c r="D1386" s="2" t="s">
        <v>25</v>
      </c>
      <c r="E1386" s="2" t="s">
        <v>51</v>
      </c>
      <c r="F1386" s="2">
        <v>104626</v>
      </c>
      <c r="G1386" s="2">
        <v>9144</v>
      </c>
      <c r="H1386" s="2">
        <v>10058.4</v>
      </c>
      <c r="I1386" s="2">
        <v>389</v>
      </c>
      <c r="J1386" s="2">
        <v>83739.39</v>
      </c>
      <c r="K1386" s="4">
        <f t="shared" si="84"/>
        <v>8.7397014126507758E-2</v>
      </c>
      <c r="L1386" s="6">
        <f t="shared" si="85"/>
        <v>1.0999999999999999</v>
      </c>
      <c r="M1386" s="6">
        <f t="shared" si="86"/>
        <v>25.857069408740358</v>
      </c>
      <c r="N1386" s="8">
        <f t="shared" si="87"/>
        <v>8.3253191362443335</v>
      </c>
    </row>
    <row r="1387" spans="1:14" x14ac:dyDescent="0.45">
      <c r="A1387" s="12">
        <v>45600</v>
      </c>
      <c r="B1387" s="2" t="s">
        <v>15</v>
      </c>
      <c r="C1387" s="2" t="s">
        <v>28</v>
      </c>
      <c r="D1387" s="2" t="s">
        <v>17</v>
      </c>
      <c r="E1387" s="2" t="s">
        <v>51</v>
      </c>
      <c r="F1387" s="2">
        <v>70107</v>
      </c>
      <c r="G1387" s="2">
        <v>4045</v>
      </c>
      <c r="H1387" s="2">
        <v>11002.4</v>
      </c>
      <c r="I1387" s="2">
        <v>203</v>
      </c>
      <c r="J1387" s="2">
        <v>22267.98</v>
      </c>
      <c r="K1387" s="4">
        <f t="shared" si="84"/>
        <v>5.7697519505898125E-2</v>
      </c>
      <c r="L1387" s="6">
        <f t="shared" si="85"/>
        <v>2.7199999999999998</v>
      </c>
      <c r="M1387" s="6">
        <f t="shared" si="86"/>
        <v>54.199014778325122</v>
      </c>
      <c r="N1387" s="8">
        <f t="shared" si="87"/>
        <v>2.0239202355849635</v>
      </c>
    </row>
    <row r="1388" spans="1:14" x14ac:dyDescent="0.45">
      <c r="A1388" s="12">
        <v>45344</v>
      </c>
      <c r="B1388" s="2" t="s">
        <v>35</v>
      </c>
      <c r="C1388" s="2" t="s">
        <v>16</v>
      </c>
      <c r="D1388" s="2" t="s">
        <v>21</v>
      </c>
      <c r="E1388" s="2" t="s">
        <v>26</v>
      </c>
      <c r="F1388" s="2">
        <v>63952</v>
      </c>
      <c r="G1388" s="2">
        <v>1451</v>
      </c>
      <c r="H1388" s="2">
        <v>3250.24</v>
      </c>
      <c r="I1388" s="2">
        <v>86</v>
      </c>
      <c r="J1388" s="2">
        <v>25126.44</v>
      </c>
      <c r="K1388" s="4">
        <f t="shared" si="84"/>
        <v>2.2688891668751564E-2</v>
      </c>
      <c r="L1388" s="6">
        <f t="shared" si="85"/>
        <v>2.2399999999999998</v>
      </c>
      <c r="M1388" s="6">
        <f t="shared" si="86"/>
        <v>37.793488372093023</v>
      </c>
      <c r="N1388" s="8">
        <f t="shared" si="87"/>
        <v>7.7306414295559716</v>
      </c>
    </row>
    <row r="1389" spans="1:14" x14ac:dyDescent="0.45">
      <c r="A1389" s="12">
        <v>45387</v>
      </c>
      <c r="B1389" s="2" t="s">
        <v>35</v>
      </c>
      <c r="C1389" s="2" t="s">
        <v>28</v>
      </c>
      <c r="D1389" s="2" t="s">
        <v>41</v>
      </c>
      <c r="E1389" s="2" t="s">
        <v>22</v>
      </c>
      <c r="F1389" s="2">
        <v>43148</v>
      </c>
      <c r="G1389" s="2">
        <v>979</v>
      </c>
      <c r="H1389" s="2">
        <v>1086.69</v>
      </c>
      <c r="I1389" s="2">
        <v>71</v>
      </c>
      <c r="J1389" s="2">
        <v>7719.69</v>
      </c>
      <c r="K1389" s="4">
        <f t="shared" si="84"/>
        <v>2.268934828960786E-2</v>
      </c>
      <c r="L1389" s="6">
        <f t="shared" si="85"/>
        <v>1.1100000000000001</v>
      </c>
      <c r="M1389" s="6">
        <f t="shared" si="86"/>
        <v>15.30549295774648</v>
      </c>
      <c r="N1389" s="8">
        <f t="shared" si="87"/>
        <v>7.1038566656544173</v>
      </c>
    </row>
    <row r="1390" spans="1:14" x14ac:dyDescent="0.45">
      <c r="A1390" s="12">
        <v>45357</v>
      </c>
      <c r="B1390" s="2" t="s">
        <v>15</v>
      </c>
      <c r="C1390" s="2" t="s">
        <v>28</v>
      </c>
      <c r="D1390" s="2" t="s">
        <v>29</v>
      </c>
      <c r="E1390" s="2" t="s">
        <v>18</v>
      </c>
      <c r="F1390" s="2">
        <v>193326</v>
      </c>
      <c r="G1390" s="2">
        <v>12334</v>
      </c>
      <c r="H1390" s="2">
        <v>15787.52</v>
      </c>
      <c r="I1390" s="2">
        <v>715</v>
      </c>
      <c r="J1390" s="2">
        <v>196162.94</v>
      </c>
      <c r="K1390" s="4">
        <f t="shared" si="84"/>
        <v>6.3798971685132891E-2</v>
      </c>
      <c r="L1390" s="6">
        <f t="shared" si="85"/>
        <v>1.28</v>
      </c>
      <c r="M1390" s="6">
        <f t="shared" si="86"/>
        <v>22.080447552447552</v>
      </c>
      <c r="N1390" s="8">
        <f t="shared" si="87"/>
        <v>12.425190276876926</v>
      </c>
    </row>
    <row r="1391" spans="1:14" x14ac:dyDescent="0.45">
      <c r="A1391" s="12">
        <v>45313</v>
      </c>
      <c r="B1391" s="2" t="s">
        <v>35</v>
      </c>
      <c r="C1391" s="2" t="s">
        <v>16</v>
      </c>
      <c r="D1391" s="2" t="s">
        <v>17</v>
      </c>
      <c r="E1391" s="2" t="s">
        <v>26</v>
      </c>
      <c r="F1391" s="2">
        <v>80507</v>
      </c>
      <c r="G1391" s="2">
        <v>2318</v>
      </c>
      <c r="H1391" s="2">
        <v>1645.78</v>
      </c>
      <c r="I1391" s="2">
        <v>119</v>
      </c>
      <c r="J1391" s="2">
        <v>23887.119999999999</v>
      </c>
      <c r="K1391" s="4">
        <f t="shared" si="84"/>
        <v>2.8792527357869503E-2</v>
      </c>
      <c r="L1391" s="6">
        <f t="shared" si="85"/>
        <v>0.71</v>
      </c>
      <c r="M1391" s="6">
        <f t="shared" si="86"/>
        <v>13.830084033613446</v>
      </c>
      <c r="N1391" s="8">
        <f t="shared" si="87"/>
        <v>14.514163496943699</v>
      </c>
    </row>
    <row r="1392" spans="1:14" x14ac:dyDescent="0.45">
      <c r="A1392" s="12">
        <v>45318</v>
      </c>
      <c r="B1392" s="2" t="s">
        <v>35</v>
      </c>
      <c r="C1392" s="2" t="s">
        <v>16</v>
      </c>
      <c r="D1392" s="2" t="s">
        <v>17</v>
      </c>
      <c r="E1392" s="2" t="s">
        <v>33</v>
      </c>
      <c r="F1392" s="2">
        <v>128556</v>
      </c>
      <c r="G1392" s="2">
        <v>4910</v>
      </c>
      <c r="H1392" s="2">
        <v>4320.8</v>
      </c>
      <c r="I1392" s="2">
        <v>55</v>
      </c>
      <c r="J1392" s="2">
        <v>10684.27</v>
      </c>
      <c r="K1392" s="4">
        <f t="shared" si="84"/>
        <v>3.8193472105541554E-2</v>
      </c>
      <c r="L1392" s="6">
        <f t="shared" si="85"/>
        <v>0.88</v>
      </c>
      <c r="M1392" s="6">
        <f t="shared" si="86"/>
        <v>78.56</v>
      </c>
      <c r="N1392" s="8">
        <f t="shared" si="87"/>
        <v>2.4727527309757451</v>
      </c>
    </row>
    <row r="1393" spans="1:14" x14ac:dyDescent="0.45">
      <c r="A1393" s="12">
        <v>45514</v>
      </c>
      <c r="B1393" s="2" t="s">
        <v>35</v>
      </c>
      <c r="C1393" s="2" t="s">
        <v>16</v>
      </c>
      <c r="D1393" s="2" t="s">
        <v>25</v>
      </c>
      <c r="E1393" s="2" t="s">
        <v>22</v>
      </c>
      <c r="F1393" s="2">
        <v>29055</v>
      </c>
      <c r="G1393" s="2">
        <v>912</v>
      </c>
      <c r="H1393" s="2">
        <v>1340.64</v>
      </c>
      <c r="I1393" s="2">
        <v>41</v>
      </c>
      <c r="J1393" s="2">
        <v>6404.23</v>
      </c>
      <c r="K1393" s="4">
        <f t="shared" si="84"/>
        <v>3.1388745482705212E-2</v>
      </c>
      <c r="L1393" s="6">
        <f t="shared" si="85"/>
        <v>1.4700000000000002</v>
      </c>
      <c r="M1393" s="6">
        <f t="shared" si="86"/>
        <v>32.698536585365858</v>
      </c>
      <c r="N1393" s="8">
        <f t="shared" si="87"/>
        <v>4.7769945697577274</v>
      </c>
    </row>
    <row r="1394" spans="1:14" x14ac:dyDescent="0.45">
      <c r="A1394" s="12">
        <v>45385</v>
      </c>
      <c r="B1394" s="2" t="s">
        <v>35</v>
      </c>
      <c r="C1394" s="2" t="s">
        <v>24</v>
      </c>
      <c r="D1394" s="2" t="s">
        <v>29</v>
      </c>
      <c r="E1394" s="2" t="s">
        <v>18</v>
      </c>
      <c r="F1394" s="2">
        <v>172517</v>
      </c>
      <c r="G1394" s="2">
        <v>3191</v>
      </c>
      <c r="H1394" s="2">
        <v>5775.71</v>
      </c>
      <c r="I1394" s="2">
        <v>96</v>
      </c>
      <c r="J1394" s="2">
        <v>13225.69</v>
      </c>
      <c r="K1394" s="4">
        <f t="shared" si="84"/>
        <v>1.8496727858703779E-2</v>
      </c>
      <c r="L1394" s="6">
        <f t="shared" si="85"/>
        <v>1.81</v>
      </c>
      <c r="M1394" s="6">
        <f t="shared" si="86"/>
        <v>60.163645833333334</v>
      </c>
      <c r="N1394" s="8">
        <f t="shared" si="87"/>
        <v>2.2898812440375296</v>
      </c>
    </row>
    <row r="1395" spans="1:14" x14ac:dyDescent="0.45">
      <c r="A1395" s="12">
        <v>45309</v>
      </c>
      <c r="B1395" s="2" t="s">
        <v>35</v>
      </c>
      <c r="C1395" s="2" t="s">
        <v>24</v>
      </c>
      <c r="D1395" s="2" t="s">
        <v>17</v>
      </c>
      <c r="E1395" s="2" t="s">
        <v>33</v>
      </c>
      <c r="F1395" s="2">
        <v>84712</v>
      </c>
      <c r="G1395" s="2">
        <v>1473</v>
      </c>
      <c r="H1395" s="2">
        <v>3343.71</v>
      </c>
      <c r="I1395" s="2">
        <v>74</v>
      </c>
      <c r="J1395" s="2">
        <v>3310.43</v>
      </c>
      <c r="K1395" s="4">
        <f t="shared" si="84"/>
        <v>1.7388327509679856E-2</v>
      </c>
      <c r="L1395" s="6">
        <f t="shared" si="85"/>
        <v>2.27</v>
      </c>
      <c r="M1395" s="6">
        <f t="shared" si="86"/>
        <v>45.185270270270273</v>
      </c>
      <c r="N1395" s="8">
        <f t="shared" si="87"/>
        <v>0.99004698373961852</v>
      </c>
    </row>
    <row r="1396" spans="1:14" x14ac:dyDescent="0.45">
      <c r="A1396" s="12">
        <v>45628</v>
      </c>
      <c r="B1396" s="2" t="s">
        <v>15</v>
      </c>
      <c r="C1396" s="2" t="s">
        <v>24</v>
      </c>
      <c r="D1396" s="2" t="s">
        <v>17</v>
      </c>
      <c r="E1396" s="2" t="s">
        <v>51</v>
      </c>
      <c r="F1396" s="2">
        <v>115760</v>
      </c>
      <c r="G1396" s="2">
        <v>2558</v>
      </c>
      <c r="H1396" s="2">
        <v>8160.02</v>
      </c>
      <c r="I1396" s="2">
        <v>164</v>
      </c>
      <c r="J1396" s="2">
        <v>37092.550000000003</v>
      </c>
      <c r="K1396" s="4">
        <f t="shared" si="84"/>
        <v>2.2097442985487215E-2</v>
      </c>
      <c r="L1396" s="6">
        <f t="shared" si="85"/>
        <v>3.1900000000000004</v>
      </c>
      <c r="M1396" s="6">
        <f t="shared" si="86"/>
        <v>49.756219512195123</v>
      </c>
      <c r="N1396" s="8">
        <f t="shared" si="87"/>
        <v>4.5456444959693725</v>
      </c>
    </row>
    <row r="1397" spans="1:14" x14ac:dyDescent="0.45">
      <c r="A1397" s="12">
        <v>45398</v>
      </c>
      <c r="B1397" s="2" t="s">
        <v>15</v>
      </c>
      <c r="C1397" s="2" t="s">
        <v>16</v>
      </c>
      <c r="D1397" s="2" t="s">
        <v>17</v>
      </c>
      <c r="E1397" s="2" t="s">
        <v>30</v>
      </c>
      <c r="F1397" s="2">
        <v>187831</v>
      </c>
      <c r="G1397" s="2">
        <v>7306</v>
      </c>
      <c r="H1397" s="2">
        <v>10009.219999999999</v>
      </c>
      <c r="I1397" s="2">
        <v>321</v>
      </c>
      <c r="J1397" s="2">
        <v>91963.37</v>
      </c>
      <c r="K1397" s="4">
        <f t="shared" si="84"/>
        <v>3.889666774920008E-2</v>
      </c>
      <c r="L1397" s="6">
        <f t="shared" si="85"/>
        <v>1.3699999999999999</v>
      </c>
      <c r="M1397" s="6">
        <f t="shared" si="86"/>
        <v>31.181370716510902</v>
      </c>
      <c r="N1397" s="8">
        <f t="shared" si="87"/>
        <v>9.1878657877437</v>
      </c>
    </row>
    <row r="1398" spans="1:14" x14ac:dyDescent="0.45">
      <c r="A1398" s="12">
        <v>45309</v>
      </c>
      <c r="B1398" s="2" t="s">
        <v>35</v>
      </c>
      <c r="C1398" s="2" t="s">
        <v>24</v>
      </c>
      <c r="D1398" s="2" t="s">
        <v>17</v>
      </c>
      <c r="E1398" s="2" t="s">
        <v>22</v>
      </c>
      <c r="F1398" s="2">
        <v>72278</v>
      </c>
      <c r="G1398" s="2">
        <v>2421</v>
      </c>
      <c r="H1398" s="2">
        <v>3123.09</v>
      </c>
      <c r="I1398" s="2">
        <v>26</v>
      </c>
      <c r="J1398" s="2">
        <v>5625.44</v>
      </c>
      <c r="K1398" s="4">
        <f t="shared" si="84"/>
        <v>3.3495669498325907E-2</v>
      </c>
      <c r="L1398" s="6">
        <f t="shared" si="85"/>
        <v>1.29</v>
      </c>
      <c r="M1398" s="6">
        <f t="shared" si="86"/>
        <v>120.11884615384616</v>
      </c>
      <c r="N1398" s="8">
        <f t="shared" si="87"/>
        <v>1.8012417189386152</v>
      </c>
    </row>
    <row r="1399" spans="1:14" x14ac:dyDescent="0.45">
      <c r="A1399" s="12">
        <v>45586</v>
      </c>
      <c r="B1399" s="2" t="s">
        <v>15</v>
      </c>
      <c r="C1399" s="2" t="s">
        <v>16</v>
      </c>
      <c r="D1399" s="2" t="s">
        <v>21</v>
      </c>
      <c r="E1399" s="2" t="s">
        <v>26</v>
      </c>
      <c r="F1399" s="2">
        <v>121107</v>
      </c>
      <c r="G1399" s="2">
        <v>3148</v>
      </c>
      <c r="H1399" s="2">
        <v>7523.72</v>
      </c>
      <c r="I1399" s="2">
        <v>243</v>
      </c>
      <c r="J1399" s="2">
        <v>33241.31</v>
      </c>
      <c r="K1399" s="4">
        <f t="shared" si="84"/>
        <v>2.5993542900080095E-2</v>
      </c>
      <c r="L1399" s="6">
        <f t="shared" si="85"/>
        <v>2.39</v>
      </c>
      <c r="M1399" s="6">
        <f t="shared" si="86"/>
        <v>30.961810699588479</v>
      </c>
      <c r="N1399" s="8">
        <f t="shared" si="87"/>
        <v>4.418201368471979</v>
      </c>
    </row>
    <row r="1400" spans="1:14" x14ac:dyDescent="0.45">
      <c r="A1400" s="12">
        <v>45523</v>
      </c>
      <c r="B1400" s="2" t="s">
        <v>15</v>
      </c>
      <c r="C1400" s="2" t="s">
        <v>28</v>
      </c>
      <c r="D1400" s="2" t="s">
        <v>17</v>
      </c>
      <c r="E1400" s="2" t="s">
        <v>51</v>
      </c>
      <c r="F1400" s="2">
        <v>112930</v>
      </c>
      <c r="G1400" s="2">
        <v>2427</v>
      </c>
      <c r="H1400" s="2">
        <v>2305.65</v>
      </c>
      <c r="I1400" s="2">
        <v>53</v>
      </c>
      <c r="J1400" s="2">
        <v>10549.62</v>
      </c>
      <c r="K1400" s="4">
        <f t="shared" si="84"/>
        <v>2.1491189232267775E-2</v>
      </c>
      <c r="L1400" s="6">
        <f t="shared" si="85"/>
        <v>0.95000000000000007</v>
      </c>
      <c r="M1400" s="6">
        <f t="shared" si="86"/>
        <v>43.502830188679248</v>
      </c>
      <c r="N1400" s="8">
        <f t="shared" si="87"/>
        <v>4.5755513629562161</v>
      </c>
    </row>
    <row r="1401" spans="1:14" x14ac:dyDescent="0.45">
      <c r="A1401" s="12">
        <v>45640</v>
      </c>
      <c r="B1401" s="2" t="s">
        <v>15</v>
      </c>
      <c r="C1401" s="2" t="s">
        <v>24</v>
      </c>
      <c r="D1401" s="2" t="s">
        <v>29</v>
      </c>
      <c r="E1401" s="2" t="s">
        <v>33</v>
      </c>
      <c r="F1401" s="2">
        <v>94767</v>
      </c>
      <c r="G1401" s="2">
        <v>4662</v>
      </c>
      <c r="H1401" s="2">
        <v>13519.8</v>
      </c>
      <c r="I1401" s="2">
        <v>136</v>
      </c>
      <c r="J1401" s="2">
        <v>33757.519999999997</v>
      </c>
      <c r="K1401" s="4">
        <f t="shared" si="84"/>
        <v>4.9194339801829752E-2</v>
      </c>
      <c r="L1401" s="6">
        <f t="shared" si="85"/>
        <v>2.9</v>
      </c>
      <c r="M1401" s="6">
        <f t="shared" si="86"/>
        <v>99.410294117647055</v>
      </c>
      <c r="N1401" s="8">
        <f t="shared" si="87"/>
        <v>2.4968949244811314</v>
      </c>
    </row>
    <row r="1402" spans="1:14" x14ac:dyDescent="0.45">
      <c r="A1402" s="12">
        <v>45593</v>
      </c>
      <c r="B1402" s="2" t="s">
        <v>20</v>
      </c>
      <c r="C1402" s="2" t="s">
        <v>38</v>
      </c>
      <c r="D1402" s="2" t="s">
        <v>41</v>
      </c>
      <c r="E1402" s="2" t="s">
        <v>51</v>
      </c>
      <c r="F1402" s="2">
        <v>189933</v>
      </c>
      <c r="G1402" s="2">
        <v>13295</v>
      </c>
      <c r="H1402" s="2">
        <v>13693.85</v>
      </c>
      <c r="I1402" s="2">
        <v>284</v>
      </c>
      <c r="J1402" s="2">
        <v>45485.98</v>
      </c>
      <c r="K1402" s="4">
        <f t="shared" si="84"/>
        <v>6.9998367845503409E-2</v>
      </c>
      <c r="L1402" s="6">
        <f t="shared" si="85"/>
        <v>1.03</v>
      </c>
      <c r="M1402" s="6">
        <f t="shared" si="86"/>
        <v>48.217781690140846</v>
      </c>
      <c r="N1402" s="8">
        <f t="shared" si="87"/>
        <v>3.3216356247512571</v>
      </c>
    </row>
    <row r="1403" spans="1:14" x14ac:dyDescent="0.45">
      <c r="A1403" s="12">
        <v>45556</v>
      </c>
      <c r="B1403" s="2" t="s">
        <v>35</v>
      </c>
      <c r="C1403" s="2" t="s">
        <v>28</v>
      </c>
      <c r="D1403" s="2" t="s">
        <v>17</v>
      </c>
      <c r="E1403" s="2" t="s">
        <v>33</v>
      </c>
      <c r="F1403" s="2">
        <v>17281</v>
      </c>
      <c r="G1403" s="2">
        <v>793</v>
      </c>
      <c r="H1403" s="2">
        <v>935.74</v>
      </c>
      <c r="I1403" s="2">
        <v>46</v>
      </c>
      <c r="J1403" s="2">
        <v>12594.97</v>
      </c>
      <c r="K1403" s="4">
        <f t="shared" si="84"/>
        <v>4.5888548116428445E-2</v>
      </c>
      <c r="L1403" s="6">
        <f t="shared" si="85"/>
        <v>1.18</v>
      </c>
      <c r="M1403" s="6">
        <f t="shared" si="86"/>
        <v>20.342173913043478</v>
      </c>
      <c r="N1403" s="8">
        <f t="shared" si="87"/>
        <v>13.459903391967854</v>
      </c>
    </row>
    <row r="1404" spans="1:14" x14ac:dyDescent="0.45">
      <c r="A1404" s="12">
        <v>45362</v>
      </c>
      <c r="B1404" s="2" t="s">
        <v>15</v>
      </c>
      <c r="C1404" s="2" t="s">
        <v>24</v>
      </c>
      <c r="D1404" s="2" t="s">
        <v>17</v>
      </c>
      <c r="E1404" s="2" t="s">
        <v>22</v>
      </c>
      <c r="F1404" s="2">
        <v>41388</v>
      </c>
      <c r="G1404" s="2">
        <v>964</v>
      </c>
      <c r="H1404" s="2">
        <v>2930.56</v>
      </c>
      <c r="I1404" s="2">
        <v>72</v>
      </c>
      <c r="J1404" s="2">
        <v>19679.400000000001</v>
      </c>
      <c r="K1404" s="4">
        <f t="shared" si="84"/>
        <v>2.3291775393833963E-2</v>
      </c>
      <c r="L1404" s="6">
        <f t="shared" si="85"/>
        <v>3.04</v>
      </c>
      <c r="M1404" s="6">
        <f t="shared" si="86"/>
        <v>40.702222222222218</v>
      </c>
      <c r="N1404" s="8">
        <f t="shared" si="87"/>
        <v>6.7152353133872031</v>
      </c>
    </row>
    <row r="1405" spans="1:14" x14ac:dyDescent="0.45">
      <c r="A1405" s="12">
        <v>45605</v>
      </c>
      <c r="B1405" s="2" t="s">
        <v>15</v>
      </c>
      <c r="C1405" s="2" t="s">
        <v>28</v>
      </c>
      <c r="D1405" s="2" t="s">
        <v>21</v>
      </c>
      <c r="E1405" s="2" t="s">
        <v>26</v>
      </c>
      <c r="F1405" s="2">
        <v>52083</v>
      </c>
      <c r="G1405" s="2">
        <v>2781</v>
      </c>
      <c r="H1405" s="2">
        <v>7341.84</v>
      </c>
      <c r="I1405" s="2">
        <v>160</v>
      </c>
      <c r="J1405" s="2">
        <v>39686.47</v>
      </c>
      <c r="K1405" s="4">
        <f t="shared" si="84"/>
        <v>5.3395541731467079E-2</v>
      </c>
      <c r="L1405" s="6">
        <f t="shared" si="85"/>
        <v>2.64</v>
      </c>
      <c r="M1405" s="6">
        <f t="shared" si="86"/>
        <v>45.886499999999998</v>
      </c>
      <c r="N1405" s="8">
        <f t="shared" si="87"/>
        <v>5.4055209593235487</v>
      </c>
    </row>
    <row r="1406" spans="1:14" x14ac:dyDescent="0.45">
      <c r="A1406" s="12">
        <v>45628</v>
      </c>
      <c r="B1406" s="2" t="s">
        <v>15</v>
      </c>
      <c r="C1406" s="2" t="s">
        <v>24</v>
      </c>
      <c r="D1406" s="2" t="s">
        <v>41</v>
      </c>
      <c r="E1406" s="2" t="s">
        <v>18</v>
      </c>
      <c r="F1406" s="2">
        <v>110109</v>
      </c>
      <c r="G1406" s="2">
        <v>2378</v>
      </c>
      <c r="H1406" s="2">
        <v>7585.82</v>
      </c>
      <c r="I1406" s="2">
        <v>41</v>
      </c>
      <c r="J1406" s="2">
        <v>6931.99</v>
      </c>
      <c r="K1406" s="4">
        <f t="shared" si="84"/>
        <v>2.1596781371186733E-2</v>
      </c>
      <c r="L1406" s="6">
        <f t="shared" si="85"/>
        <v>3.19</v>
      </c>
      <c r="M1406" s="6">
        <f t="shared" si="86"/>
        <v>185.01999999999998</v>
      </c>
      <c r="N1406" s="8">
        <f t="shared" si="87"/>
        <v>0.91380892243686251</v>
      </c>
    </row>
    <row r="1407" spans="1:14" x14ac:dyDescent="0.45">
      <c r="A1407" s="12">
        <v>45499</v>
      </c>
      <c r="B1407" s="2" t="s">
        <v>20</v>
      </c>
      <c r="C1407" s="2" t="s">
        <v>38</v>
      </c>
      <c r="D1407" s="2" t="s">
        <v>17</v>
      </c>
      <c r="E1407" s="2" t="s">
        <v>33</v>
      </c>
      <c r="F1407" s="2">
        <v>73743</v>
      </c>
      <c r="G1407" s="2">
        <v>1991</v>
      </c>
      <c r="H1407" s="2">
        <v>3524.07</v>
      </c>
      <c r="I1407" s="2">
        <v>155</v>
      </c>
      <c r="J1407" s="2">
        <v>29721.14</v>
      </c>
      <c r="K1407" s="4">
        <f t="shared" si="84"/>
        <v>2.6999172802842305E-2</v>
      </c>
      <c r="L1407" s="6">
        <f t="shared" si="85"/>
        <v>1.77</v>
      </c>
      <c r="M1407" s="6">
        <f t="shared" si="86"/>
        <v>22.735935483870968</v>
      </c>
      <c r="N1407" s="8">
        <f t="shared" si="87"/>
        <v>8.4337541535781071</v>
      </c>
    </row>
    <row r="1408" spans="1:14" x14ac:dyDescent="0.45">
      <c r="A1408" s="12">
        <v>45501</v>
      </c>
      <c r="B1408" s="2" t="s">
        <v>15</v>
      </c>
      <c r="C1408" s="2" t="s">
        <v>28</v>
      </c>
      <c r="D1408" s="2" t="s">
        <v>25</v>
      </c>
      <c r="E1408" s="2" t="s">
        <v>54</v>
      </c>
      <c r="F1408" s="2">
        <v>79189</v>
      </c>
      <c r="G1408" s="2">
        <v>4315</v>
      </c>
      <c r="H1408" s="2">
        <v>3969.8</v>
      </c>
      <c r="I1408" s="2">
        <v>197</v>
      </c>
      <c r="J1408" s="2">
        <v>21995.7</v>
      </c>
      <c r="K1408" s="4">
        <f t="shared" si="84"/>
        <v>5.4489891272777785E-2</v>
      </c>
      <c r="L1408" s="6">
        <f t="shared" si="85"/>
        <v>0.92</v>
      </c>
      <c r="M1408" s="6">
        <f t="shared" si="86"/>
        <v>20.151269035532994</v>
      </c>
      <c r="N1408" s="8">
        <f t="shared" si="87"/>
        <v>5.5407577207919791</v>
      </c>
    </row>
    <row r="1409" spans="1:14" x14ac:dyDescent="0.45">
      <c r="A1409" s="12">
        <v>45639</v>
      </c>
      <c r="B1409" s="2" t="s">
        <v>35</v>
      </c>
      <c r="C1409" s="2" t="s">
        <v>16</v>
      </c>
      <c r="D1409" s="2" t="s">
        <v>17</v>
      </c>
      <c r="E1409" s="2" t="s">
        <v>26</v>
      </c>
      <c r="F1409" s="2">
        <v>179943</v>
      </c>
      <c r="G1409" s="2">
        <v>4174</v>
      </c>
      <c r="H1409" s="2">
        <v>9182.7999999999993</v>
      </c>
      <c r="I1409" s="2">
        <v>289</v>
      </c>
      <c r="J1409" s="2">
        <v>32129.87</v>
      </c>
      <c r="K1409" s="4">
        <f t="shared" si="84"/>
        <v>2.3196234363103873E-2</v>
      </c>
      <c r="L1409" s="6">
        <f t="shared" si="85"/>
        <v>2.1999999999999997</v>
      </c>
      <c r="M1409" s="6">
        <f t="shared" si="86"/>
        <v>31.774394463667818</v>
      </c>
      <c r="N1409" s="8">
        <f t="shared" si="87"/>
        <v>3.4989186304830771</v>
      </c>
    </row>
    <row r="1410" spans="1:14" x14ac:dyDescent="0.45">
      <c r="A1410" s="12">
        <v>45359</v>
      </c>
      <c r="B1410" s="2" t="s">
        <v>15</v>
      </c>
      <c r="C1410" s="2" t="s">
        <v>16</v>
      </c>
      <c r="D1410" s="2" t="s">
        <v>41</v>
      </c>
      <c r="E1410" s="2" t="s">
        <v>33</v>
      </c>
      <c r="F1410" s="2">
        <v>22414</v>
      </c>
      <c r="G1410" s="2">
        <v>472</v>
      </c>
      <c r="H1410" s="2">
        <v>1184.72</v>
      </c>
      <c r="I1410" s="2">
        <v>34</v>
      </c>
      <c r="J1410" s="2">
        <v>7160.99</v>
      </c>
      <c r="K1410" s="4">
        <f t="shared" si="84"/>
        <v>2.1058267154457036E-2</v>
      </c>
      <c r="L1410" s="6">
        <f t="shared" si="85"/>
        <v>2.5100000000000002</v>
      </c>
      <c r="M1410" s="6">
        <f t="shared" si="86"/>
        <v>34.84470588235294</v>
      </c>
      <c r="N1410" s="8">
        <f t="shared" si="87"/>
        <v>6.0444577621716524</v>
      </c>
    </row>
    <row r="1411" spans="1:14" x14ac:dyDescent="0.45">
      <c r="A1411" s="12">
        <v>45603</v>
      </c>
      <c r="B1411" s="2" t="s">
        <v>35</v>
      </c>
      <c r="C1411" s="2" t="s">
        <v>24</v>
      </c>
      <c r="D1411" s="2" t="s">
        <v>29</v>
      </c>
      <c r="E1411" s="2" t="s">
        <v>54</v>
      </c>
      <c r="F1411" s="2">
        <v>107299</v>
      </c>
      <c r="G1411" s="2">
        <v>2585</v>
      </c>
      <c r="H1411" s="2">
        <v>3412.2</v>
      </c>
      <c r="I1411" s="2">
        <v>110</v>
      </c>
      <c r="J1411" s="2">
        <v>23820.26</v>
      </c>
      <c r="K1411" s="4">
        <f t="shared" ref="K1411:K1474" si="88" xml:space="preserve"> G1411 / F1411</f>
        <v>2.4091557237252911E-2</v>
      </c>
      <c r="L1411" s="6">
        <f t="shared" ref="L1411:L1474" si="89">H1411/G1411</f>
        <v>1.3199999999999998</v>
      </c>
      <c r="M1411" s="6">
        <f t="shared" ref="M1411:M1474" si="90">H1411/I1411</f>
        <v>31.02</v>
      </c>
      <c r="N1411" s="8">
        <f t="shared" ref="N1411:N1474" si="91">J1411/H1411</f>
        <v>6.9809096770412049</v>
      </c>
    </row>
    <row r="1412" spans="1:14" x14ac:dyDescent="0.45">
      <c r="A1412" s="12">
        <v>45385</v>
      </c>
      <c r="B1412" s="2" t="s">
        <v>20</v>
      </c>
      <c r="C1412" s="2" t="s">
        <v>28</v>
      </c>
      <c r="D1412" s="2" t="s">
        <v>29</v>
      </c>
      <c r="E1412" s="2" t="s">
        <v>54</v>
      </c>
      <c r="F1412" s="2">
        <v>68815</v>
      </c>
      <c r="G1412" s="2">
        <v>3172</v>
      </c>
      <c r="H1412" s="2">
        <v>2505.88</v>
      </c>
      <c r="I1412" s="2">
        <v>76</v>
      </c>
      <c r="J1412" s="2">
        <v>2602.5700000000002</v>
      </c>
      <c r="K1412" s="4">
        <f t="shared" si="88"/>
        <v>4.6094601467703264E-2</v>
      </c>
      <c r="L1412" s="6">
        <f t="shared" si="89"/>
        <v>0.79</v>
      </c>
      <c r="M1412" s="6">
        <f t="shared" si="90"/>
        <v>32.972105263157893</v>
      </c>
      <c r="N1412" s="8">
        <f t="shared" si="91"/>
        <v>1.0385852474978849</v>
      </c>
    </row>
    <row r="1413" spans="1:14" x14ac:dyDescent="0.45">
      <c r="A1413" s="12">
        <v>45589</v>
      </c>
      <c r="B1413" s="2" t="s">
        <v>15</v>
      </c>
      <c r="C1413" s="2" t="s">
        <v>38</v>
      </c>
      <c r="D1413" s="2" t="s">
        <v>21</v>
      </c>
      <c r="E1413" s="2" t="s">
        <v>30</v>
      </c>
      <c r="F1413" s="2">
        <v>164457</v>
      </c>
      <c r="G1413" s="2">
        <v>8321</v>
      </c>
      <c r="H1413" s="2">
        <v>14644.96</v>
      </c>
      <c r="I1413" s="2">
        <v>610</v>
      </c>
      <c r="J1413" s="2">
        <v>27104.12</v>
      </c>
      <c r="K1413" s="4">
        <f t="shared" si="88"/>
        <v>5.0596812540664123E-2</v>
      </c>
      <c r="L1413" s="6">
        <f t="shared" si="89"/>
        <v>1.7599999999999998</v>
      </c>
      <c r="M1413" s="6">
        <f t="shared" si="90"/>
        <v>24.008131147540983</v>
      </c>
      <c r="N1413" s="8">
        <f t="shared" si="91"/>
        <v>1.850747287804132</v>
      </c>
    </row>
    <row r="1414" spans="1:14" x14ac:dyDescent="0.45">
      <c r="A1414" s="12">
        <v>45613</v>
      </c>
      <c r="B1414" s="2" t="s">
        <v>15</v>
      </c>
      <c r="C1414" s="2" t="s">
        <v>38</v>
      </c>
      <c r="D1414" s="2" t="s">
        <v>41</v>
      </c>
      <c r="E1414" s="2" t="s">
        <v>51</v>
      </c>
      <c r="F1414" s="2">
        <v>105477</v>
      </c>
      <c r="G1414" s="2">
        <v>6391</v>
      </c>
      <c r="H1414" s="2">
        <v>11759.44</v>
      </c>
      <c r="I1414" s="2">
        <v>116</v>
      </c>
      <c r="J1414" s="2">
        <v>17001.07</v>
      </c>
      <c r="K1414" s="4">
        <f t="shared" si="88"/>
        <v>6.0591408553523518E-2</v>
      </c>
      <c r="L1414" s="6">
        <f t="shared" si="89"/>
        <v>1.84</v>
      </c>
      <c r="M1414" s="6">
        <f t="shared" si="90"/>
        <v>101.3744827586207</v>
      </c>
      <c r="N1414" s="8">
        <f t="shared" si="91"/>
        <v>1.4457380623567109</v>
      </c>
    </row>
    <row r="1415" spans="1:14" x14ac:dyDescent="0.45">
      <c r="A1415" s="12">
        <v>45631</v>
      </c>
      <c r="B1415" s="2" t="s">
        <v>15</v>
      </c>
      <c r="C1415" s="2" t="s">
        <v>24</v>
      </c>
      <c r="D1415" s="2" t="s">
        <v>17</v>
      </c>
      <c r="E1415" s="2" t="s">
        <v>22</v>
      </c>
      <c r="F1415" s="2">
        <v>160816</v>
      </c>
      <c r="G1415" s="2">
        <v>9745</v>
      </c>
      <c r="H1415" s="2">
        <v>11888.9</v>
      </c>
      <c r="I1415" s="2">
        <v>553</v>
      </c>
      <c r="J1415" s="2">
        <v>62922.41</v>
      </c>
      <c r="K1415" s="4">
        <f t="shared" si="88"/>
        <v>6.0597204258282758E-2</v>
      </c>
      <c r="L1415" s="6">
        <f t="shared" si="89"/>
        <v>1.22</v>
      </c>
      <c r="M1415" s="6">
        <f t="shared" si="90"/>
        <v>21.498915009041589</v>
      </c>
      <c r="N1415" s="8">
        <f t="shared" si="91"/>
        <v>5.2925342125848482</v>
      </c>
    </row>
    <row r="1416" spans="1:14" x14ac:dyDescent="0.45">
      <c r="A1416" s="12">
        <v>45537</v>
      </c>
      <c r="B1416" s="2" t="s">
        <v>15</v>
      </c>
      <c r="C1416" s="2" t="s">
        <v>38</v>
      </c>
      <c r="D1416" s="2" t="s">
        <v>25</v>
      </c>
      <c r="E1416" s="2" t="s">
        <v>22</v>
      </c>
      <c r="F1416" s="2">
        <v>23904</v>
      </c>
      <c r="G1416" s="2">
        <v>609</v>
      </c>
      <c r="H1416" s="2">
        <v>1010.94</v>
      </c>
      <c r="I1416" s="2">
        <v>35</v>
      </c>
      <c r="J1416" s="2">
        <v>7211.31</v>
      </c>
      <c r="K1416" s="4">
        <f t="shared" si="88"/>
        <v>2.5476907630522089E-2</v>
      </c>
      <c r="L1416" s="6">
        <f t="shared" si="89"/>
        <v>1.6600000000000001</v>
      </c>
      <c r="M1416" s="6">
        <f t="shared" si="90"/>
        <v>28.884</v>
      </c>
      <c r="N1416" s="8">
        <f t="shared" si="91"/>
        <v>7.1332720042732509</v>
      </c>
    </row>
    <row r="1417" spans="1:14" x14ac:dyDescent="0.45">
      <c r="A1417" s="12">
        <v>45656</v>
      </c>
      <c r="B1417" s="2" t="s">
        <v>35</v>
      </c>
      <c r="C1417" s="2" t="s">
        <v>38</v>
      </c>
      <c r="D1417" s="2" t="s">
        <v>29</v>
      </c>
      <c r="E1417" s="2" t="s">
        <v>26</v>
      </c>
      <c r="F1417" s="2">
        <v>60448</v>
      </c>
      <c r="G1417" s="2">
        <v>1493</v>
      </c>
      <c r="H1417" s="2">
        <v>3418.97</v>
      </c>
      <c r="I1417" s="2">
        <v>89</v>
      </c>
      <c r="J1417" s="2">
        <v>24577.78</v>
      </c>
      <c r="K1417" s="4">
        <f t="shared" si="88"/>
        <v>2.4698914769719429E-2</v>
      </c>
      <c r="L1417" s="6">
        <f t="shared" si="89"/>
        <v>2.29</v>
      </c>
      <c r="M1417" s="6">
        <f t="shared" si="90"/>
        <v>38.415393258426967</v>
      </c>
      <c r="N1417" s="8">
        <f t="shared" si="91"/>
        <v>7.1886503830100876</v>
      </c>
    </row>
    <row r="1418" spans="1:14" x14ac:dyDescent="0.45">
      <c r="A1418" s="12">
        <v>45528</v>
      </c>
      <c r="B1418" s="2" t="s">
        <v>20</v>
      </c>
      <c r="C1418" s="2" t="s">
        <v>24</v>
      </c>
      <c r="D1418" s="2" t="s">
        <v>17</v>
      </c>
      <c r="E1418" s="2" t="s">
        <v>18</v>
      </c>
      <c r="F1418" s="2">
        <v>138332</v>
      </c>
      <c r="G1418" s="2">
        <v>9558</v>
      </c>
      <c r="H1418" s="2">
        <v>3345.3</v>
      </c>
      <c r="I1418" s="2">
        <v>195</v>
      </c>
      <c r="J1418" s="2">
        <v>26087.06</v>
      </c>
      <c r="K1418" s="4">
        <f t="shared" si="88"/>
        <v>6.9094641876066273E-2</v>
      </c>
      <c r="L1418" s="6">
        <f t="shared" si="89"/>
        <v>0.35000000000000003</v>
      </c>
      <c r="M1418" s="6">
        <f t="shared" si="90"/>
        <v>17.155384615384616</v>
      </c>
      <c r="N1418" s="8">
        <f t="shared" si="91"/>
        <v>7.7981227393656773</v>
      </c>
    </row>
    <row r="1419" spans="1:14" x14ac:dyDescent="0.45">
      <c r="A1419" s="12">
        <v>45363</v>
      </c>
      <c r="B1419" s="2" t="s">
        <v>15</v>
      </c>
      <c r="C1419" s="2" t="s">
        <v>24</v>
      </c>
      <c r="D1419" s="2" t="s">
        <v>29</v>
      </c>
      <c r="E1419" s="2" t="s">
        <v>51</v>
      </c>
      <c r="F1419" s="2">
        <v>112399</v>
      </c>
      <c r="G1419" s="2">
        <v>3585</v>
      </c>
      <c r="H1419" s="2">
        <v>11149.35</v>
      </c>
      <c r="I1419" s="2">
        <v>91</v>
      </c>
      <c r="J1419" s="2">
        <v>20140.14</v>
      </c>
      <c r="K1419" s="4">
        <f t="shared" si="88"/>
        <v>3.1895301559622419E-2</v>
      </c>
      <c r="L1419" s="6">
        <f t="shared" si="89"/>
        <v>3.1100000000000003</v>
      </c>
      <c r="M1419" s="6">
        <f t="shared" si="90"/>
        <v>122.52032967032967</v>
      </c>
      <c r="N1419" s="8">
        <f t="shared" si="91"/>
        <v>1.8063958885495566</v>
      </c>
    </row>
    <row r="1420" spans="1:14" x14ac:dyDescent="0.45">
      <c r="A1420" s="12">
        <v>45338</v>
      </c>
      <c r="B1420" s="2" t="s">
        <v>15</v>
      </c>
      <c r="C1420" s="2" t="s">
        <v>24</v>
      </c>
      <c r="D1420" s="2" t="s">
        <v>41</v>
      </c>
      <c r="E1420" s="2" t="s">
        <v>30</v>
      </c>
      <c r="F1420" s="2">
        <v>180069</v>
      </c>
      <c r="G1420" s="2">
        <v>5780</v>
      </c>
      <c r="H1420" s="2">
        <v>8496.6</v>
      </c>
      <c r="I1420" s="2">
        <v>272</v>
      </c>
      <c r="J1420" s="2">
        <v>74348.97</v>
      </c>
      <c r="K1420" s="4">
        <f t="shared" si="88"/>
        <v>3.2098806568593152E-2</v>
      </c>
      <c r="L1420" s="6">
        <f t="shared" si="89"/>
        <v>1.47</v>
      </c>
      <c r="M1420" s="6">
        <f t="shared" si="90"/>
        <v>31.237500000000001</v>
      </c>
      <c r="N1420" s="8">
        <f t="shared" si="91"/>
        <v>8.7504378221876991</v>
      </c>
    </row>
    <row r="1421" spans="1:14" x14ac:dyDescent="0.45">
      <c r="A1421" s="12">
        <v>45562</v>
      </c>
      <c r="B1421" s="2" t="s">
        <v>35</v>
      </c>
      <c r="C1421" s="2" t="s">
        <v>28</v>
      </c>
      <c r="D1421" s="2" t="s">
        <v>17</v>
      </c>
      <c r="E1421" s="2" t="s">
        <v>26</v>
      </c>
      <c r="F1421" s="2">
        <v>155354</v>
      </c>
      <c r="G1421" s="2">
        <v>3371</v>
      </c>
      <c r="H1421" s="2">
        <v>4281.17</v>
      </c>
      <c r="I1421" s="2">
        <v>100</v>
      </c>
      <c r="J1421" s="2">
        <v>7916.95</v>
      </c>
      <c r="K1421" s="4">
        <f t="shared" si="88"/>
        <v>2.1698829769429818E-2</v>
      </c>
      <c r="L1421" s="6">
        <f t="shared" si="89"/>
        <v>1.27</v>
      </c>
      <c r="M1421" s="6">
        <f t="shared" si="90"/>
        <v>42.811700000000002</v>
      </c>
      <c r="N1421" s="8">
        <f t="shared" si="91"/>
        <v>1.8492491538528018</v>
      </c>
    </row>
    <row r="1422" spans="1:14" x14ac:dyDescent="0.45">
      <c r="A1422" s="12">
        <v>45427</v>
      </c>
      <c r="B1422" s="2" t="s">
        <v>35</v>
      </c>
      <c r="C1422" s="2" t="s">
        <v>28</v>
      </c>
      <c r="D1422" s="2" t="s">
        <v>17</v>
      </c>
      <c r="E1422" s="2" t="s">
        <v>18</v>
      </c>
      <c r="F1422" s="2">
        <v>163564</v>
      </c>
      <c r="G1422" s="2">
        <v>1946</v>
      </c>
      <c r="H1422" s="2">
        <v>1284.3599999999999</v>
      </c>
      <c r="I1422" s="2">
        <v>72</v>
      </c>
      <c r="J1422" s="2">
        <v>6787.22</v>
      </c>
      <c r="K1422" s="4">
        <f t="shared" si="88"/>
        <v>1.1897483553838253E-2</v>
      </c>
      <c r="L1422" s="6">
        <f t="shared" si="89"/>
        <v>0.65999999999999992</v>
      </c>
      <c r="M1422" s="6">
        <f t="shared" si="90"/>
        <v>17.838333333333331</v>
      </c>
      <c r="N1422" s="8">
        <f t="shared" si="91"/>
        <v>5.2845152449468999</v>
      </c>
    </row>
    <row r="1423" spans="1:14" x14ac:dyDescent="0.45">
      <c r="A1423" s="12">
        <v>45302</v>
      </c>
      <c r="B1423" s="2" t="s">
        <v>20</v>
      </c>
      <c r="C1423" s="2" t="s">
        <v>38</v>
      </c>
      <c r="D1423" s="2" t="s">
        <v>17</v>
      </c>
      <c r="E1423" s="2" t="s">
        <v>22</v>
      </c>
      <c r="F1423" s="2">
        <v>146587</v>
      </c>
      <c r="G1423" s="2">
        <v>5995</v>
      </c>
      <c r="H1423" s="2">
        <v>9112.4</v>
      </c>
      <c r="I1423" s="2">
        <v>161</v>
      </c>
      <c r="J1423" s="2">
        <v>27684.26</v>
      </c>
      <c r="K1423" s="4">
        <f t="shared" si="88"/>
        <v>4.089721462339771E-2</v>
      </c>
      <c r="L1423" s="6">
        <f t="shared" si="89"/>
        <v>1.52</v>
      </c>
      <c r="M1423" s="6">
        <f t="shared" si="90"/>
        <v>56.598757763975151</v>
      </c>
      <c r="N1423" s="8">
        <f t="shared" si="91"/>
        <v>3.0380865633642071</v>
      </c>
    </row>
    <row r="1424" spans="1:14" x14ac:dyDescent="0.45">
      <c r="A1424" s="12">
        <v>45380</v>
      </c>
      <c r="B1424" s="2" t="s">
        <v>15</v>
      </c>
      <c r="C1424" s="2" t="s">
        <v>38</v>
      </c>
      <c r="D1424" s="2" t="s">
        <v>25</v>
      </c>
      <c r="E1424" s="2" t="s">
        <v>26</v>
      </c>
      <c r="F1424" s="2">
        <v>79843</v>
      </c>
      <c r="G1424" s="2">
        <v>2427</v>
      </c>
      <c r="H1424" s="2">
        <v>3470.61</v>
      </c>
      <c r="I1424" s="2">
        <v>127</v>
      </c>
      <c r="J1424" s="2">
        <v>27833.99</v>
      </c>
      <c r="K1424" s="4">
        <f t="shared" si="88"/>
        <v>3.0397154415540497E-2</v>
      </c>
      <c r="L1424" s="6">
        <f t="shared" si="89"/>
        <v>1.4300000000000002</v>
      </c>
      <c r="M1424" s="6">
        <f t="shared" si="90"/>
        <v>27.327637795275592</v>
      </c>
      <c r="N1424" s="8">
        <f t="shared" si="91"/>
        <v>8.0199129259697859</v>
      </c>
    </row>
    <row r="1425" spans="1:14" x14ac:dyDescent="0.45">
      <c r="A1425" s="12">
        <v>45576</v>
      </c>
      <c r="B1425" s="2" t="s">
        <v>35</v>
      </c>
      <c r="C1425" s="2" t="s">
        <v>24</v>
      </c>
      <c r="D1425" s="2" t="s">
        <v>29</v>
      </c>
      <c r="E1425" s="2" t="s">
        <v>33</v>
      </c>
      <c r="F1425" s="2">
        <v>128245</v>
      </c>
      <c r="G1425" s="2">
        <v>2949</v>
      </c>
      <c r="H1425" s="2">
        <v>4688.91</v>
      </c>
      <c r="I1425" s="2">
        <v>85</v>
      </c>
      <c r="J1425" s="2">
        <v>8616.7199999999993</v>
      </c>
      <c r="K1425" s="4">
        <f t="shared" si="88"/>
        <v>2.2995048539904091E-2</v>
      </c>
      <c r="L1425" s="6">
        <f t="shared" si="89"/>
        <v>1.5899999999999999</v>
      </c>
      <c r="M1425" s="6">
        <f t="shared" si="90"/>
        <v>55.163647058823528</v>
      </c>
      <c r="N1425" s="8">
        <f t="shared" si="91"/>
        <v>1.8376808256076571</v>
      </c>
    </row>
    <row r="1426" spans="1:14" x14ac:dyDescent="0.45">
      <c r="A1426" s="12">
        <v>45561</v>
      </c>
      <c r="B1426" s="2" t="s">
        <v>15</v>
      </c>
      <c r="C1426" s="2" t="s">
        <v>28</v>
      </c>
      <c r="D1426" s="2" t="s">
        <v>17</v>
      </c>
      <c r="E1426" s="2" t="s">
        <v>54</v>
      </c>
      <c r="F1426" s="2">
        <v>161252</v>
      </c>
      <c r="G1426" s="2">
        <v>8046</v>
      </c>
      <c r="H1426" s="2">
        <v>24540.3</v>
      </c>
      <c r="I1426" s="2">
        <v>550</v>
      </c>
      <c r="J1426" s="2">
        <v>130994.6</v>
      </c>
      <c r="K1426" s="4">
        <f t="shared" si="88"/>
        <v>4.9897055540396397E-2</v>
      </c>
      <c r="L1426" s="6">
        <f t="shared" si="89"/>
        <v>3.05</v>
      </c>
      <c r="M1426" s="6">
        <f t="shared" si="90"/>
        <v>44.61872727272727</v>
      </c>
      <c r="N1426" s="8">
        <f t="shared" si="91"/>
        <v>5.3379380040178814</v>
      </c>
    </row>
    <row r="1427" spans="1:14" x14ac:dyDescent="0.45">
      <c r="A1427" s="12">
        <v>45315</v>
      </c>
      <c r="B1427" s="2" t="s">
        <v>20</v>
      </c>
      <c r="C1427" s="2" t="s">
        <v>28</v>
      </c>
      <c r="D1427" s="2" t="s">
        <v>29</v>
      </c>
      <c r="E1427" s="2" t="s">
        <v>30</v>
      </c>
      <c r="F1427" s="2">
        <v>107262</v>
      </c>
      <c r="G1427" s="2">
        <v>5127</v>
      </c>
      <c r="H1427" s="2">
        <v>6357.48</v>
      </c>
      <c r="I1427" s="2">
        <v>343</v>
      </c>
      <c r="J1427" s="2">
        <v>93405.13</v>
      </c>
      <c r="K1427" s="4">
        <f t="shared" si="88"/>
        <v>4.7798847681378306E-2</v>
      </c>
      <c r="L1427" s="6">
        <f t="shared" si="89"/>
        <v>1.24</v>
      </c>
      <c r="M1427" s="6">
        <f t="shared" si="90"/>
        <v>18.534927113702622</v>
      </c>
      <c r="N1427" s="8">
        <f t="shared" si="91"/>
        <v>14.692162617892626</v>
      </c>
    </row>
    <row r="1428" spans="1:14" x14ac:dyDescent="0.45">
      <c r="A1428" s="12">
        <v>45436</v>
      </c>
      <c r="B1428" s="2" t="s">
        <v>35</v>
      </c>
      <c r="C1428" s="2" t="s">
        <v>24</v>
      </c>
      <c r="D1428" s="2" t="s">
        <v>29</v>
      </c>
      <c r="E1428" s="2" t="s">
        <v>30</v>
      </c>
      <c r="F1428" s="2">
        <v>22139</v>
      </c>
      <c r="G1428" s="2">
        <v>458</v>
      </c>
      <c r="H1428" s="2">
        <v>196.94</v>
      </c>
      <c r="I1428" s="2">
        <v>8</v>
      </c>
      <c r="J1428" s="2">
        <v>2367.39</v>
      </c>
      <c r="K1428" s="4">
        <f t="shared" si="88"/>
        <v>2.0687474592348345E-2</v>
      </c>
      <c r="L1428" s="6">
        <f t="shared" si="89"/>
        <v>0.43</v>
      </c>
      <c r="M1428" s="6">
        <f t="shared" si="90"/>
        <v>24.6175</v>
      </c>
      <c r="N1428" s="8">
        <f t="shared" si="91"/>
        <v>12.020869300294505</v>
      </c>
    </row>
    <row r="1429" spans="1:14" x14ac:dyDescent="0.45">
      <c r="A1429" s="12">
        <v>45399</v>
      </c>
      <c r="B1429" s="2" t="s">
        <v>35</v>
      </c>
      <c r="C1429" s="2" t="s">
        <v>28</v>
      </c>
      <c r="D1429" s="2" t="s">
        <v>29</v>
      </c>
      <c r="E1429" s="2" t="s">
        <v>51</v>
      </c>
      <c r="F1429" s="2">
        <v>30618</v>
      </c>
      <c r="G1429" s="2">
        <v>719</v>
      </c>
      <c r="H1429" s="2">
        <v>913.13</v>
      </c>
      <c r="I1429" s="2">
        <v>40</v>
      </c>
      <c r="J1429" s="2">
        <v>6289.61</v>
      </c>
      <c r="K1429" s="4">
        <f t="shared" si="88"/>
        <v>2.3482918544646941E-2</v>
      </c>
      <c r="L1429" s="6">
        <f t="shared" si="89"/>
        <v>1.27</v>
      </c>
      <c r="M1429" s="6">
        <f t="shared" si="90"/>
        <v>22.828250000000001</v>
      </c>
      <c r="N1429" s="8">
        <f t="shared" si="91"/>
        <v>6.8879677592456714</v>
      </c>
    </row>
    <row r="1430" spans="1:14" x14ac:dyDescent="0.45">
      <c r="A1430" s="12">
        <v>45638</v>
      </c>
      <c r="B1430" s="2" t="s">
        <v>15</v>
      </c>
      <c r="C1430" s="2" t="s">
        <v>16</v>
      </c>
      <c r="D1430" s="2" t="s">
        <v>25</v>
      </c>
      <c r="E1430" s="2" t="s">
        <v>33</v>
      </c>
      <c r="F1430" s="2">
        <v>78606</v>
      </c>
      <c r="G1430" s="2">
        <v>3914</v>
      </c>
      <c r="H1430" s="2">
        <v>4814.22</v>
      </c>
      <c r="I1430" s="2">
        <v>88</v>
      </c>
      <c r="J1430" s="2">
        <v>6101.96</v>
      </c>
      <c r="K1430" s="4">
        <f t="shared" si="88"/>
        <v>4.9792636694399921E-2</v>
      </c>
      <c r="L1430" s="6">
        <f t="shared" si="89"/>
        <v>1.23</v>
      </c>
      <c r="M1430" s="6">
        <f t="shared" si="90"/>
        <v>54.707045454545458</v>
      </c>
      <c r="N1430" s="8">
        <f t="shared" si="91"/>
        <v>1.2674867372076888</v>
      </c>
    </row>
    <row r="1431" spans="1:14" x14ac:dyDescent="0.45">
      <c r="A1431" s="12">
        <v>45344</v>
      </c>
      <c r="B1431" s="2" t="s">
        <v>15</v>
      </c>
      <c r="C1431" s="2" t="s">
        <v>38</v>
      </c>
      <c r="D1431" s="2" t="s">
        <v>29</v>
      </c>
      <c r="E1431" s="2" t="s">
        <v>30</v>
      </c>
      <c r="F1431" s="2">
        <v>31885</v>
      </c>
      <c r="G1431" s="2">
        <v>1613</v>
      </c>
      <c r="H1431" s="2">
        <v>1629.13</v>
      </c>
      <c r="I1431" s="2">
        <v>67</v>
      </c>
      <c r="J1431" s="2">
        <v>19023.45</v>
      </c>
      <c r="K1431" s="4">
        <f t="shared" si="88"/>
        <v>5.0588050807589775E-2</v>
      </c>
      <c r="L1431" s="6">
        <f t="shared" si="89"/>
        <v>1.01</v>
      </c>
      <c r="M1431" s="6">
        <f t="shared" si="90"/>
        <v>24.315373134328361</v>
      </c>
      <c r="N1431" s="8">
        <f t="shared" si="91"/>
        <v>11.677060762492864</v>
      </c>
    </row>
    <row r="1432" spans="1:14" x14ac:dyDescent="0.45">
      <c r="A1432" s="12">
        <v>45522</v>
      </c>
      <c r="B1432" s="2" t="s">
        <v>20</v>
      </c>
      <c r="C1432" s="2" t="s">
        <v>28</v>
      </c>
      <c r="D1432" s="2" t="s">
        <v>21</v>
      </c>
      <c r="E1432" s="2" t="s">
        <v>33</v>
      </c>
      <c r="F1432" s="2">
        <v>11713</v>
      </c>
      <c r="G1432" s="2">
        <v>334</v>
      </c>
      <c r="H1432" s="2">
        <v>487.64</v>
      </c>
      <c r="I1432" s="2">
        <v>13</v>
      </c>
      <c r="J1432" s="2">
        <v>2344.33</v>
      </c>
      <c r="K1432" s="4">
        <f t="shared" si="88"/>
        <v>2.8515324852727737E-2</v>
      </c>
      <c r="L1432" s="6">
        <f t="shared" si="89"/>
        <v>1.46</v>
      </c>
      <c r="M1432" s="6">
        <f t="shared" si="90"/>
        <v>37.510769230769228</v>
      </c>
      <c r="N1432" s="8">
        <f t="shared" si="91"/>
        <v>4.8075014354851939</v>
      </c>
    </row>
    <row r="1433" spans="1:14" x14ac:dyDescent="0.45">
      <c r="A1433" s="12">
        <v>45386</v>
      </c>
      <c r="B1433" s="2" t="s">
        <v>35</v>
      </c>
      <c r="C1433" s="2" t="s">
        <v>28</v>
      </c>
      <c r="D1433" s="2" t="s">
        <v>41</v>
      </c>
      <c r="E1433" s="2" t="s">
        <v>22</v>
      </c>
      <c r="F1433" s="2">
        <v>26637</v>
      </c>
      <c r="G1433" s="2">
        <v>479</v>
      </c>
      <c r="H1433" s="2">
        <v>397.57</v>
      </c>
      <c r="I1433" s="2">
        <v>35</v>
      </c>
      <c r="J1433" s="2">
        <v>1488.52</v>
      </c>
      <c r="K1433" s="4">
        <f t="shared" si="88"/>
        <v>1.7982505537410369E-2</v>
      </c>
      <c r="L1433" s="6">
        <f t="shared" si="89"/>
        <v>0.83</v>
      </c>
      <c r="M1433" s="6">
        <f t="shared" si="90"/>
        <v>11.359142857142857</v>
      </c>
      <c r="N1433" s="8">
        <f t="shared" si="91"/>
        <v>3.7440450738234778</v>
      </c>
    </row>
    <row r="1434" spans="1:14" x14ac:dyDescent="0.45">
      <c r="A1434" s="12">
        <v>45503</v>
      </c>
      <c r="B1434" s="2" t="s">
        <v>15</v>
      </c>
      <c r="C1434" s="2" t="s">
        <v>38</v>
      </c>
      <c r="D1434" s="2" t="s">
        <v>21</v>
      </c>
      <c r="E1434" s="2" t="s">
        <v>51</v>
      </c>
      <c r="F1434" s="2">
        <v>44387</v>
      </c>
      <c r="G1434" s="2">
        <v>1886</v>
      </c>
      <c r="H1434" s="2">
        <v>5299.66</v>
      </c>
      <c r="I1434" s="2">
        <v>112</v>
      </c>
      <c r="J1434" s="2">
        <v>16115.2</v>
      </c>
      <c r="K1434" s="4">
        <f t="shared" si="88"/>
        <v>4.2489918219298442E-2</v>
      </c>
      <c r="L1434" s="6">
        <f t="shared" si="89"/>
        <v>2.81</v>
      </c>
      <c r="M1434" s="6">
        <f t="shared" si="90"/>
        <v>47.318392857142854</v>
      </c>
      <c r="N1434" s="8">
        <f t="shared" si="91"/>
        <v>3.0407988436994073</v>
      </c>
    </row>
    <row r="1435" spans="1:14" x14ac:dyDescent="0.45">
      <c r="A1435" s="12">
        <v>45294</v>
      </c>
      <c r="B1435" s="2" t="s">
        <v>35</v>
      </c>
      <c r="C1435" s="2" t="s">
        <v>16</v>
      </c>
      <c r="D1435" s="2" t="s">
        <v>41</v>
      </c>
      <c r="E1435" s="2" t="s">
        <v>22</v>
      </c>
      <c r="F1435" s="2">
        <v>91392</v>
      </c>
      <c r="G1435" s="2">
        <v>2705</v>
      </c>
      <c r="H1435" s="2">
        <v>5518.2</v>
      </c>
      <c r="I1435" s="2">
        <v>87</v>
      </c>
      <c r="J1435" s="2">
        <v>12147.08</v>
      </c>
      <c r="K1435" s="4">
        <f t="shared" si="88"/>
        <v>2.9597776610644257E-2</v>
      </c>
      <c r="L1435" s="6">
        <f t="shared" si="89"/>
        <v>2.04</v>
      </c>
      <c r="M1435" s="6">
        <f t="shared" si="90"/>
        <v>63.427586206896549</v>
      </c>
      <c r="N1435" s="8">
        <f t="shared" si="91"/>
        <v>2.2012757783335144</v>
      </c>
    </row>
    <row r="1436" spans="1:14" x14ac:dyDescent="0.45">
      <c r="A1436" s="12">
        <v>45559</v>
      </c>
      <c r="B1436" s="2" t="s">
        <v>20</v>
      </c>
      <c r="C1436" s="2" t="s">
        <v>16</v>
      </c>
      <c r="D1436" s="2" t="s">
        <v>21</v>
      </c>
      <c r="E1436" s="2" t="s">
        <v>22</v>
      </c>
      <c r="F1436" s="2">
        <v>31727</v>
      </c>
      <c r="G1436" s="2">
        <v>2233</v>
      </c>
      <c r="H1436" s="2">
        <v>1027.18</v>
      </c>
      <c r="I1436" s="2">
        <v>74</v>
      </c>
      <c r="J1436" s="2">
        <v>9946.57</v>
      </c>
      <c r="K1436" s="4">
        <f t="shared" si="88"/>
        <v>7.0381693825448358E-2</v>
      </c>
      <c r="L1436" s="6">
        <f t="shared" si="89"/>
        <v>0.46</v>
      </c>
      <c r="M1436" s="6">
        <f t="shared" si="90"/>
        <v>13.880810810810811</v>
      </c>
      <c r="N1436" s="8">
        <f t="shared" si="91"/>
        <v>9.6833758445452585</v>
      </c>
    </row>
    <row r="1437" spans="1:14" x14ac:dyDescent="0.45">
      <c r="A1437" s="12">
        <v>45527</v>
      </c>
      <c r="B1437" s="2" t="s">
        <v>35</v>
      </c>
      <c r="C1437" s="2" t="s">
        <v>28</v>
      </c>
      <c r="D1437" s="2" t="s">
        <v>29</v>
      </c>
      <c r="E1437" s="2" t="s">
        <v>30</v>
      </c>
      <c r="F1437" s="2">
        <v>154676</v>
      </c>
      <c r="G1437" s="2">
        <v>1624</v>
      </c>
      <c r="H1437" s="2">
        <v>2744.56</v>
      </c>
      <c r="I1437" s="2">
        <v>26</v>
      </c>
      <c r="J1437" s="2">
        <v>1813.36</v>
      </c>
      <c r="K1437" s="4">
        <f t="shared" si="88"/>
        <v>1.0499366417543768E-2</v>
      </c>
      <c r="L1437" s="6">
        <f t="shared" si="89"/>
        <v>1.69</v>
      </c>
      <c r="M1437" s="6">
        <f t="shared" si="90"/>
        <v>105.56</v>
      </c>
      <c r="N1437" s="8">
        <f t="shared" si="91"/>
        <v>0.6607106421430029</v>
      </c>
    </row>
    <row r="1438" spans="1:14" x14ac:dyDescent="0.45">
      <c r="A1438" s="12">
        <v>45518</v>
      </c>
      <c r="B1438" s="2" t="s">
        <v>35</v>
      </c>
      <c r="C1438" s="2" t="s">
        <v>28</v>
      </c>
      <c r="D1438" s="2" t="s">
        <v>41</v>
      </c>
      <c r="E1438" s="2" t="s">
        <v>22</v>
      </c>
      <c r="F1438" s="2">
        <v>122710</v>
      </c>
      <c r="G1438" s="2">
        <v>5129</v>
      </c>
      <c r="H1438" s="2">
        <v>5231.58</v>
      </c>
      <c r="I1438" s="2">
        <v>157</v>
      </c>
      <c r="J1438" s="2">
        <v>24344.87</v>
      </c>
      <c r="K1438" s="4">
        <f t="shared" si="88"/>
        <v>4.1797734495966098E-2</v>
      </c>
      <c r="L1438" s="6">
        <f t="shared" si="89"/>
        <v>1.02</v>
      </c>
      <c r="M1438" s="6">
        <f t="shared" si="90"/>
        <v>33.322165605095542</v>
      </c>
      <c r="N1438" s="8">
        <f t="shared" si="91"/>
        <v>4.6534450395482816</v>
      </c>
    </row>
    <row r="1439" spans="1:14" x14ac:dyDescent="0.45">
      <c r="A1439" s="12">
        <v>45648</v>
      </c>
      <c r="B1439" s="2" t="s">
        <v>20</v>
      </c>
      <c r="C1439" s="2" t="s">
        <v>16</v>
      </c>
      <c r="D1439" s="2" t="s">
        <v>21</v>
      </c>
      <c r="E1439" s="2" t="s">
        <v>33</v>
      </c>
      <c r="F1439" s="2">
        <v>194117</v>
      </c>
      <c r="G1439" s="2">
        <v>16422</v>
      </c>
      <c r="H1439" s="2">
        <v>21841.26</v>
      </c>
      <c r="I1439" s="2">
        <v>1133</v>
      </c>
      <c r="J1439" s="2">
        <v>121361.12</v>
      </c>
      <c r="K1439" s="4">
        <f t="shared" si="88"/>
        <v>8.45984638130612E-2</v>
      </c>
      <c r="L1439" s="6">
        <f t="shared" si="89"/>
        <v>1.3299999999999998</v>
      </c>
      <c r="M1439" s="6">
        <f t="shared" si="90"/>
        <v>19.277369814651365</v>
      </c>
      <c r="N1439" s="8">
        <f t="shared" si="91"/>
        <v>5.55650727110066</v>
      </c>
    </row>
    <row r="1440" spans="1:14" x14ac:dyDescent="0.45">
      <c r="A1440" s="12">
        <v>45325</v>
      </c>
      <c r="B1440" s="2" t="s">
        <v>20</v>
      </c>
      <c r="C1440" s="2" t="s">
        <v>28</v>
      </c>
      <c r="D1440" s="2" t="s">
        <v>25</v>
      </c>
      <c r="E1440" s="2" t="s">
        <v>54</v>
      </c>
      <c r="F1440" s="2">
        <v>23043</v>
      </c>
      <c r="G1440" s="2">
        <v>1534</v>
      </c>
      <c r="H1440" s="2">
        <v>2086.2399999999998</v>
      </c>
      <c r="I1440" s="2">
        <v>119</v>
      </c>
      <c r="J1440" s="2">
        <v>6284.67</v>
      </c>
      <c r="K1440" s="4">
        <f t="shared" si="88"/>
        <v>6.6571192987024255E-2</v>
      </c>
      <c r="L1440" s="6">
        <f t="shared" si="89"/>
        <v>1.3599999999999999</v>
      </c>
      <c r="M1440" s="6">
        <f t="shared" si="90"/>
        <v>17.53142857142857</v>
      </c>
      <c r="N1440" s="8">
        <f t="shared" si="91"/>
        <v>3.012438645601657</v>
      </c>
    </row>
    <row r="1441" spans="1:14" x14ac:dyDescent="0.45">
      <c r="A1441" s="12">
        <v>45345</v>
      </c>
      <c r="B1441" s="2" t="s">
        <v>15</v>
      </c>
      <c r="C1441" s="2" t="s">
        <v>16</v>
      </c>
      <c r="D1441" s="2" t="s">
        <v>17</v>
      </c>
      <c r="E1441" s="2" t="s">
        <v>26</v>
      </c>
      <c r="F1441" s="2">
        <v>21198</v>
      </c>
      <c r="G1441" s="2">
        <v>703</v>
      </c>
      <c r="H1441" s="2">
        <v>1377.88</v>
      </c>
      <c r="I1441" s="2">
        <v>28</v>
      </c>
      <c r="J1441" s="2">
        <v>6226.83</v>
      </c>
      <c r="K1441" s="4">
        <f t="shared" si="88"/>
        <v>3.3163505991131235E-2</v>
      </c>
      <c r="L1441" s="6">
        <f t="shared" si="89"/>
        <v>1.9600000000000002</v>
      </c>
      <c r="M1441" s="6">
        <f t="shared" si="90"/>
        <v>49.21</v>
      </c>
      <c r="N1441" s="8">
        <f t="shared" si="91"/>
        <v>4.519138096205765</v>
      </c>
    </row>
    <row r="1442" spans="1:14" x14ac:dyDescent="0.45">
      <c r="A1442" s="12">
        <v>45463</v>
      </c>
      <c r="B1442" s="2" t="s">
        <v>35</v>
      </c>
      <c r="C1442" s="2" t="s">
        <v>38</v>
      </c>
      <c r="D1442" s="2" t="s">
        <v>25</v>
      </c>
      <c r="E1442" s="2" t="s">
        <v>51</v>
      </c>
      <c r="F1442" s="2">
        <v>132208</v>
      </c>
      <c r="G1442" s="2">
        <v>3133</v>
      </c>
      <c r="H1442" s="2">
        <v>4918.8100000000004</v>
      </c>
      <c r="I1442" s="2">
        <v>183</v>
      </c>
      <c r="J1442" s="2">
        <v>53669.78</v>
      </c>
      <c r="K1442" s="4">
        <f t="shared" si="88"/>
        <v>2.3697506958731695E-2</v>
      </c>
      <c r="L1442" s="6">
        <f t="shared" si="89"/>
        <v>1.57</v>
      </c>
      <c r="M1442" s="6">
        <f t="shared" si="90"/>
        <v>26.878743169398909</v>
      </c>
      <c r="N1442" s="8">
        <f t="shared" si="91"/>
        <v>10.911130944273106</v>
      </c>
    </row>
    <row r="1443" spans="1:14" x14ac:dyDescent="0.45">
      <c r="A1443" s="12">
        <v>45338</v>
      </c>
      <c r="B1443" s="2" t="s">
        <v>35</v>
      </c>
      <c r="C1443" s="2" t="s">
        <v>28</v>
      </c>
      <c r="D1443" s="2" t="s">
        <v>17</v>
      </c>
      <c r="E1443" s="2" t="s">
        <v>51</v>
      </c>
      <c r="F1443" s="2">
        <v>19040</v>
      </c>
      <c r="G1443" s="2">
        <v>784</v>
      </c>
      <c r="H1443" s="2">
        <v>1513.12</v>
      </c>
      <c r="I1443" s="2">
        <v>39</v>
      </c>
      <c r="J1443" s="2">
        <v>5591.9</v>
      </c>
      <c r="K1443" s="4">
        <f t="shared" si="88"/>
        <v>4.1176470588235294E-2</v>
      </c>
      <c r="L1443" s="6">
        <f t="shared" si="89"/>
        <v>1.93</v>
      </c>
      <c r="M1443" s="6">
        <f t="shared" si="90"/>
        <v>38.797948717948714</v>
      </c>
      <c r="N1443" s="8">
        <f t="shared" si="91"/>
        <v>3.695609072644602</v>
      </c>
    </row>
    <row r="1444" spans="1:14" x14ac:dyDescent="0.45">
      <c r="A1444" s="12">
        <v>45366</v>
      </c>
      <c r="B1444" s="2" t="s">
        <v>15</v>
      </c>
      <c r="C1444" s="2" t="s">
        <v>38</v>
      </c>
      <c r="D1444" s="2" t="s">
        <v>25</v>
      </c>
      <c r="E1444" s="2" t="s">
        <v>51</v>
      </c>
      <c r="F1444" s="2">
        <v>157270</v>
      </c>
      <c r="G1444" s="2">
        <v>5535</v>
      </c>
      <c r="H1444" s="2">
        <v>5535</v>
      </c>
      <c r="I1444" s="2">
        <v>356</v>
      </c>
      <c r="J1444" s="2">
        <v>86412.59</v>
      </c>
      <c r="K1444" s="4">
        <f t="shared" si="88"/>
        <v>3.5194251923443762E-2</v>
      </c>
      <c r="L1444" s="6">
        <f t="shared" si="89"/>
        <v>1</v>
      </c>
      <c r="M1444" s="6">
        <f t="shared" si="90"/>
        <v>15.547752808988765</v>
      </c>
      <c r="N1444" s="8">
        <f t="shared" si="91"/>
        <v>15.612030713640468</v>
      </c>
    </row>
    <row r="1445" spans="1:14" x14ac:dyDescent="0.45">
      <c r="A1445" s="12">
        <v>45298</v>
      </c>
      <c r="B1445" s="2" t="s">
        <v>15</v>
      </c>
      <c r="C1445" s="2" t="s">
        <v>24</v>
      </c>
      <c r="D1445" s="2" t="s">
        <v>41</v>
      </c>
      <c r="E1445" s="2" t="s">
        <v>22</v>
      </c>
      <c r="F1445" s="2">
        <v>33433</v>
      </c>
      <c r="G1445" s="2">
        <v>1698</v>
      </c>
      <c r="H1445" s="2">
        <v>4975.1400000000003</v>
      </c>
      <c r="I1445" s="2">
        <v>60</v>
      </c>
      <c r="J1445" s="2">
        <v>4216.8100000000004</v>
      </c>
      <c r="K1445" s="4">
        <f t="shared" si="88"/>
        <v>5.078814345108127E-2</v>
      </c>
      <c r="L1445" s="6">
        <f t="shared" si="89"/>
        <v>2.93</v>
      </c>
      <c r="M1445" s="6">
        <f t="shared" si="90"/>
        <v>82.919000000000011</v>
      </c>
      <c r="N1445" s="8">
        <f t="shared" si="91"/>
        <v>0.84757614861089337</v>
      </c>
    </row>
    <row r="1446" spans="1:14" x14ac:dyDescent="0.45">
      <c r="A1446" s="12">
        <v>45378</v>
      </c>
      <c r="B1446" s="2" t="s">
        <v>35</v>
      </c>
      <c r="C1446" s="2" t="s">
        <v>24</v>
      </c>
      <c r="D1446" s="2" t="s">
        <v>17</v>
      </c>
      <c r="E1446" s="2" t="s">
        <v>30</v>
      </c>
      <c r="F1446" s="2">
        <v>94786</v>
      </c>
      <c r="G1446" s="2">
        <v>2682</v>
      </c>
      <c r="H1446" s="2">
        <v>4023</v>
      </c>
      <c r="I1446" s="2">
        <v>155</v>
      </c>
      <c r="J1446" s="2">
        <v>6510.51</v>
      </c>
      <c r="K1446" s="4">
        <f t="shared" si="88"/>
        <v>2.829531787394763E-2</v>
      </c>
      <c r="L1446" s="6">
        <f t="shared" si="89"/>
        <v>1.5</v>
      </c>
      <c r="M1446" s="6">
        <f t="shared" si="90"/>
        <v>25.954838709677418</v>
      </c>
      <c r="N1446" s="8">
        <f t="shared" si="91"/>
        <v>1.6183221476510068</v>
      </c>
    </row>
    <row r="1447" spans="1:14" x14ac:dyDescent="0.45">
      <c r="A1447" s="12">
        <v>45407</v>
      </c>
      <c r="B1447" s="2" t="s">
        <v>35</v>
      </c>
      <c r="C1447" s="2" t="s">
        <v>38</v>
      </c>
      <c r="D1447" s="2" t="s">
        <v>41</v>
      </c>
      <c r="E1447" s="2" t="s">
        <v>54</v>
      </c>
      <c r="F1447" s="2">
        <v>144895</v>
      </c>
      <c r="G1447" s="2">
        <v>2158</v>
      </c>
      <c r="H1447" s="2">
        <v>4143.3599999999997</v>
      </c>
      <c r="I1447" s="2">
        <v>151</v>
      </c>
      <c r="J1447" s="2">
        <v>25541.81</v>
      </c>
      <c r="K1447" s="4">
        <f t="shared" si="88"/>
        <v>1.4893543600538321E-2</v>
      </c>
      <c r="L1447" s="6">
        <f t="shared" si="89"/>
        <v>1.92</v>
      </c>
      <c r="M1447" s="6">
        <f t="shared" si="90"/>
        <v>27.439470198675494</v>
      </c>
      <c r="N1447" s="8">
        <f t="shared" si="91"/>
        <v>6.1645162380290399</v>
      </c>
    </row>
    <row r="1448" spans="1:14" x14ac:dyDescent="0.45">
      <c r="A1448" s="12">
        <v>45636</v>
      </c>
      <c r="B1448" s="2" t="s">
        <v>35</v>
      </c>
      <c r="C1448" s="2" t="s">
        <v>38</v>
      </c>
      <c r="D1448" s="2" t="s">
        <v>17</v>
      </c>
      <c r="E1448" s="2" t="s">
        <v>30</v>
      </c>
      <c r="F1448" s="2">
        <v>57996</v>
      </c>
      <c r="G1448" s="2">
        <v>1705</v>
      </c>
      <c r="H1448" s="2">
        <v>3478.2</v>
      </c>
      <c r="I1448" s="2">
        <v>127</v>
      </c>
      <c r="J1448" s="2">
        <v>26935.06</v>
      </c>
      <c r="K1448" s="4">
        <f t="shared" si="88"/>
        <v>2.9398579212359471E-2</v>
      </c>
      <c r="L1448" s="6">
        <f t="shared" si="89"/>
        <v>2.04</v>
      </c>
      <c r="M1448" s="6">
        <f t="shared" si="90"/>
        <v>27.38740157480315</v>
      </c>
      <c r="N1448" s="8">
        <f t="shared" si="91"/>
        <v>7.7439652693922154</v>
      </c>
    </row>
    <row r="1449" spans="1:14" x14ac:dyDescent="0.45">
      <c r="A1449" s="12">
        <v>45537</v>
      </c>
      <c r="B1449" s="2" t="s">
        <v>15</v>
      </c>
      <c r="C1449" s="2" t="s">
        <v>28</v>
      </c>
      <c r="D1449" s="2" t="s">
        <v>25</v>
      </c>
      <c r="E1449" s="2" t="s">
        <v>33</v>
      </c>
      <c r="F1449" s="2">
        <v>154631</v>
      </c>
      <c r="G1449" s="2">
        <v>4793</v>
      </c>
      <c r="H1449" s="2">
        <v>15050.02</v>
      </c>
      <c r="I1449" s="2">
        <v>155</v>
      </c>
      <c r="J1449" s="2">
        <v>15403.3</v>
      </c>
      <c r="K1449" s="4">
        <f t="shared" si="88"/>
        <v>3.0996372008200167E-2</v>
      </c>
      <c r="L1449" s="6">
        <f t="shared" si="89"/>
        <v>3.14</v>
      </c>
      <c r="M1449" s="6">
        <f t="shared" si="90"/>
        <v>97.096903225806457</v>
      </c>
      <c r="N1449" s="8">
        <f t="shared" si="91"/>
        <v>1.0234737229585076</v>
      </c>
    </row>
    <row r="1450" spans="1:14" x14ac:dyDescent="0.45">
      <c r="A1450" s="12">
        <v>45350</v>
      </c>
      <c r="B1450" s="2" t="s">
        <v>35</v>
      </c>
      <c r="C1450" s="2" t="s">
        <v>24</v>
      </c>
      <c r="D1450" s="2" t="s">
        <v>29</v>
      </c>
      <c r="E1450" s="2" t="s">
        <v>30</v>
      </c>
      <c r="F1450" s="2">
        <v>56209</v>
      </c>
      <c r="G1450" s="2">
        <v>1405</v>
      </c>
      <c r="H1450" s="2">
        <v>3357.95</v>
      </c>
      <c r="I1450" s="2">
        <v>94</v>
      </c>
      <c r="J1450" s="2">
        <v>20195.05</v>
      </c>
      <c r="K1450" s="4">
        <f t="shared" si="88"/>
        <v>2.4995997082317777E-2</v>
      </c>
      <c r="L1450" s="6">
        <f t="shared" si="89"/>
        <v>2.3899999999999997</v>
      </c>
      <c r="M1450" s="6">
        <f t="shared" si="90"/>
        <v>35.722872340425532</v>
      </c>
      <c r="N1450" s="8">
        <f t="shared" si="91"/>
        <v>6.0141008651111543</v>
      </c>
    </row>
    <row r="1451" spans="1:14" x14ac:dyDescent="0.45">
      <c r="A1451" s="12">
        <v>45479</v>
      </c>
      <c r="B1451" s="2" t="s">
        <v>20</v>
      </c>
      <c r="C1451" s="2" t="s">
        <v>24</v>
      </c>
      <c r="D1451" s="2" t="s">
        <v>29</v>
      </c>
      <c r="E1451" s="2" t="s">
        <v>33</v>
      </c>
      <c r="F1451" s="2">
        <v>187411</v>
      </c>
      <c r="G1451" s="2">
        <v>15667</v>
      </c>
      <c r="H1451" s="2">
        <v>6736.81</v>
      </c>
      <c r="I1451" s="2">
        <v>996</v>
      </c>
      <c r="J1451" s="2">
        <v>51799.95</v>
      </c>
      <c r="K1451" s="4">
        <f t="shared" si="88"/>
        <v>8.3597014049335422E-2</v>
      </c>
      <c r="L1451" s="6">
        <f t="shared" si="89"/>
        <v>0.43000000000000005</v>
      </c>
      <c r="M1451" s="6">
        <f t="shared" si="90"/>
        <v>6.7638654618473897</v>
      </c>
      <c r="N1451" s="8">
        <f t="shared" si="91"/>
        <v>7.6890917214527343</v>
      </c>
    </row>
    <row r="1452" spans="1:14" x14ac:dyDescent="0.45">
      <c r="A1452" s="12">
        <v>45545</v>
      </c>
      <c r="B1452" s="2" t="s">
        <v>15</v>
      </c>
      <c r="C1452" s="2" t="s">
        <v>24</v>
      </c>
      <c r="D1452" s="2" t="s">
        <v>17</v>
      </c>
      <c r="E1452" s="2" t="s">
        <v>51</v>
      </c>
      <c r="F1452" s="2">
        <v>46583</v>
      </c>
      <c r="G1452" s="2">
        <v>2319</v>
      </c>
      <c r="H1452" s="2">
        <v>6400.44</v>
      </c>
      <c r="I1452" s="2">
        <v>50</v>
      </c>
      <c r="J1452" s="2">
        <v>11413.39</v>
      </c>
      <c r="K1452" s="4">
        <f t="shared" si="88"/>
        <v>4.9782109353197518E-2</v>
      </c>
      <c r="L1452" s="6">
        <f t="shared" si="89"/>
        <v>2.76</v>
      </c>
      <c r="M1452" s="6">
        <f t="shared" si="90"/>
        <v>128.00879999999998</v>
      </c>
      <c r="N1452" s="8">
        <f t="shared" si="91"/>
        <v>1.7832195911531084</v>
      </c>
    </row>
    <row r="1453" spans="1:14" x14ac:dyDescent="0.45">
      <c r="A1453" s="12">
        <v>45360</v>
      </c>
      <c r="B1453" s="2" t="s">
        <v>35</v>
      </c>
      <c r="C1453" s="2" t="s">
        <v>38</v>
      </c>
      <c r="D1453" s="2" t="s">
        <v>41</v>
      </c>
      <c r="E1453" s="2" t="s">
        <v>33</v>
      </c>
      <c r="F1453" s="2">
        <v>17438</v>
      </c>
      <c r="G1453" s="2">
        <v>371</v>
      </c>
      <c r="H1453" s="2">
        <v>604.73</v>
      </c>
      <c r="I1453" s="2">
        <v>19</v>
      </c>
      <c r="J1453" s="2">
        <v>902.7</v>
      </c>
      <c r="K1453" s="4">
        <f t="shared" si="88"/>
        <v>2.1275375616469777E-2</v>
      </c>
      <c r="L1453" s="6">
        <f t="shared" si="89"/>
        <v>1.6300000000000001</v>
      </c>
      <c r="M1453" s="6">
        <f t="shared" si="90"/>
        <v>31.827894736842108</v>
      </c>
      <c r="N1453" s="8">
        <f t="shared" si="91"/>
        <v>1.4927322937509302</v>
      </c>
    </row>
    <row r="1454" spans="1:14" x14ac:dyDescent="0.45">
      <c r="A1454" s="12">
        <v>45362</v>
      </c>
      <c r="B1454" s="2" t="s">
        <v>15</v>
      </c>
      <c r="C1454" s="2" t="s">
        <v>24</v>
      </c>
      <c r="D1454" s="2" t="s">
        <v>29</v>
      </c>
      <c r="E1454" s="2" t="s">
        <v>18</v>
      </c>
      <c r="F1454" s="2">
        <v>122784</v>
      </c>
      <c r="G1454" s="2">
        <v>6237</v>
      </c>
      <c r="H1454" s="2">
        <v>16777.53</v>
      </c>
      <c r="I1454" s="2">
        <v>134</v>
      </c>
      <c r="J1454" s="2">
        <v>15407.61</v>
      </c>
      <c r="K1454" s="4">
        <f t="shared" si="88"/>
        <v>5.0796520719311962E-2</v>
      </c>
      <c r="L1454" s="6">
        <f t="shared" si="89"/>
        <v>2.69</v>
      </c>
      <c r="M1454" s="6">
        <f t="shared" si="90"/>
        <v>125.20544776119402</v>
      </c>
      <c r="N1454" s="8">
        <f t="shared" si="91"/>
        <v>0.91834793321782182</v>
      </c>
    </row>
    <row r="1455" spans="1:14" x14ac:dyDescent="0.45">
      <c r="A1455" s="12">
        <v>45543</v>
      </c>
      <c r="B1455" s="2" t="s">
        <v>35</v>
      </c>
      <c r="C1455" s="2" t="s">
        <v>28</v>
      </c>
      <c r="D1455" s="2" t="s">
        <v>21</v>
      </c>
      <c r="E1455" s="2" t="s">
        <v>30</v>
      </c>
      <c r="F1455" s="2">
        <v>151730</v>
      </c>
      <c r="G1455" s="2">
        <v>2063</v>
      </c>
      <c r="H1455" s="2">
        <v>1526.62</v>
      </c>
      <c r="I1455" s="2">
        <v>32</v>
      </c>
      <c r="J1455" s="2">
        <v>6146.93</v>
      </c>
      <c r="K1455" s="4">
        <f t="shared" si="88"/>
        <v>1.359652013444935E-2</v>
      </c>
      <c r="L1455" s="6">
        <f t="shared" si="89"/>
        <v>0.74</v>
      </c>
      <c r="M1455" s="6">
        <f t="shared" si="90"/>
        <v>47.706874999999997</v>
      </c>
      <c r="N1455" s="8">
        <f t="shared" si="91"/>
        <v>4.0264964431227162</v>
      </c>
    </row>
    <row r="1456" spans="1:14" x14ac:dyDescent="0.45">
      <c r="A1456" s="12">
        <v>45524</v>
      </c>
      <c r="B1456" s="2" t="s">
        <v>15</v>
      </c>
      <c r="C1456" s="2" t="s">
        <v>16</v>
      </c>
      <c r="D1456" s="2" t="s">
        <v>17</v>
      </c>
      <c r="E1456" s="2" t="s">
        <v>51</v>
      </c>
      <c r="F1456" s="2">
        <v>83498</v>
      </c>
      <c r="G1456" s="2">
        <v>3531</v>
      </c>
      <c r="H1456" s="2">
        <v>3636.93</v>
      </c>
      <c r="I1456" s="2">
        <v>234</v>
      </c>
      <c r="J1456" s="2">
        <v>36561.1</v>
      </c>
      <c r="K1456" s="4">
        <f t="shared" si="88"/>
        <v>4.2288438046420275E-2</v>
      </c>
      <c r="L1456" s="6">
        <f t="shared" si="89"/>
        <v>1.03</v>
      </c>
      <c r="M1456" s="6">
        <f t="shared" si="90"/>
        <v>15.542435897435897</v>
      </c>
      <c r="N1456" s="8">
        <f t="shared" si="91"/>
        <v>10.052736786245543</v>
      </c>
    </row>
    <row r="1457" spans="1:14" x14ac:dyDescent="0.45">
      <c r="A1457" s="12">
        <v>45586</v>
      </c>
      <c r="B1457" s="2" t="s">
        <v>20</v>
      </c>
      <c r="C1457" s="2" t="s">
        <v>28</v>
      </c>
      <c r="D1457" s="2" t="s">
        <v>17</v>
      </c>
      <c r="E1457" s="2" t="s">
        <v>22</v>
      </c>
      <c r="F1457" s="2">
        <v>194060</v>
      </c>
      <c r="G1457" s="2">
        <v>11721</v>
      </c>
      <c r="H1457" s="2">
        <v>20277.330000000002</v>
      </c>
      <c r="I1457" s="2">
        <v>504</v>
      </c>
      <c r="J1457" s="2">
        <v>76238.77</v>
      </c>
      <c r="K1457" s="4">
        <f t="shared" si="88"/>
        <v>6.0398845717819234E-2</v>
      </c>
      <c r="L1457" s="6">
        <f t="shared" si="89"/>
        <v>1.7300000000000002</v>
      </c>
      <c r="M1457" s="6">
        <f t="shared" si="90"/>
        <v>40.232797619047624</v>
      </c>
      <c r="N1457" s="8">
        <f t="shared" si="91"/>
        <v>3.759803189078641</v>
      </c>
    </row>
    <row r="1458" spans="1:14" x14ac:dyDescent="0.45">
      <c r="A1458" s="12">
        <v>45368</v>
      </c>
      <c r="B1458" s="2" t="s">
        <v>15</v>
      </c>
      <c r="C1458" s="2" t="s">
        <v>28</v>
      </c>
      <c r="D1458" s="2" t="s">
        <v>41</v>
      </c>
      <c r="E1458" s="2" t="s">
        <v>30</v>
      </c>
      <c r="F1458" s="2">
        <v>30118</v>
      </c>
      <c r="G1458" s="2">
        <v>951</v>
      </c>
      <c r="H1458" s="2">
        <v>3119.28</v>
      </c>
      <c r="I1458" s="2">
        <v>30</v>
      </c>
      <c r="J1458" s="2">
        <v>2408.7600000000002</v>
      </c>
      <c r="K1458" s="4">
        <f t="shared" si="88"/>
        <v>3.1575801846072116E-2</v>
      </c>
      <c r="L1458" s="6">
        <f t="shared" si="89"/>
        <v>3.2800000000000002</v>
      </c>
      <c r="M1458" s="6">
        <f t="shared" si="90"/>
        <v>103.97600000000001</v>
      </c>
      <c r="N1458" s="8">
        <f t="shared" si="91"/>
        <v>0.77221666538431943</v>
      </c>
    </row>
    <row r="1459" spans="1:14" x14ac:dyDescent="0.45">
      <c r="A1459" s="12">
        <v>45356</v>
      </c>
      <c r="B1459" s="2" t="s">
        <v>35</v>
      </c>
      <c r="C1459" s="2" t="s">
        <v>16</v>
      </c>
      <c r="D1459" s="2" t="s">
        <v>25</v>
      </c>
      <c r="E1459" s="2" t="s">
        <v>26</v>
      </c>
      <c r="F1459" s="2">
        <v>88904</v>
      </c>
      <c r="G1459" s="2">
        <v>1724</v>
      </c>
      <c r="H1459" s="2">
        <v>1724</v>
      </c>
      <c r="I1459" s="2">
        <v>59</v>
      </c>
      <c r="J1459" s="2">
        <v>8894.16</v>
      </c>
      <c r="K1459" s="4">
        <f t="shared" si="88"/>
        <v>1.9391703410420229E-2</v>
      </c>
      <c r="L1459" s="6">
        <f t="shared" si="89"/>
        <v>1</v>
      </c>
      <c r="M1459" s="6">
        <f t="shared" si="90"/>
        <v>29.220338983050848</v>
      </c>
      <c r="N1459" s="8">
        <f t="shared" si="91"/>
        <v>5.1590255220417633</v>
      </c>
    </row>
    <row r="1460" spans="1:14" x14ac:dyDescent="0.45">
      <c r="A1460" s="12">
        <v>45644</v>
      </c>
      <c r="B1460" s="2" t="s">
        <v>15</v>
      </c>
      <c r="C1460" s="2" t="s">
        <v>38</v>
      </c>
      <c r="D1460" s="2" t="s">
        <v>25</v>
      </c>
      <c r="E1460" s="2" t="s">
        <v>54</v>
      </c>
      <c r="F1460" s="2">
        <v>119911</v>
      </c>
      <c r="G1460" s="2">
        <v>4592</v>
      </c>
      <c r="H1460" s="2">
        <v>12995.36</v>
      </c>
      <c r="I1460" s="2">
        <v>163</v>
      </c>
      <c r="J1460" s="2">
        <v>24856.01</v>
      </c>
      <c r="K1460" s="4">
        <f t="shared" si="88"/>
        <v>3.8295068842725023E-2</v>
      </c>
      <c r="L1460" s="6">
        <f t="shared" si="89"/>
        <v>2.83</v>
      </c>
      <c r="M1460" s="6">
        <f t="shared" si="90"/>
        <v>79.726134969325159</v>
      </c>
      <c r="N1460" s="8">
        <f t="shared" si="91"/>
        <v>1.9126834500929562</v>
      </c>
    </row>
    <row r="1461" spans="1:14" x14ac:dyDescent="0.45">
      <c r="A1461" s="12">
        <v>45434</v>
      </c>
      <c r="B1461" s="2" t="s">
        <v>35</v>
      </c>
      <c r="C1461" s="2" t="s">
        <v>16</v>
      </c>
      <c r="D1461" s="2" t="s">
        <v>21</v>
      </c>
      <c r="E1461" s="2" t="s">
        <v>22</v>
      </c>
      <c r="F1461" s="2">
        <v>184702</v>
      </c>
      <c r="G1461" s="2">
        <v>5134</v>
      </c>
      <c r="H1461" s="2">
        <v>10319.34</v>
      </c>
      <c r="I1461" s="2">
        <v>70</v>
      </c>
      <c r="J1461" s="2">
        <v>16883.490000000002</v>
      </c>
      <c r="K1461" s="4">
        <f t="shared" si="88"/>
        <v>2.7796125651048716E-2</v>
      </c>
      <c r="L1461" s="6">
        <f t="shared" si="89"/>
        <v>2.0100000000000002</v>
      </c>
      <c r="M1461" s="6">
        <f t="shared" si="90"/>
        <v>147.41914285714287</v>
      </c>
      <c r="N1461" s="8">
        <f t="shared" si="91"/>
        <v>1.6361017274360572</v>
      </c>
    </row>
    <row r="1462" spans="1:14" x14ac:dyDescent="0.45">
      <c r="A1462" s="12">
        <v>45393</v>
      </c>
      <c r="B1462" s="2" t="s">
        <v>35</v>
      </c>
      <c r="C1462" s="2" t="s">
        <v>24</v>
      </c>
      <c r="D1462" s="2" t="s">
        <v>17</v>
      </c>
      <c r="E1462" s="2" t="s">
        <v>26</v>
      </c>
      <c r="F1462" s="2">
        <v>5209</v>
      </c>
      <c r="G1462" s="2">
        <v>198</v>
      </c>
      <c r="H1462" s="2">
        <v>138.6</v>
      </c>
      <c r="I1462" s="2">
        <v>3</v>
      </c>
      <c r="J1462" s="2">
        <v>490.6</v>
      </c>
      <c r="K1462" s="4">
        <f t="shared" si="88"/>
        <v>3.8011134574774431E-2</v>
      </c>
      <c r="L1462" s="6">
        <f t="shared" si="89"/>
        <v>0.7</v>
      </c>
      <c r="M1462" s="6">
        <f t="shared" si="90"/>
        <v>46.199999999999996</v>
      </c>
      <c r="N1462" s="8">
        <f t="shared" si="91"/>
        <v>3.53968253968254</v>
      </c>
    </row>
    <row r="1463" spans="1:14" x14ac:dyDescent="0.45">
      <c r="A1463" s="12">
        <v>45462</v>
      </c>
      <c r="B1463" s="2" t="s">
        <v>35</v>
      </c>
      <c r="C1463" s="2" t="s">
        <v>38</v>
      </c>
      <c r="D1463" s="2" t="s">
        <v>41</v>
      </c>
      <c r="E1463" s="2" t="s">
        <v>51</v>
      </c>
      <c r="F1463" s="2">
        <v>88717</v>
      </c>
      <c r="G1463" s="2">
        <v>816</v>
      </c>
      <c r="H1463" s="2">
        <v>1525.92</v>
      </c>
      <c r="I1463" s="2">
        <v>46</v>
      </c>
      <c r="J1463" s="2">
        <v>4879.0200000000004</v>
      </c>
      <c r="K1463" s="4">
        <f t="shared" si="88"/>
        <v>9.1977862191011863E-3</v>
      </c>
      <c r="L1463" s="6">
        <f t="shared" si="89"/>
        <v>1.87</v>
      </c>
      <c r="M1463" s="6">
        <f t="shared" si="90"/>
        <v>33.17217391304348</v>
      </c>
      <c r="N1463" s="8">
        <f t="shared" si="91"/>
        <v>3.1974284366152879</v>
      </c>
    </row>
    <row r="1464" spans="1:14" x14ac:dyDescent="0.45">
      <c r="A1464" s="12">
        <v>45510</v>
      </c>
      <c r="B1464" s="2" t="s">
        <v>15</v>
      </c>
      <c r="C1464" s="2" t="s">
        <v>28</v>
      </c>
      <c r="D1464" s="2" t="s">
        <v>41</v>
      </c>
      <c r="E1464" s="2" t="s">
        <v>51</v>
      </c>
      <c r="F1464" s="2">
        <v>146788</v>
      </c>
      <c r="G1464" s="2">
        <v>6003</v>
      </c>
      <c r="H1464" s="2">
        <v>14527.26</v>
      </c>
      <c r="I1464" s="2">
        <v>476</v>
      </c>
      <c r="J1464" s="2">
        <v>104420.05</v>
      </c>
      <c r="K1464" s="4">
        <f t="shared" si="88"/>
        <v>4.0895713546066435E-2</v>
      </c>
      <c r="L1464" s="6">
        <f t="shared" si="89"/>
        <v>2.42</v>
      </c>
      <c r="M1464" s="6">
        <f t="shared" si="90"/>
        <v>30.519453781512606</v>
      </c>
      <c r="N1464" s="8">
        <f t="shared" si="91"/>
        <v>7.1878695638406693</v>
      </c>
    </row>
    <row r="1465" spans="1:14" x14ac:dyDescent="0.45">
      <c r="A1465" s="12">
        <v>45321</v>
      </c>
      <c r="B1465" s="2" t="s">
        <v>15</v>
      </c>
      <c r="C1465" s="2" t="s">
        <v>24</v>
      </c>
      <c r="D1465" s="2" t="s">
        <v>29</v>
      </c>
      <c r="E1465" s="2" t="s">
        <v>54</v>
      </c>
      <c r="F1465" s="2">
        <v>89052</v>
      </c>
      <c r="G1465" s="2">
        <v>2591</v>
      </c>
      <c r="H1465" s="2">
        <v>9483.06</v>
      </c>
      <c r="I1465" s="2">
        <v>190</v>
      </c>
      <c r="J1465" s="2">
        <v>12653.72</v>
      </c>
      <c r="K1465" s="4">
        <f t="shared" si="88"/>
        <v>2.9095360014373624E-2</v>
      </c>
      <c r="L1465" s="6">
        <f t="shared" si="89"/>
        <v>3.6599999999999997</v>
      </c>
      <c r="M1465" s="6">
        <f t="shared" si="90"/>
        <v>49.910842105263157</v>
      </c>
      <c r="N1465" s="8">
        <f t="shared" si="91"/>
        <v>1.3343498828437235</v>
      </c>
    </row>
    <row r="1466" spans="1:14" x14ac:dyDescent="0.45">
      <c r="A1466" s="12">
        <v>45594</v>
      </c>
      <c r="B1466" s="2" t="s">
        <v>15</v>
      </c>
      <c r="C1466" s="2" t="s">
        <v>28</v>
      </c>
      <c r="D1466" s="2" t="s">
        <v>41</v>
      </c>
      <c r="E1466" s="2" t="s">
        <v>30</v>
      </c>
      <c r="F1466" s="2">
        <v>46971</v>
      </c>
      <c r="G1466" s="2">
        <v>2437</v>
      </c>
      <c r="H1466" s="2">
        <v>4971.4799999999996</v>
      </c>
      <c r="I1466" s="2">
        <v>141</v>
      </c>
      <c r="J1466" s="2">
        <v>14817.7</v>
      </c>
      <c r="K1466" s="4">
        <f t="shared" si="88"/>
        <v>5.1883076792063186E-2</v>
      </c>
      <c r="L1466" s="6">
        <f t="shared" si="89"/>
        <v>2.04</v>
      </c>
      <c r="M1466" s="6">
        <f t="shared" si="90"/>
        <v>35.258723404255313</v>
      </c>
      <c r="N1466" s="8">
        <f t="shared" si="91"/>
        <v>2.9805410058976407</v>
      </c>
    </row>
    <row r="1467" spans="1:14" x14ac:dyDescent="0.45">
      <c r="A1467" s="12">
        <v>45561</v>
      </c>
      <c r="B1467" s="2" t="s">
        <v>35</v>
      </c>
      <c r="C1467" s="2" t="s">
        <v>28</v>
      </c>
      <c r="D1467" s="2" t="s">
        <v>41</v>
      </c>
      <c r="E1467" s="2" t="s">
        <v>22</v>
      </c>
      <c r="F1467" s="2">
        <v>185419</v>
      </c>
      <c r="G1467" s="2">
        <v>7750</v>
      </c>
      <c r="H1467" s="2">
        <v>10695</v>
      </c>
      <c r="I1467" s="2">
        <v>400</v>
      </c>
      <c r="J1467" s="2">
        <v>13470.33</v>
      </c>
      <c r="K1467" s="4">
        <f t="shared" si="88"/>
        <v>4.1797226821415283E-2</v>
      </c>
      <c r="L1467" s="6">
        <f t="shared" si="89"/>
        <v>1.38</v>
      </c>
      <c r="M1467" s="6">
        <f t="shared" si="90"/>
        <v>26.737500000000001</v>
      </c>
      <c r="N1467" s="8">
        <f t="shared" si="91"/>
        <v>1.2594978962131838</v>
      </c>
    </row>
    <row r="1468" spans="1:14" x14ac:dyDescent="0.45">
      <c r="A1468" s="12">
        <v>45470</v>
      </c>
      <c r="B1468" s="2" t="s">
        <v>15</v>
      </c>
      <c r="C1468" s="2" t="s">
        <v>38</v>
      </c>
      <c r="D1468" s="2" t="s">
        <v>21</v>
      </c>
      <c r="E1468" s="2" t="s">
        <v>18</v>
      </c>
      <c r="F1468" s="2">
        <v>36391</v>
      </c>
      <c r="G1468" s="2">
        <v>1684</v>
      </c>
      <c r="H1468" s="2">
        <v>6045.56</v>
      </c>
      <c r="I1468" s="2">
        <v>18</v>
      </c>
      <c r="J1468" s="2">
        <v>4868.51</v>
      </c>
      <c r="K1468" s="4">
        <f t="shared" si="88"/>
        <v>4.6275177928608725E-2</v>
      </c>
      <c r="L1468" s="6">
        <f t="shared" si="89"/>
        <v>3.5900000000000003</v>
      </c>
      <c r="M1468" s="6">
        <f t="shared" si="90"/>
        <v>335.86444444444447</v>
      </c>
      <c r="N1468" s="8">
        <f t="shared" si="91"/>
        <v>0.80530339621143454</v>
      </c>
    </row>
    <row r="1469" spans="1:14" x14ac:dyDescent="0.45">
      <c r="A1469" s="12">
        <v>45385</v>
      </c>
      <c r="B1469" s="2" t="s">
        <v>15</v>
      </c>
      <c r="C1469" s="2" t="s">
        <v>38</v>
      </c>
      <c r="D1469" s="2" t="s">
        <v>21</v>
      </c>
      <c r="E1469" s="2" t="s">
        <v>51</v>
      </c>
      <c r="F1469" s="2">
        <v>169575</v>
      </c>
      <c r="G1469" s="2">
        <v>3730</v>
      </c>
      <c r="H1469" s="2">
        <v>10108.299999999999</v>
      </c>
      <c r="I1469" s="2">
        <v>284</v>
      </c>
      <c r="J1469" s="2">
        <v>8952.89</v>
      </c>
      <c r="K1469" s="4">
        <f t="shared" si="88"/>
        <v>2.1996166887807755E-2</v>
      </c>
      <c r="L1469" s="6">
        <f t="shared" si="89"/>
        <v>2.71</v>
      </c>
      <c r="M1469" s="6">
        <f t="shared" si="90"/>
        <v>35.592605633802812</v>
      </c>
      <c r="N1469" s="8">
        <f t="shared" si="91"/>
        <v>0.88569690254543298</v>
      </c>
    </row>
    <row r="1470" spans="1:14" x14ac:dyDescent="0.45">
      <c r="A1470" s="12">
        <v>45497</v>
      </c>
      <c r="B1470" s="2" t="s">
        <v>15</v>
      </c>
      <c r="C1470" s="2" t="s">
        <v>24</v>
      </c>
      <c r="D1470" s="2" t="s">
        <v>41</v>
      </c>
      <c r="E1470" s="2" t="s">
        <v>22</v>
      </c>
      <c r="F1470" s="2">
        <v>146656</v>
      </c>
      <c r="G1470" s="2">
        <v>5719</v>
      </c>
      <c r="H1470" s="2">
        <v>10008.25</v>
      </c>
      <c r="I1470" s="2">
        <v>357</v>
      </c>
      <c r="J1470" s="2">
        <v>62250.35</v>
      </c>
      <c r="K1470" s="4">
        <f t="shared" si="88"/>
        <v>3.8996017892210341E-2</v>
      </c>
      <c r="L1470" s="6">
        <f t="shared" si="89"/>
        <v>1.75</v>
      </c>
      <c r="M1470" s="6">
        <f t="shared" si="90"/>
        <v>28.034313725490197</v>
      </c>
      <c r="N1470" s="8">
        <f t="shared" si="91"/>
        <v>6.219903579546874</v>
      </c>
    </row>
    <row r="1471" spans="1:14" x14ac:dyDescent="0.45">
      <c r="A1471" s="12">
        <v>45437</v>
      </c>
      <c r="B1471" s="2" t="s">
        <v>15</v>
      </c>
      <c r="C1471" s="2" t="s">
        <v>38</v>
      </c>
      <c r="D1471" s="2" t="s">
        <v>17</v>
      </c>
      <c r="E1471" s="2" t="s">
        <v>30</v>
      </c>
      <c r="F1471" s="2">
        <v>116972</v>
      </c>
      <c r="G1471" s="2">
        <v>6269</v>
      </c>
      <c r="H1471" s="2">
        <v>17741.27</v>
      </c>
      <c r="I1471" s="2">
        <v>83</v>
      </c>
      <c r="J1471" s="2">
        <v>8852.61</v>
      </c>
      <c r="K1471" s="4">
        <f t="shared" si="88"/>
        <v>5.359402250111138E-2</v>
      </c>
      <c r="L1471" s="6">
        <f t="shared" si="89"/>
        <v>2.83</v>
      </c>
      <c r="M1471" s="6">
        <f t="shared" si="90"/>
        <v>213.75024096385542</v>
      </c>
      <c r="N1471" s="8">
        <f t="shared" si="91"/>
        <v>0.49898400734558462</v>
      </c>
    </row>
    <row r="1472" spans="1:14" x14ac:dyDescent="0.45">
      <c r="A1472" s="12">
        <v>45613</v>
      </c>
      <c r="B1472" s="2" t="s">
        <v>35</v>
      </c>
      <c r="C1472" s="2" t="s">
        <v>16</v>
      </c>
      <c r="D1472" s="2" t="s">
        <v>29</v>
      </c>
      <c r="E1472" s="2" t="s">
        <v>33</v>
      </c>
      <c r="F1472" s="2">
        <v>45664</v>
      </c>
      <c r="G1472" s="2">
        <v>516</v>
      </c>
      <c r="H1472" s="2">
        <v>861.72</v>
      </c>
      <c r="I1472" s="2">
        <v>34</v>
      </c>
      <c r="J1472" s="2">
        <v>7132.56</v>
      </c>
      <c r="K1472" s="4">
        <f t="shared" si="88"/>
        <v>1.1299929922915206E-2</v>
      </c>
      <c r="L1472" s="6">
        <f t="shared" si="89"/>
        <v>1.6700000000000002</v>
      </c>
      <c r="M1472" s="6">
        <f t="shared" si="90"/>
        <v>25.34470588235294</v>
      </c>
      <c r="N1472" s="8">
        <f t="shared" si="91"/>
        <v>8.2771201782481558</v>
      </c>
    </row>
    <row r="1473" spans="1:14" x14ac:dyDescent="0.45">
      <c r="A1473" s="12">
        <v>45641</v>
      </c>
      <c r="B1473" s="2" t="s">
        <v>35</v>
      </c>
      <c r="C1473" s="2" t="s">
        <v>28</v>
      </c>
      <c r="D1473" s="2" t="s">
        <v>29</v>
      </c>
      <c r="E1473" s="2" t="s">
        <v>22</v>
      </c>
      <c r="F1473" s="2">
        <v>125759</v>
      </c>
      <c r="G1473" s="2">
        <v>2804</v>
      </c>
      <c r="H1473" s="2">
        <v>4907</v>
      </c>
      <c r="I1473" s="2">
        <v>164</v>
      </c>
      <c r="J1473" s="2">
        <v>46752.65</v>
      </c>
      <c r="K1473" s="4">
        <f t="shared" si="88"/>
        <v>2.2296614953999316E-2</v>
      </c>
      <c r="L1473" s="6">
        <f t="shared" si="89"/>
        <v>1.75</v>
      </c>
      <c r="M1473" s="6">
        <f t="shared" si="90"/>
        <v>29.920731707317074</v>
      </c>
      <c r="N1473" s="8">
        <f t="shared" si="91"/>
        <v>9.5277460770328108</v>
      </c>
    </row>
    <row r="1474" spans="1:14" x14ac:dyDescent="0.45">
      <c r="A1474" s="12">
        <v>45375</v>
      </c>
      <c r="B1474" s="2" t="s">
        <v>15</v>
      </c>
      <c r="C1474" s="2" t="s">
        <v>28</v>
      </c>
      <c r="D1474" s="2" t="s">
        <v>21</v>
      </c>
      <c r="E1474" s="2" t="s">
        <v>18</v>
      </c>
      <c r="F1474" s="2">
        <v>26529</v>
      </c>
      <c r="G1474" s="2">
        <v>1106</v>
      </c>
      <c r="H1474" s="2">
        <v>1968.68</v>
      </c>
      <c r="I1474" s="2">
        <v>78</v>
      </c>
      <c r="J1474" s="2">
        <v>2995.39</v>
      </c>
      <c r="K1474" s="4">
        <f t="shared" si="88"/>
        <v>4.16902257906442E-2</v>
      </c>
      <c r="L1474" s="6">
        <f t="shared" si="89"/>
        <v>1.78</v>
      </c>
      <c r="M1474" s="6">
        <f t="shared" si="90"/>
        <v>25.239487179487181</v>
      </c>
      <c r="N1474" s="8">
        <f t="shared" si="91"/>
        <v>1.5215220350691834</v>
      </c>
    </row>
    <row r="1475" spans="1:14" x14ac:dyDescent="0.45">
      <c r="A1475" s="12">
        <v>45639</v>
      </c>
      <c r="B1475" s="2" t="s">
        <v>20</v>
      </c>
      <c r="C1475" s="2" t="s">
        <v>28</v>
      </c>
      <c r="D1475" s="2" t="s">
        <v>21</v>
      </c>
      <c r="E1475" s="2" t="s">
        <v>51</v>
      </c>
      <c r="F1475" s="2">
        <v>114863</v>
      </c>
      <c r="G1475" s="2">
        <v>5766</v>
      </c>
      <c r="H1475" s="2">
        <v>9398.58</v>
      </c>
      <c r="I1475" s="2">
        <v>89</v>
      </c>
      <c r="J1475" s="2">
        <v>22499.919999999998</v>
      </c>
      <c r="K1475" s="4">
        <f t="shared" ref="K1475:K1538" si="92" xml:space="preserve"> G1475 / F1475</f>
        <v>5.0198932641494651E-2</v>
      </c>
      <c r="L1475" s="6">
        <f t="shared" ref="L1475:L1538" si="93">H1475/G1475</f>
        <v>1.63</v>
      </c>
      <c r="M1475" s="6">
        <f t="shared" ref="M1475:M1538" si="94">H1475/I1475</f>
        <v>105.60202247191012</v>
      </c>
      <c r="N1475" s="8">
        <f t="shared" ref="N1475:N1538" si="95">J1475/H1475</f>
        <v>2.3939701529379969</v>
      </c>
    </row>
    <row r="1476" spans="1:14" x14ac:dyDescent="0.45">
      <c r="A1476" s="12">
        <v>45589</v>
      </c>
      <c r="B1476" s="2" t="s">
        <v>35</v>
      </c>
      <c r="C1476" s="2" t="s">
        <v>38</v>
      </c>
      <c r="D1476" s="2" t="s">
        <v>25</v>
      </c>
      <c r="E1476" s="2" t="s">
        <v>26</v>
      </c>
      <c r="F1476" s="2">
        <v>171353</v>
      </c>
      <c r="G1476" s="2">
        <v>5534</v>
      </c>
      <c r="H1476" s="2">
        <v>10293.24</v>
      </c>
      <c r="I1476" s="2">
        <v>221</v>
      </c>
      <c r="J1476" s="2">
        <v>52725.19</v>
      </c>
      <c r="K1476" s="4">
        <f t="shared" si="92"/>
        <v>3.2295903777581951E-2</v>
      </c>
      <c r="L1476" s="6">
        <f t="shared" si="93"/>
        <v>1.8599999999999999</v>
      </c>
      <c r="M1476" s="6">
        <f t="shared" si="94"/>
        <v>46.575746606334839</v>
      </c>
      <c r="N1476" s="8">
        <f t="shared" si="95"/>
        <v>5.1223123137126896</v>
      </c>
    </row>
    <row r="1477" spans="1:14" x14ac:dyDescent="0.45">
      <c r="A1477" s="12">
        <v>45648</v>
      </c>
      <c r="B1477" s="2" t="s">
        <v>35</v>
      </c>
      <c r="C1477" s="2" t="s">
        <v>28</v>
      </c>
      <c r="D1477" s="2" t="s">
        <v>21</v>
      </c>
      <c r="E1477" s="2" t="s">
        <v>22</v>
      </c>
      <c r="F1477" s="2">
        <v>49522</v>
      </c>
      <c r="G1477" s="2">
        <v>1554</v>
      </c>
      <c r="H1477" s="2">
        <v>2657.34</v>
      </c>
      <c r="I1477" s="2">
        <v>23</v>
      </c>
      <c r="J1477" s="2">
        <v>1909.73</v>
      </c>
      <c r="K1477" s="4">
        <f t="shared" si="92"/>
        <v>3.1379992730503611E-2</v>
      </c>
      <c r="L1477" s="6">
        <f t="shared" si="93"/>
        <v>1.7100000000000002</v>
      </c>
      <c r="M1477" s="6">
        <f t="shared" si="94"/>
        <v>115.53652173913044</v>
      </c>
      <c r="N1477" s="8">
        <f t="shared" si="95"/>
        <v>0.71866227129385019</v>
      </c>
    </row>
    <row r="1478" spans="1:14" x14ac:dyDescent="0.45">
      <c r="A1478" s="12">
        <v>45415</v>
      </c>
      <c r="B1478" s="2" t="s">
        <v>15</v>
      </c>
      <c r="C1478" s="2" t="s">
        <v>16</v>
      </c>
      <c r="D1478" s="2" t="s">
        <v>25</v>
      </c>
      <c r="E1478" s="2" t="s">
        <v>51</v>
      </c>
      <c r="F1478" s="2">
        <v>136135</v>
      </c>
      <c r="G1478" s="2">
        <v>7936</v>
      </c>
      <c r="H1478" s="2">
        <v>10792.96</v>
      </c>
      <c r="I1478" s="2">
        <v>406</v>
      </c>
      <c r="J1478" s="2">
        <v>40442.85</v>
      </c>
      <c r="K1478" s="4">
        <f t="shared" si="92"/>
        <v>5.829507474198406E-2</v>
      </c>
      <c r="L1478" s="6">
        <f t="shared" si="93"/>
        <v>1.3599999999999999</v>
      </c>
      <c r="M1478" s="6">
        <f t="shared" si="94"/>
        <v>26.583645320197043</v>
      </c>
      <c r="N1478" s="8">
        <f t="shared" si="95"/>
        <v>3.7471509206000952</v>
      </c>
    </row>
    <row r="1479" spans="1:14" x14ac:dyDescent="0.45">
      <c r="A1479" s="12">
        <v>45423</v>
      </c>
      <c r="B1479" s="2" t="s">
        <v>35</v>
      </c>
      <c r="C1479" s="2" t="s">
        <v>24</v>
      </c>
      <c r="D1479" s="2" t="s">
        <v>25</v>
      </c>
      <c r="E1479" s="2" t="s">
        <v>22</v>
      </c>
      <c r="F1479" s="2">
        <v>172108</v>
      </c>
      <c r="G1479" s="2">
        <v>6109</v>
      </c>
      <c r="H1479" s="2">
        <v>13928.52</v>
      </c>
      <c r="I1479" s="2">
        <v>435</v>
      </c>
      <c r="J1479" s="2">
        <v>13163.33</v>
      </c>
      <c r="K1479" s="4">
        <f t="shared" si="92"/>
        <v>3.5495154205498876E-2</v>
      </c>
      <c r="L1479" s="6">
        <f t="shared" si="93"/>
        <v>2.2800000000000002</v>
      </c>
      <c r="M1479" s="6">
        <f t="shared" si="94"/>
        <v>32.019586206896555</v>
      </c>
      <c r="N1479" s="8">
        <f t="shared" si="95"/>
        <v>0.94506307920726673</v>
      </c>
    </row>
    <row r="1480" spans="1:14" x14ac:dyDescent="0.45">
      <c r="A1480" s="12">
        <v>45589</v>
      </c>
      <c r="B1480" s="2" t="s">
        <v>20</v>
      </c>
      <c r="C1480" s="2" t="s">
        <v>24</v>
      </c>
      <c r="D1480" s="2" t="s">
        <v>21</v>
      </c>
      <c r="E1480" s="2" t="s">
        <v>51</v>
      </c>
      <c r="F1480" s="2">
        <v>193151</v>
      </c>
      <c r="G1480" s="2">
        <v>12168</v>
      </c>
      <c r="H1480" s="2">
        <v>13749.84</v>
      </c>
      <c r="I1480" s="2">
        <v>612</v>
      </c>
      <c r="J1480" s="2">
        <v>109401</v>
      </c>
      <c r="K1480" s="4">
        <f t="shared" si="92"/>
        <v>6.2997344046885603E-2</v>
      </c>
      <c r="L1480" s="6">
        <f t="shared" si="93"/>
        <v>1.1300000000000001</v>
      </c>
      <c r="M1480" s="6">
        <f t="shared" si="94"/>
        <v>22.467058823529413</v>
      </c>
      <c r="N1480" s="8">
        <f t="shared" si="95"/>
        <v>7.9565289487004938</v>
      </c>
    </row>
    <row r="1481" spans="1:14" x14ac:dyDescent="0.45">
      <c r="A1481" s="12">
        <v>45464</v>
      </c>
      <c r="B1481" s="2" t="s">
        <v>20</v>
      </c>
      <c r="C1481" s="2" t="s">
        <v>38</v>
      </c>
      <c r="D1481" s="2" t="s">
        <v>21</v>
      </c>
      <c r="E1481" s="2" t="s">
        <v>33</v>
      </c>
      <c r="F1481" s="2">
        <v>102519</v>
      </c>
      <c r="G1481" s="2">
        <v>4285</v>
      </c>
      <c r="H1481" s="2">
        <v>5142</v>
      </c>
      <c r="I1481" s="2">
        <v>137</v>
      </c>
      <c r="J1481" s="2">
        <v>26733.75</v>
      </c>
      <c r="K1481" s="4">
        <f t="shared" si="92"/>
        <v>4.1797130288044167E-2</v>
      </c>
      <c r="L1481" s="6">
        <f t="shared" si="93"/>
        <v>1.2</v>
      </c>
      <c r="M1481" s="6">
        <f t="shared" si="94"/>
        <v>37.532846715328468</v>
      </c>
      <c r="N1481" s="8">
        <f t="shared" si="95"/>
        <v>5.1990956826137689</v>
      </c>
    </row>
    <row r="1482" spans="1:14" x14ac:dyDescent="0.45">
      <c r="A1482" s="12">
        <v>45541</v>
      </c>
      <c r="B1482" s="2" t="s">
        <v>15</v>
      </c>
      <c r="C1482" s="2" t="s">
        <v>28</v>
      </c>
      <c r="D1482" s="2" t="s">
        <v>25</v>
      </c>
      <c r="E1482" s="2" t="s">
        <v>30</v>
      </c>
      <c r="F1482" s="2">
        <v>36092</v>
      </c>
      <c r="G1482" s="2">
        <v>1050</v>
      </c>
      <c r="H1482" s="2">
        <v>3864</v>
      </c>
      <c r="I1482" s="2">
        <v>34</v>
      </c>
      <c r="J1482" s="2">
        <v>1685.69</v>
      </c>
      <c r="K1482" s="4">
        <f t="shared" si="92"/>
        <v>2.909231962761831E-2</v>
      </c>
      <c r="L1482" s="6">
        <f t="shared" si="93"/>
        <v>3.68</v>
      </c>
      <c r="M1482" s="6">
        <f t="shared" si="94"/>
        <v>113.64705882352941</v>
      </c>
      <c r="N1482" s="8">
        <f t="shared" si="95"/>
        <v>0.43625517598343688</v>
      </c>
    </row>
    <row r="1483" spans="1:14" x14ac:dyDescent="0.45">
      <c r="A1483" s="12">
        <v>45536</v>
      </c>
      <c r="B1483" s="2" t="s">
        <v>20</v>
      </c>
      <c r="C1483" s="2" t="s">
        <v>24</v>
      </c>
      <c r="D1483" s="2" t="s">
        <v>21</v>
      </c>
      <c r="E1483" s="2" t="s">
        <v>54</v>
      </c>
      <c r="F1483" s="2">
        <v>6628</v>
      </c>
      <c r="G1483" s="2">
        <v>261</v>
      </c>
      <c r="H1483" s="2">
        <v>334.08</v>
      </c>
      <c r="I1483" s="2">
        <v>11</v>
      </c>
      <c r="J1483" s="2">
        <v>2224.48</v>
      </c>
      <c r="K1483" s="4">
        <f t="shared" si="92"/>
        <v>3.9378394689197342E-2</v>
      </c>
      <c r="L1483" s="6">
        <f t="shared" si="93"/>
        <v>1.28</v>
      </c>
      <c r="M1483" s="6">
        <f t="shared" si="94"/>
        <v>30.370909090909091</v>
      </c>
      <c r="N1483" s="8">
        <f t="shared" si="95"/>
        <v>6.65852490421456</v>
      </c>
    </row>
    <row r="1484" spans="1:14" x14ac:dyDescent="0.45">
      <c r="A1484" s="12">
        <v>45374</v>
      </c>
      <c r="B1484" s="2" t="s">
        <v>35</v>
      </c>
      <c r="C1484" s="2" t="s">
        <v>24</v>
      </c>
      <c r="D1484" s="2" t="s">
        <v>29</v>
      </c>
      <c r="E1484" s="2" t="s">
        <v>22</v>
      </c>
      <c r="F1484" s="2">
        <v>28593</v>
      </c>
      <c r="G1484" s="2">
        <v>694</v>
      </c>
      <c r="H1484" s="2">
        <v>1096.52</v>
      </c>
      <c r="I1484" s="2">
        <v>7</v>
      </c>
      <c r="J1484" s="2">
        <v>2098</v>
      </c>
      <c r="K1484" s="4">
        <f t="shared" si="92"/>
        <v>2.4271674885461475E-2</v>
      </c>
      <c r="L1484" s="6">
        <f t="shared" si="93"/>
        <v>1.58</v>
      </c>
      <c r="M1484" s="6">
        <f t="shared" si="94"/>
        <v>156.64571428571429</v>
      </c>
      <c r="N1484" s="8">
        <f t="shared" si="95"/>
        <v>1.9133257943311568</v>
      </c>
    </row>
    <row r="1485" spans="1:14" x14ac:dyDescent="0.45">
      <c r="A1485" s="12">
        <v>45446</v>
      </c>
      <c r="B1485" s="2" t="s">
        <v>35</v>
      </c>
      <c r="C1485" s="2" t="s">
        <v>16</v>
      </c>
      <c r="D1485" s="2" t="s">
        <v>21</v>
      </c>
      <c r="E1485" s="2" t="s">
        <v>30</v>
      </c>
      <c r="F1485" s="2">
        <v>186845</v>
      </c>
      <c r="G1485" s="2">
        <v>4204</v>
      </c>
      <c r="H1485" s="2">
        <v>7609.24</v>
      </c>
      <c r="I1485" s="2">
        <v>275</v>
      </c>
      <c r="J1485" s="2">
        <v>24004.25</v>
      </c>
      <c r="K1485" s="4">
        <f t="shared" si="92"/>
        <v>2.2499933099628035E-2</v>
      </c>
      <c r="L1485" s="6">
        <f t="shared" si="93"/>
        <v>1.81</v>
      </c>
      <c r="M1485" s="6">
        <f t="shared" si="94"/>
        <v>27.669963636363637</v>
      </c>
      <c r="N1485" s="8">
        <f t="shared" si="95"/>
        <v>3.1546185952867831</v>
      </c>
    </row>
    <row r="1486" spans="1:14" x14ac:dyDescent="0.45">
      <c r="A1486" s="12">
        <v>45518</v>
      </c>
      <c r="B1486" s="2" t="s">
        <v>35</v>
      </c>
      <c r="C1486" s="2" t="s">
        <v>16</v>
      </c>
      <c r="D1486" s="2" t="s">
        <v>17</v>
      </c>
      <c r="E1486" s="2" t="s">
        <v>26</v>
      </c>
      <c r="F1486" s="2">
        <v>25930</v>
      </c>
      <c r="G1486" s="2">
        <v>609</v>
      </c>
      <c r="H1486" s="2">
        <v>334.95</v>
      </c>
      <c r="I1486" s="2">
        <v>7</v>
      </c>
      <c r="J1486" s="2">
        <v>509.29</v>
      </c>
      <c r="K1486" s="4">
        <f t="shared" si="92"/>
        <v>2.3486309294253761E-2</v>
      </c>
      <c r="L1486" s="6">
        <f t="shared" si="93"/>
        <v>0.54999999999999993</v>
      </c>
      <c r="M1486" s="6">
        <f t="shared" si="94"/>
        <v>47.85</v>
      </c>
      <c r="N1486" s="8">
        <f t="shared" si="95"/>
        <v>1.5204955963576654</v>
      </c>
    </row>
    <row r="1487" spans="1:14" x14ac:dyDescent="0.45">
      <c r="A1487" s="12">
        <v>45591</v>
      </c>
      <c r="B1487" s="2" t="s">
        <v>15</v>
      </c>
      <c r="C1487" s="2" t="s">
        <v>38</v>
      </c>
      <c r="D1487" s="2" t="s">
        <v>17</v>
      </c>
      <c r="E1487" s="2" t="s">
        <v>18</v>
      </c>
      <c r="F1487" s="2">
        <v>114914</v>
      </c>
      <c r="G1487" s="2">
        <v>3803</v>
      </c>
      <c r="H1487" s="2">
        <v>10230.07</v>
      </c>
      <c r="I1487" s="2">
        <v>224</v>
      </c>
      <c r="J1487" s="2">
        <v>67007.759999999995</v>
      </c>
      <c r="K1487" s="4">
        <f t="shared" si="92"/>
        <v>3.3094314008736969E-2</v>
      </c>
      <c r="L1487" s="6">
        <f t="shared" si="93"/>
        <v>2.69</v>
      </c>
      <c r="M1487" s="6">
        <f t="shared" si="94"/>
        <v>45.669955357142854</v>
      </c>
      <c r="N1487" s="8">
        <f t="shared" si="95"/>
        <v>6.550078347459988</v>
      </c>
    </row>
    <row r="1488" spans="1:14" x14ac:dyDescent="0.45">
      <c r="A1488" s="12">
        <v>45562</v>
      </c>
      <c r="B1488" s="2" t="s">
        <v>15</v>
      </c>
      <c r="C1488" s="2" t="s">
        <v>38</v>
      </c>
      <c r="D1488" s="2" t="s">
        <v>21</v>
      </c>
      <c r="E1488" s="2" t="s">
        <v>54</v>
      </c>
      <c r="F1488" s="2">
        <v>34652</v>
      </c>
      <c r="G1488" s="2">
        <v>866</v>
      </c>
      <c r="H1488" s="2">
        <v>1359.62</v>
      </c>
      <c r="I1488" s="2">
        <v>43</v>
      </c>
      <c r="J1488" s="2">
        <v>2728.57</v>
      </c>
      <c r="K1488" s="4">
        <f t="shared" si="92"/>
        <v>2.4991342491053909E-2</v>
      </c>
      <c r="L1488" s="6">
        <f t="shared" si="93"/>
        <v>1.5699999999999998</v>
      </c>
      <c r="M1488" s="6">
        <f t="shared" si="94"/>
        <v>31.619069767441857</v>
      </c>
      <c r="N1488" s="8">
        <f t="shared" si="95"/>
        <v>2.0068622115002723</v>
      </c>
    </row>
    <row r="1489" spans="1:14" x14ac:dyDescent="0.45">
      <c r="A1489" s="12">
        <v>45343</v>
      </c>
      <c r="B1489" s="2" t="s">
        <v>15</v>
      </c>
      <c r="C1489" s="2" t="s">
        <v>38</v>
      </c>
      <c r="D1489" s="2" t="s">
        <v>21</v>
      </c>
      <c r="E1489" s="2" t="s">
        <v>51</v>
      </c>
      <c r="F1489" s="2">
        <v>136585</v>
      </c>
      <c r="G1489" s="2">
        <v>5668</v>
      </c>
      <c r="H1489" s="2">
        <v>16380.52</v>
      </c>
      <c r="I1489" s="2">
        <v>120</v>
      </c>
      <c r="J1489" s="2">
        <v>20065.189999999999</v>
      </c>
      <c r="K1489" s="4">
        <f t="shared" si="92"/>
        <v>4.1497968298129372E-2</v>
      </c>
      <c r="L1489" s="6">
        <f t="shared" si="93"/>
        <v>2.89</v>
      </c>
      <c r="M1489" s="6">
        <f t="shared" si="94"/>
        <v>136.50433333333334</v>
      </c>
      <c r="N1489" s="8">
        <f t="shared" si="95"/>
        <v>1.2249421874275053</v>
      </c>
    </row>
    <row r="1490" spans="1:14" x14ac:dyDescent="0.45">
      <c r="A1490" s="12">
        <v>45619</v>
      </c>
      <c r="B1490" s="2" t="s">
        <v>15</v>
      </c>
      <c r="C1490" s="2" t="s">
        <v>38</v>
      </c>
      <c r="D1490" s="2" t="s">
        <v>25</v>
      </c>
      <c r="E1490" s="2" t="s">
        <v>33</v>
      </c>
      <c r="F1490" s="2">
        <v>192822</v>
      </c>
      <c r="G1490" s="2">
        <v>6228</v>
      </c>
      <c r="H1490" s="2">
        <v>20863.8</v>
      </c>
      <c r="I1490" s="2">
        <v>87</v>
      </c>
      <c r="J1490" s="2">
        <v>18207.05</v>
      </c>
      <c r="K1490" s="4">
        <f t="shared" si="92"/>
        <v>3.2299218968789865E-2</v>
      </c>
      <c r="L1490" s="6">
        <f t="shared" si="93"/>
        <v>3.35</v>
      </c>
      <c r="M1490" s="6">
        <f t="shared" si="94"/>
        <v>239.81379310344826</v>
      </c>
      <c r="N1490" s="8">
        <f t="shared" si="95"/>
        <v>0.87266221877126893</v>
      </c>
    </row>
    <row r="1491" spans="1:14" x14ac:dyDescent="0.45">
      <c r="A1491" s="12">
        <v>45656</v>
      </c>
      <c r="B1491" s="2" t="s">
        <v>15</v>
      </c>
      <c r="C1491" s="2" t="s">
        <v>16</v>
      </c>
      <c r="D1491" s="2" t="s">
        <v>25</v>
      </c>
      <c r="E1491" s="2" t="s">
        <v>22</v>
      </c>
      <c r="F1491" s="2">
        <v>63738</v>
      </c>
      <c r="G1491" s="2">
        <v>1306</v>
      </c>
      <c r="H1491" s="2">
        <v>1214.58</v>
      </c>
      <c r="I1491" s="2">
        <v>87</v>
      </c>
      <c r="J1491" s="2">
        <v>16951.52</v>
      </c>
      <c r="K1491" s="4">
        <f t="shared" si="92"/>
        <v>2.0490131475728764E-2</v>
      </c>
      <c r="L1491" s="6">
        <f t="shared" si="93"/>
        <v>0.92999999999999994</v>
      </c>
      <c r="M1491" s="6">
        <f t="shared" si="94"/>
        <v>13.960689655172413</v>
      </c>
      <c r="N1491" s="8">
        <f t="shared" si="95"/>
        <v>13.956692848556704</v>
      </c>
    </row>
    <row r="1492" spans="1:14" x14ac:dyDescent="0.45">
      <c r="A1492" s="12">
        <v>45350</v>
      </c>
      <c r="B1492" s="2" t="s">
        <v>15</v>
      </c>
      <c r="C1492" s="2" t="s">
        <v>16</v>
      </c>
      <c r="D1492" s="2" t="s">
        <v>17</v>
      </c>
      <c r="E1492" s="2" t="s">
        <v>51</v>
      </c>
      <c r="F1492" s="2">
        <v>28267</v>
      </c>
      <c r="G1492" s="2">
        <v>1769</v>
      </c>
      <c r="H1492" s="2">
        <v>4581.71</v>
      </c>
      <c r="I1492" s="2">
        <v>33</v>
      </c>
      <c r="J1492" s="2">
        <v>1968.12</v>
      </c>
      <c r="K1492" s="4">
        <f t="shared" si="92"/>
        <v>6.258180917677858E-2</v>
      </c>
      <c r="L1492" s="6">
        <f t="shared" si="93"/>
        <v>2.59</v>
      </c>
      <c r="M1492" s="6">
        <f t="shared" si="94"/>
        <v>138.83969696969697</v>
      </c>
      <c r="N1492" s="8">
        <f t="shared" si="95"/>
        <v>0.42956014239225088</v>
      </c>
    </row>
    <row r="1493" spans="1:14" x14ac:dyDescent="0.45">
      <c r="A1493" s="12">
        <v>45386</v>
      </c>
      <c r="B1493" s="2" t="s">
        <v>35</v>
      </c>
      <c r="C1493" s="2" t="s">
        <v>38</v>
      </c>
      <c r="D1493" s="2" t="s">
        <v>17</v>
      </c>
      <c r="E1493" s="2" t="s">
        <v>54</v>
      </c>
      <c r="F1493" s="2">
        <v>42606</v>
      </c>
      <c r="G1493" s="2">
        <v>1495</v>
      </c>
      <c r="H1493" s="2">
        <v>1151.1500000000001</v>
      </c>
      <c r="I1493" s="2">
        <v>96</v>
      </c>
      <c r="J1493" s="2">
        <v>14890.27</v>
      </c>
      <c r="K1493" s="4">
        <f t="shared" si="92"/>
        <v>3.5088954607332301E-2</v>
      </c>
      <c r="L1493" s="6">
        <f t="shared" si="93"/>
        <v>0.77</v>
      </c>
      <c r="M1493" s="6">
        <f t="shared" si="94"/>
        <v>11.991145833333334</v>
      </c>
      <c r="N1493" s="8">
        <f t="shared" si="95"/>
        <v>12.935125743821395</v>
      </c>
    </row>
    <row r="1494" spans="1:14" x14ac:dyDescent="0.45">
      <c r="A1494" s="12">
        <v>45313</v>
      </c>
      <c r="B1494" s="2" t="s">
        <v>20</v>
      </c>
      <c r="C1494" s="2" t="s">
        <v>38</v>
      </c>
      <c r="D1494" s="2" t="s">
        <v>25</v>
      </c>
      <c r="E1494" s="2" t="s">
        <v>33</v>
      </c>
      <c r="F1494" s="2">
        <v>120409</v>
      </c>
      <c r="G1494" s="2">
        <v>8356</v>
      </c>
      <c r="H1494" s="2">
        <v>8021.76</v>
      </c>
      <c r="I1494" s="2">
        <v>663</v>
      </c>
      <c r="J1494" s="2">
        <v>50787.7</v>
      </c>
      <c r="K1494" s="4">
        <f t="shared" si="92"/>
        <v>6.9396805886603158E-2</v>
      </c>
      <c r="L1494" s="6">
        <f t="shared" si="93"/>
        <v>0.96000000000000008</v>
      </c>
      <c r="M1494" s="6">
        <f t="shared" si="94"/>
        <v>12.099185520361992</v>
      </c>
      <c r="N1494" s="8">
        <f t="shared" si="95"/>
        <v>6.331241523057284</v>
      </c>
    </row>
    <row r="1495" spans="1:14" x14ac:dyDescent="0.45">
      <c r="A1495" s="12">
        <v>45416</v>
      </c>
      <c r="B1495" s="2" t="s">
        <v>20</v>
      </c>
      <c r="C1495" s="2" t="s">
        <v>38</v>
      </c>
      <c r="D1495" s="2" t="s">
        <v>21</v>
      </c>
      <c r="E1495" s="2" t="s">
        <v>30</v>
      </c>
      <c r="F1495" s="2">
        <v>120210</v>
      </c>
      <c r="G1495" s="2">
        <v>6455</v>
      </c>
      <c r="H1495" s="2">
        <v>11489.9</v>
      </c>
      <c r="I1495" s="2">
        <v>289</v>
      </c>
      <c r="J1495" s="2">
        <v>23286.47</v>
      </c>
      <c r="K1495" s="4">
        <f t="shared" si="92"/>
        <v>5.3697695699193082E-2</v>
      </c>
      <c r="L1495" s="6">
        <f t="shared" si="93"/>
        <v>1.78</v>
      </c>
      <c r="M1495" s="6">
        <f t="shared" si="94"/>
        <v>39.757439446366782</v>
      </c>
      <c r="N1495" s="8">
        <f t="shared" si="95"/>
        <v>2.0266903976535917</v>
      </c>
    </row>
    <row r="1496" spans="1:14" x14ac:dyDescent="0.45">
      <c r="A1496" s="12">
        <v>45511</v>
      </c>
      <c r="B1496" s="2" t="s">
        <v>35</v>
      </c>
      <c r="C1496" s="2" t="s">
        <v>16</v>
      </c>
      <c r="D1496" s="2" t="s">
        <v>25</v>
      </c>
      <c r="E1496" s="2" t="s">
        <v>18</v>
      </c>
      <c r="F1496" s="2">
        <v>96360</v>
      </c>
      <c r="G1496" s="2">
        <v>3247</v>
      </c>
      <c r="H1496" s="2">
        <v>1396.21</v>
      </c>
      <c r="I1496" s="2">
        <v>211</v>
      </c>
      <c r="J1496" s="2">
        <v>50567.51</v>
      </c>
      <c r="K1496" s="4">
        <f t="shared" si="92"/>
        <v>3.3696554586965549E-2</v>
      </c>
      <c r="L1496" s="6">
        <f t="shared" si="93"/>
        <v>0.43</v>
      </c>
      <c r="M1496" s="6">
        <f t="shared" si="94"/>
        <v>6.6171090047393371</v>
      </c>
      <c r="N1496" s="8">
        <f t="shared" si="95"/>
        <v>36.217696478323461</v>
      </c>
    </row>
    <row r="1497" spans="1:14" x14ac:dyDescent="0.45">
      <c r="A1497" s="12">
        <v>45404</v>
      </c>
      <c r="B1497" s="2" t="s">
        <v>20</v>
      </c>
      <c r="C1497" s="2" t="s">
        <v>28</v>
      </c>
      <c r="D1497" s="2" t="s">
        <v>21</v>
      </c>
      <c r="E1497" s="2" t="s">
        <v>33</v>
      </c>
      <c r="F1497" s="2">
        <v>186006</v>
      </c>
      <c r="G1497" s="2">
        <v>9002</v>
      </c>
      <c r="H1497" s="2">
        <v>13683.04</v>
      </c>
      <c r="I1497" s="2">
        <v>266</v>
      </c>
      <c r="J1497" s="2">
        <v>31194.26</v>
      </c>
      <c r="K1497" s="4">
        <f t="shared" si="92"/>
        <v>4.8396288291775537E-2</v>
      </c>
      <c r="L1497" s="6">
        <f t="shared" si="93"/>
        <v>1.52</v>
      </c>
      <c r="M1497" s="6">
        <f t="shared" si="94"/>
        <v>51.440000000000005</v>
      </c>
      <c r="N1497" s="8">
        <f t="shared" si="95"/>
        <v>2.2797755469544776</v>
      </c>
    </row>
    <row r="1498" spans="1:14" x14ac:dyDescent="0.45">
      <c r="A1498" s="12">
        <v>45579</v>
      </c>
      <c r="B1498" s="2" t="s">
        <v>15</v>
      </c>
      <c r="C1498" s="2" t="s">
        <v>28</v>
      </c>
      <c r="D1498" s="2" t="s">
        <v>41</v>
      </c>
      <c r="E1498" s="2" t="s">
        <v>30</v>
      </c>
      <c r="F1498" s="2">
        <v>34036</v>
      </c>
      <c r="G1498" s="2">
        <v>2086</v>
      </c>
      <c r="H1498" s="2">
        <v>7196.7</v>
      </c>
      <c r="I1498" s="2">
        <v>110</v>
      </c>
      <c r="J1498" s="2">
        <v>21503.08</v>
      </c>
      <c r="K1498" s="4">
        <f t="shared" si="92"/>
        <v>6.1288047949230227E-2</v>
      </c>
      <c r="L1498" s="6">
        <f t="shared" si="93"/>
        <v>3.4499999999999997</v>
      </c>
      <c r="M1498" s="6">
        <f t="shared" si="94"/>
        <v>65.424545454545452</v>
      </c>
      <c r="N1498" s="8">
        <f t="shared" si="95"/>
        <v>2.9879083468812095</v>
      </c>
    </row>
    <row r="1499" spans="1:14" x14ac:dyDescent="0.45">
      <c r="A1499" s="12">
        <v>45332</v>
      </c>
      <c r="B1499" s="2" t="s">
        <v>20</v>
      </c>
      <c r="C1499" s="2" t="s">
        <v>28</v>
      </c>
      <c r="D1499" s="2" t="s">
        <v>29</v>
      </c>
      <c r="E1499" s="2" t="s">
        <v>26</v>
      </c>
      <c r="F1499" s="2">
        <v>116709</v>
      </c>
      <c r="G1499" s="2">
        <v>6640</v>
      </c>
      <c r="H1499" s="2">
        <v>13080.8</v>
      </c>
      <c r="I1499" s="2">
        <v>304</v>
      </c>
      <c r="J1499" s="2">
        <v>83458.179999999993</v>
      </c>
      <c r="K1499" s="4">
        <f t="shared" si="92"/>
        <v>5.6893641450102395E-2</v>
      </c>
      <c r="L1499" s="6">
        <f t="shared" si="93"/>
        <v>1.97</v>
      </c>
      <c r="M1499" s="6">
        <f t="shared" si="94"/>
        <v>43.028947368421051</v>
      </c>
      <c r="N1499" s="8">
        <f t="shared" si="95"/>
        <v>6.3802045746437521</v>
      </c>
    </row>
    <row r="1500" spans="1:14" x14ac:dyDescent="0.45">
      <c r="A1500" s="12">
        <v>45448</v>
      </c>
      <c r="B1500" s="2" t="s">
        <v>35</v>
      </c>
      <c r="C1500" s="2" t="s">
        <v>28</v>
      </c>
      <c r="D1500" s="2" t="s">
        <v>21</v>
      </c>
      <c r="E1500" s="2" t="s">
        <v>22</v>
      </c>
      <c r="F1500" s="2">
        <v>98276</v>
      </c>
      <c r="G1500" s="2">
        <v>2368</v>
      </c>
      <c r="H1500" s="2">
        <v>3338.88</v>
      </c>
      <c r="I1500" s="2">
        <v>115</v>
      </c>
      <c r="J1500" s="2">
        <v>21637.86</v>
      </c>
      <c r="K1500" s="4">
        <f t="shared" si="92"/>
        <v>2.4095404778379258E-2</v>
      </c>
      <c r="L1500" s="6">
        <f t="shared" si="93"/>
        <v>1.4100000000000001</v>
      </c>
      <c r="M1500" s="6">
        <f t="shared" si="94"/>
        <v>29.033739130434782</v>
      </c>
      <c r="N1500" s="8">
        <f t="shared" si="95"/>
        <v>6.4805743243243246</v>
      </c>
    </row>
    <row r="1501" spans="1:14" x14ac:dyDescent="0.45">
      <c r="A1501" s="12">
        <v>45554</v>
      </c>
      <c r="B1501" s="2" t="s">
        <v>15</v>
      </c>
      <c r="C1501" s="2" t="s">
        <v>28</v>
      </c>
      <c r="D1501" s="2" t="s">
        <v>21</v>
      </c>
      <c r="E1501" s="2" t="s">
        <v>22</v>
      </c>
      <c r="F1501" s="2">
        <v>162353</v>
      </c>
      <c r="G1501" s="2">
        <v>3977</v>
      </c>
      <c r="H1501" s="2">
        <v>5766.65</v>
      </c>
      <c r="I1501" s="2">
        <v>57</v>
      </c>
      <c r="J1501" s="2">
        <v>15175.48</v>
      </c>
      <c r="K1501" s="4">
        <f t="shared" si="92"/>
        <v>2.4496005617389269E-2</v>
      </c>
      <c r="L1501" s="6">
        <f t="shared" si="93"/>
        <v>1.45</v>
      </c>
      <c r="M1501" s="6">
        <f t="shared" si="94"/>
        <v>101.16929824561403</v>
      </c>
      <c r="N1501" s="8">
        <f t="shared" si="95"/>
        <v>2.631593732929864</v>
      </c>
    </row>
    <row r="1502" spans="1:14" x14ac:dyDescent="0.45">
      <c r="A1502" s="12">
        <v>45631</v>
      </c>
      <c r="B1502" s="2" t="s">
        <v>35</v>
      </c>
      <c r="C1502" s="2" t="s">
        <v>16</v>
      </c>
      <c r="D1502" s="2" t="s">
        <v>29</v>
      </c>
      <c r="E1502" s="2" t="s">
        <v>22</v>
      </c>
      <c r="F1502" s="2">
        <v>129790</v>
      </c>
      <c r="G1502" s="2">
        <v>5697</v>
      </c>
      <c r="H1502" s="2">
        <v>2962.44</v>
      </c>
      <c r="I1502" s="2">
        <v>223</v>
      </c>
      <c r="J1502" s="2">
        <v>58627.34</v>
      </c>
      <c r="K1502" s="4">
        <f t="shared" si="92"/>
        <v>4.3893982587256339E-2</v>
      </c>
      <c r="L1502" s="6">
        <f t="shared" si="93"/>
        <v>0.52</v>
      </c>
      <c r="M1502" s="6">
        <f t="shared" si="94"/>
        <v>13.284484304932736</v>
      </c>
      <c r="N1502" s="8">
        <f t="shared" si="95"/>
        <v>19.790220223869511</v>
      </c>
    </row>
    <row r="1503" spans="1:14" x14ac:dyDescent="0.45">
      <c r="A1503" s="12">
        <v>45644</v>
      </c>
      <c r="B1503" s="2" t="s">
        <v>15</v>
      </c>
      <c r="C1503" s="2" t="s">
        <v>24</v>
      </c>
      <c r="D1503" s="2" t="s">
        <v>25</v>
      </c>
      <c r="E1503" s="2" t="s">
        <v>51</v>
      </c>
      <c r="F1503" s="2">
        <v>184982</v>
      </c>
      <c r="G1503" s="2">
        <v>4772</v>
      </c>
      <c r="H1503" s="2">
        <v>14697.76</v>
      </c>
      <c r="I1503" s="2">
        <v>141</v>
      </c>
      <c r="J1503" s="2">
        <v>26098.46</v>
      </c>
      <c r="K1503" s="4">
        <f t="shared" si="92"/>
        <v>2.5797104583148631E-2</v>
      </c>
      <c r="L1503" s="6">
        <f t="shared" si="93"/>
        <v>3.08</v>
      </c>
      <c r="M1503" s="6">
        <f t="shared" si="94"/>
        <v>104.23943262411348</v>
      </c>
      <c r="N1503" s="8">
        <f t="shared" si="95"/>
        <v>1.7756760213801286</v>
      </c>
    </row>
    <row r="1504" spans="1:14" x14ac:dyDescent="0.45">
      <c r="A1504" s="12">
        <v>45520</v>
      </c>
      <c r="B1504" s="2" t="s">
        <v>15</v>
      </c>
      <c r="C1504" s="2" t="s">
        <v>16</v>
      </c>
      <c r="D1504" s="2" t="s">
        <v>17</v>
      </c>
      <c r="E1504" s="2" t="s">
        <v>22</v>
      </c>
      <c r="F1504" s="2">
        <v>166673</v>
      </c>
      <c r="G1504" s="2">
        <v>4733</v>
      </c>
      <c r="H1504" s="2">
        <v>3975.72</v>
      </c>
      <c r="I1504" s="2">
        <v>336</v>
      </c>
      <c r="J1504" s="2">
        <v>98987.51</v>
      </c>
      <c r="K1504" s="4">
        <f t="shared" si="92"/>
        <v>2.8396920917005155E-2</v>
      </c>
      <c r="L1504" s="6">
        <f t="shared" si="93"/>
        <v>0.84</v>
      </c>
      <c r="M1504" s="6">
        <f t="shared" si="94"/>
        <v>11.8325</v>
      </c>
      <c r="N1504" s="8">
        <f t="shared" si="95"/>
        <v>24.898008411055105</v>
      </c>
    </row>
    <row r="1505" spans="1:14" x14ac:dyDescent="0.45">
      <c r="A1505" s="12">
        <v>45448</v>
      </c>
      <c r="B1505" s="2" t="s">
        <v>15</v>
      </c>
      <c r="C1505" s="2" t="s">
        <v>24</v>
      </c>
      <c r="D1505" s="2" t="s">
        <v>21</v>
      </c>
      <c r="E1505" s="2" t="s">
        <v>18</v>
      </c>
      <c r="F1505" s="2">
        <v>109148</v>
      </c>
      <c r="G1505" s="2">
        <v>3951</v>
      </c>
      <c r="H1505" s="2">
        <v>7072.29</v>
      </c>
      <c r="I1505" s="2">
        <v>249</v>
      </c>
      <c r="J1505" s="2">
        <v>56329.34</v>
      </c>
      <c r="K1505" s="4">
        <f t="shared" si="92"/>
        <v>3.6198556088980101E-2</v>
      </c>
      <c r="L1505" s="6">
        <f t="shared" si="93"/>
        <v>1.79</v>
      </c>
      <c r="M1505" s="6">
        <f t="shared" si="94"/>
        <v>28.402771084337349</v>
      </c>
      <c r="N1505" s="8">
        <f t="shared" si="95"/>
        <v>7.9647949956803235</v>
      </c>
    </row>
    <row r="1506" spans="1:14" x14ac:dyDescent="0.45">
      <c r="A1506" s="12">
        <v>45652</v>
      </c>
      <c r="B1506" s="2" t="s">
        <v>15</v>
      </c>
      <c r="C1506" s="2" t="s">
        <v>24</v>
      </c>
      <c r="D1506" s="2" t="s">
        <v>21</v>
      </c>
      <c r="E1506" s="2" t="s">
        <v>26</v>
      </c>
      <c r="F1506" s="2">
        <v>173700</v>
      </c>
      <c r="G1506" s="2">
        <v>7208</v>
      </c>
      <c r="H1506" s="2">
        <v>16506.32</v>
      </c>
      <c r="I1506" s="2">
        <v>178</v>
      </c>
      <c r="J1506" s="2">
        <v>32171.360000000001</v>
      </c>
      <c r="K1506" s="4">
        <f t="shared" si="92"/>
        <v>4.1496833621185954E-2</v>
      </c>
      <c r="L1506" s="6">
        <f t="shared" si="93"/>
        <v>2.29</v>
      </c>
      <c r="M1506" s="6">
        <f t="shared" si="94"/>
        <v>92.732134831460669</v>
      </c>
      <c r="N1506" s="8">
        <f t="shared" si="95"/>
        <v>1.9490328552942147</v>
      </c>
    </row>
    <row r="1507" spans="1:14" x14ac:dyDescent="0.45">
      <c r="A1507" s="12">
        <v>45409</v>
      </c>
      <c r="B1507" s="2" t="s">
        <v>35</v>
      </c>
      <c r="C1507" s="2" t="s">
        <v>24</v>
      </c>
      <c r="D1507" s="2" t="s">
        <v>21</v>
      </c>
      <c r="E1507" s="2" t="s">
        <v>18</v>
      </c>
      <c r="F1507" s="2">
        <v>173001</v>
      </c>
      <c r="G1507" s="2">
        <v>3477</v>
      </c>
      <c r="H1507" s="2">
        <v>3303.15</v>
      </c>
      <c r="I1507" s="2">
        <v>51</v>
      </c>
      <c r="J1507" s="2">
        <v>11186.61</v>
      </c>
      <c r="K1507" s="4">
        <f t="shared" si="92"/>
        <v>2.0098149721677911E-2</v>
      </c>
      <c r="L1507" s="6">
        <f t="shared" si="93"/>
        <v>0.95000000000000007</v>
      </c>
      <c r="M1507" s="6">
        <f t="shared" si="94"/>
        <v>64.767647058823528</v>
      </c>
      <c r="N1507" s="8">
        <f t="shared" si="95"/>
        <v>3.3866491076699514</v>
      </c>
    </row>
    <row r="1508" spans="1:14" x14ac:dyDescent="0.45">
      <c r="A1508" s="12">
        <v>45320</v>
      </c>
      <c r="B1508" s="2" t="s">
        <v>35</v>
      </c>
      <c r="C1508" s="2" t="s">
        <v>16</v>
      </c>
      <c r="D1508" s="2" t="s">
        <v>17</v>
      </c>
      <c r="E1508" s="2" t="s">
        <v>22</v>
      </c>
      <c r="F1508" s="2">
        <v>56534</v>
      </c>
      <c r="G1508" s="2">
        <v>1079</v>
      </c>
      <c r="H1508" s="2">
        <v>647.4</v>
      </c>
      <c r="I1508" s="2">
        <v>27</v>
      </c>
      <c r="J1508" s="2">
        <v>4508.3900000000003</v>
      </c>
      <c r="K1508" s="4">
        <f t="shared" si="92"/>
        <v>1.9085859836558531E-2</v>
      </c>
      <c r="L1508" s="6">
        <f t="shared" si="93"/>
        <v>0.6</v>
      </c>
      <c r="M1508" s="6">
        <f t="shared" si="94"/>
        <v>23.977777777777778</v>
      </c>
      <c r="N1508" s="8">
        <f t="shared" si="95"/>
        <v>6.9638399752857589</v>
      </c>
    </row>
    <row r="1509" spans="1:14" x14ac:dyDescent="0.45">
      <c r="A1509" s="12">
        <v>45641</v>
      </c>
      <c r="B1509" s="2" t="s">
        <v>15</v>
      </c>
      <c r="C1509" s="2" t="s">
        <v>16</v>
      </c>
      <c r="D1509" s="2" t="s">
        <v>25</v>
      </c>
      <c r="E1509" s="2" t="s">
        <v>54</v>
      </c>
      <c r="F1509" s="2">
        <v>58520</v>
      </c>
      <c r="G1509" s="2">
        <v>3604</v>
      </c>
      <c r="H1509" s="2">
        <v>5333.92</v>
      </c>
      <c r="I1509" s="2">
        <v>265</v>
      </c>
      <c r="J1509" s="2">
        <v>78186.23</v>
      </c>
      <c r="K1509" s="4">
        <f t="shared" si="92"/>
        <v>6.1585782638414216E-2</v>
      </c>
      <c r="L1509" s="6">
        <f t="shared" si="93"/>
        <v>1.48</v>
      </c>
      <c r="M1509" s="6">
        <f t="shared" si="94"/>
        <v>20.128</v>
      </c>
      <c r="N1509" s="8">
        <f t="shared" si="95"/>
        <v>14.658305711371748</v>
      </c>
    </row>
    <row r="1510" spans="1:14" x14ac:dyDescent="0.45">
      <c r="A1510" s="12">
        <v>45545</v>
      </c>
      <c r="B1510" s="2" t="s">
        <v>15</v>
      </c>
      <c r="C1510" s="2" t="s">
        <v>24</v>
      </c>
      <c r="D1510" s="2" t="s">
        <v>25</v>
      </c>
      <c r="E1510" s="2" t="s">
        <v>33</v>
      </c>
      <c r="F1510" s="2">
        <v>111071</v>
      </c>
      <c r="G1510" s="2">
        <v>2865</v>
      </c>
      <c r="H1510" s="2">
        <v>8107.95</v>
      </c>
      <c r="I1510" s="2">
        <v>39</v>
      </c>
      <c r="J1510" s="2">
        <v>8971.2800000000007</v>
      </c>
      <c r="K1510" s="4">
        <f t="shared" si="92"/>
        <v>2.57943117465405E-2</v>
      </c>
      <c r="L1510" s="6">
        <f t="shared" si="93"/>
        <v>2.83</v>
      </c>
      <c r="M1510" s="6">
        <f t="shared" si="94"/>
        <v>207.89615384615385</v>
      </c>
      <c r="N1510" s="8">
        <f t="shared" si="95"/>
        <v>1.1064794430158056</v>
      </c>
    </row>
    <row r="1511" spans="1:14" x14ac:dyDescent="0.45">
      <c r="A1511" s="12">
        <v>45390</v>
      </c>
      <c r="B1511" s="2" t="s">
        <v>15</v>
      </c>
      <c r="C1511" s="2" t="s">
        <v>28</v>
      </c>
      <c r="D1511" s="2" t="s">
        <v>29</v>
      </c>
      <c r="E1511" s="2" t="s">
        <v>51</v>
      </c>
      <c r="F1511" s="2">
        <v>153750</v>
      </c>
      <c r="G1511" s="2">
        <v>4920</v>
      </c>
      <c r="H1511" s="2">
        <v>14661.6</v>
      </c>
      <c r="I1511" s="2">
        <v>117</v>
      </c>
      <c r="J1511" s="2">
        <v>30000.6</v>
      </c>
      <c r="K1511" s="4">
        <f t="shared" si="92"/>
        <v>3.2000000000000001E-2</v>
      </c>
      <c r="L1511" s="6">
        <f t="shared" si="93"/>
        <v>2.98</v>
      </c>
      <c r="M1511" s="6">
        <f t="shared" si="94"/>
        <v>125.31282051282052</v>
      </c>
      <c r="N1511" s="8">
        <f t="shared" si="95"/>
        <v>2.0462023244393515</v>
      </c>
    </row>
    <row r="1512" spans="1:14" x14ac:dyDescent="0.45">
      <c r="A1512" s="12">
        <v>45414</v>
      </c>
      <c r="B1512" s="2" t="s">
        <v>35</v>
      </c>
      <c r="C1512" s="2" t="s">
        <v>38</v>
      </c>
      <c r="D1512" s="2" t="s">
        <v>29</v>
      </c>
      <c r="E1512" s="2" t="s">
        <v>26</v>
      </c>
      <c r="F1512" s="2">
        <v>108717</v>
      </c>
      <c r="G1512" s="2">
        <v>1435</v>
      </c>
      <c r="H1512" s="2">
        <v>2511.25</v>
      </c>
      <c r="I1512" s="2">
        <v>108</v>
      </c>
      <c r="J1512" s="2">
        <v>22074.54</v>
      </c>
      <c r="K1512" s="4">
        <f t="shared" si="92"/>
        <v>1.3199407636340223E-2</v>
      </c>
      <c r="L1512" s="6">
        <f t="shared" si="93"/>
        <v>1.75</v>
      </c>
      <c r="M1512" s="6">
        <f t="shared" si="94"/>
        <v>23.252314814814813</v>
      </c>
      <c r="N1512" s="8">
        <f t="shared" si="95"/>
        <v>8.790259830761574</v>
      </c>
    </row>
    <row r="1513" spans="1:14" x14ac:dyDescent="0.45">
      <c r="A1513" s="12">
        <v>45456</v>
      </c>
      <c r="B1513" s="2" t="s">
        <v>15</v>
      </c>
      <c r="C1513" s="2" t="s">
        <v>28</v>
      </c>
      <c r="D1513" s="2" t="s">
        <v>41</v>
      </c>
      <c r="E1513" s="2" t="s">
        <v>51</v>
      </c>
      <c r="F1513" s="2">
        <v>141455</v>
      </c>
      <c r="G1513" s="2">
        <v>2673</v>
      </c>
      <c r="H1513" s="2">
        <v>7537.86</v>
      </c>
      <c r="I1513" s="2">
        <v>122</v>
      </c>
      <c r="J1513" s="2">
        <v>19810.32</v>
      </c>
      <c r="K1513" s="4">
        <f t="shared" si="92"/>
        <v>1.8896468841681099E-2</v>
      </c>
      <c r="L1513" s="6">
        <f t="shared" si="93"/>
        <v>2.82</v>
      </c>
      <c r="M1513" s="6">
        <f t="shared" si="94"/>
        <v>61.785737704918027</v>
      </c>
      <c r="N1513" s="8">
        <f t="shared" si="95"/>
        <v>2.6281093042322357</v>
      </c>
    </row>
    <row r="1514" spans="1:14" x14ac:dyDescent="0.45">
      <c r="A1514" s="12">
        <v>45630</v>
      </c>
      <c r="B1514" s="2" t="s">
        <v>35</v>
      </c>
      <c r="C1514" s="2" t="s">
        <v>16</v>
      </c>
      <c r="D1514" s="2" t="s">
        <v>25</v>
      </c>
      <c r="E1514" s="2" t="s">
        <v>26</v>
      </c>
      <c r="F1514" s="2">
        <v>158742</v>
      </c>
      <c r="G1514" s="2">
        <v>5778</v>
      </c>
      <c r="H1514" s="2">
        <v>12538.26</v>
      </c>
      <c r="I1514" s="2">
        <v>388</v>
      </c>
      <c r="J1514" s="2">
        <v>68610.11</v>
      </c>
      <c r="K1514" s="4">
        <f t="shared" si="92"/>
        <v>3.6398684658124507E-2</v>
      </c>
      <c r="L1514" s="6">
        <f t="shared" si="93"/>
        <v>2.17</v>
      </c>
      <c r="M1514" s="6">
        <f t="shared" si="94"/>
        <v>32.315103092783502</v>
      </c>
      <c r="N1514" s="8">
        <f t="shared" si="95"/>
        <v>5.4720599189999248</v>
      </c>
    </row>
    <row r="1515" spans="1:14" x14ac:dyDescent="0.45">
      <c r="A1515" s="12">
        <v>45408</v>
      </c>
      <c r="B1515" s="2" t="s">
        <v>35</v>
      </c>
      <c r="C1515" s="2" t="s">
        <v>16</v>
      </c>
      <c r="D1515" s="2" t="s">
        <v>41</v>
      </c>
      <c r="E1515" s="2" t="s">
        <v>30</v>
      </c>
      <c r="F1515" s="2">
        <v>26845</v>
      </c>
      <c r="G1515" s="2">
        <v>528</v>
      </c>
      <c r="H1515" s="2">
        <v>1098.24</v>
      </c>
      <c r="I1515" s="2">
        <v>11</v>
      </c>
      <c r="J1515" s="2">
        <v>1590.52</v>
      </c>
      <c r="K1515" s="4">
        <f t="shared" si="92"/>
        <v>1.9668467126094245E-2</v>
      </c>
      <c r="L1515" s="6">
        <f t="shared" si="93"/>
        <v>2.08</v>
      </c>
      <c r="M1515" s="6">
        <f t="shared" si="94"/>
        <v>99.84</v>
      </c>
      <c r="N1515" s="8">
        <f t="shared" si="95"/>
        <v>1.4482444638694638</v>
      </c>
    </row>
    <row r="1516" spans="1:14" x14ac:dyDescent="0.45">
      <c r="A1516" s="12">
        <v>45570</v>
      </c>
      <c r="B1516" s="2" t="s">
        <v>15</v>
      </c>
      <c r="C1516" s="2" t="s">
        <v>24</v>
      </c>
      <c r="D1516" s="2" t="s">
        <v>17</v>
      </c>
      <c r="E1516" s="2" t="s">
        <v>26</v>
      </c>
      <c r="F1516" s="2">
        <v>92332</v>
      </c>
      <c r="G1516" s="2">
        <v>5336</v>
      </c>
      <c r="H1516" s="2">
        <v>5015.84</v>
      </c>
      <c r="I1516" s="2">
        <v>213</v>
      </c>
      <c r="J1516" s="2">
        <v>39347.29</v>
      </c>
      <c r="K1516" s="4">
        <f t="shared" si="92"/>
        <v>5.7791448251960316E-2</v>
      </c>
      <c r="L1516" s="6">
        <f t="shared" si="93"/>
        <v>0.94000000000000006</v>
      </c>
      <c r="M1516" s="6">
        <f t="shared" si="94"/>
        <v>23.548544600938968</v>
      </c>
      <c r="N1516" s="8">
        <f t="shared" si="95"/>
        <v>7.8446062872818914</v>
      </c>
    </row>
    <row r="1517" spans="1:14" x14ac:dyDescent="0.45">
      <c r="A1517" s="12">
        <v>45540</v>
      </c>
      <c r="B1517" s="2" t="s">
        <v>15</v>
      </c>
      <c r="C1517" s="2" t="s">
        <v>16</v>
      </c>
      <c r="D1517" s="2" t="s">
        <v>41</v>
      </c>
      <c r="E1517" s="2" t="s">
        <v>51</v>
      </c>
      <c r="F1517" s="2">
        <v>90953</v>
      </c>
      <c r="G1517" s="2">
        <v>4365</v>
      </c>
      <c r="H1517" s="2">
        <v>13269.6</v>
      </c>
      <c r="I1517" s="2">
        <v>73</v>
      </c>
      <c r="J1517" s="2">
        <v>19836.75</v>
      </c>
      <c r="K1517" s="4">
        <f t="shared" si="92"/>
        <v>4.7991819950963688E-2</v>
      </c>
      <c r="L1517" s="6">
        <f t="shared" si="93"/>
        <v>3.04</v>
      </c>
      <c r="M1517" s="6">
        <f t="shared" si="94"/>
        <v>181.77534246575343</v>
      </c>
      <c r="N1517" s="8">
        <f t="shared" si="95"/>
        <v>1.4949018809911376</v>
      </c>
    </row>
    <row r="1518" spans="1:14" x14ac:dyDescent="0.45">
      <c r="A1518" s="12">
        <v>45561</v>
      </c>
      <c r="B1518" s="2" t="s">
        <v>35</v>
      </c>
      <c r="C1518" s="2" t="s">
        <v>28</v>
      </c>
      <c r="D1518" s="2" t="s">
        <v>29</v>
      </c>
      <c r="E1518" s="2" t="s">
        <v>33</v>
      </c>
      <c r="F1518" s="2">
        <v>15047</v>
      </c>
      <c r="G1518" s="2">
        <v>368</v>
      </c>
      <c r="H1518" s="2">
        <v>390.08</v>
      </c>
      <c r="I1518" s="2">
        <v>27</v>
      </c>
      <c r="J1518" s="2">
        <v>6244.19</v>
      </c>
      <c r="K1518" s="4">
        <f t="shared" si="92"/>
        <v>2.4456702332690903E-2</v>
      </c>
      <c r="L1518" s="6">
        <f t="shared" si="93"/>
        <v>1.06</v>
      </c>
      <c r="M1518" s="6">
        <f t="shared" si="94"/>
        <v>14.447407407407407</v>
      </c>
      <c r="N1518" s="8">
        <f t="shared" si="95"/>
        <v>16.007460008203445</v>
      </c>
    </row>
    <row r="1519" spans="1:14" x14ac:dyDescent="0.45">
      <c r="A1519" s="12">
        <v>45394</v>
      </c>
      <c r="B1519" s="2" t="s">
        <v>15</v>
      </c>
      <c r="C1519" s="2" t="s">
        <v>16</v>
      </c>
      <c r="D1519" s="2" t="s">
        <v>25</v>
      </c>
      <c r="E1519" s="2" t="s">
        <v>18</v>
      </c>
      <c r="F1519" s="2">
        <v>57632</v>
      </c>
      <c r="G1519" s="2">
        <v>1256</v>
      </c>
      <c r="H1519" s="2">
        <v>2198</v>
      </c>
      <c r="I1519" s="2">
        <v>20</v>
      </c>
      <c r="J1519" s="2">
        <v>1647.61</v>
      </c>
      <c r="K1519" s="4">
        <f t="shared" si="92"/>
        <v>2.1793448084397558E-2</v>
      </c>
      <c r="L1519" s="6">
        <f t="shared" si="93"/>
        <v>1.75</v>
      </c>
      <c r="M1519" s="6">
        <f t="shared" si="94"/>
        <v>109.9</v>
      </c>
      <c r="N1519" s="8">
        <f t="shared" si="95"/>
        <v>0.74959508644222017</v>
      </c>
    </row>
    <row r="1520" spans="1:14" x14ac:dyDescent="0.45">
      <c r="A1520" s="12">
        <v>45593</v>
      </c>
      <c r="B1520" s="2" t="s">
        <v>20</v>
      </c>
      <c r="C1520" s="2" t="s">
        <v>28</v>
      </c>
      <c r="D1520" s="2" t="s">
        <v>21</v>
      </c>
      <c r="E1520" s="2" t="s">
        <v>18</v>
      </c>
      <c r="F1520" s="2">
        <v>193568</v>
      </c>
      <c r="G1520" s="2">
        <v>12659</v>
      </c>
      <c r="H1520" s="2">
        <v>15697.16</v>
      </c>
      <c r="I1520" s="2">
        <v>366</v>
      </c>
      <c r="J1520" s="2">
        <v>17585.84</v>
      </c>
      <c r="K1520" s="4">
        <f t="shared" si="92"/>
        <v>6.539820631509341E-2</v>
      </c>
      <c r="L1520" s="6">
        <f t="shared" si="93"/>
        <v>1.24</v>
      </c>
      <c r="M1520" s="6">
        <f t="shared" si="94"/>
        <v>42.888415300546448</v>
      </c>
      <c r="N1520" s="8">
        <f t="shared" si="95"/>
        <v>1.120319854037291</v>
      </c>
    </row>
    <row r="1521" spans="1:14" x14ac:dyDescent="0.45">
      <c r="A1521" s="12">
        <v>45433</v>
      </c>
      <c r="B1521" s="2" t="s">
        <v>15</v>
      </c>
      <c r="C1521" s="2" t="s">
        <v>24</v>
      </c>
      <c r="D1521" s="2" t="s">
        <v>29</v>
      </c>
      <c r="E1521" s="2" t="s">
        <v>30</v>
      </c>
      <c r="F1521" s="2">
        <v>30343</v>
      </c>
      <c r="G1521" s="2">
        <v>743</v>
      </c>
      <c r="H1521" s="2">
        <v>2266.15</v>
      </c>
      <c r="I1521" s="2">
        <v>39</v>
      </c>
      <c r="J1521" s="2">
        <v>7450.31</v>
      </c>
      <c r="K1521" s="4">
        <f t="shared" si="92"/>
        <v>2.4486702040009228E-2</v>
      </c>
      <c r="L1521" s="6">
        <f t="shared" si="93"/>
        <v>3.0500000000000003</v>
      </c>
      <c r="M1521" s="6">
        <f t="shared" si="94"/>
        <v>58.106410256410257</v>
      </c>
      <c r="N1521" s="8">
        <f t="shared" si="95"/>
        <v>3.2876508615934514</v>
      </c>
    </row>
    <row r="1522" spans="1:14" x14ac:dyDescent="0.45">
      <c r="A1522" s="12">
        <v>45527</v>
      </c>
      <c r="B1522" s="2" t="s">
        <v>35</v>
      </c>
      <c r="C1522" s="2" t="s">
        <v>38</v>
      </c>
      <c r="D1522" s="2" t="s">
        <v>29</v>
      </c>
      <c r="E1522" s="2" t="s">
        <v>30</v>
      </c>
      <c r="F1522" s="2">
        <v>6903</v>
      </c>
      <c r="G1522" s="2">
        <v>225</v>
      </c>
      <c r="H1522" s="2">
        <v>432</v>
      </c>
      <c r="I1522" s="2">
        <v>7</v>
      </c>
      <c r="J1522" s="2">
        <v>513.46</v>
      </c>
      <c r="K1522" s="4">
        <f t="shared" si="92"/>
        <v>3.259452411994785E-2</v>
      </c>
      <c r="L1522" s="6">
        <f t="shared" si="93"/>
        <v>1.92</v>
      </c>
      <c r="M1522" s="6">
        <f t="shared" si="94"/>
        <v>61.714285714285715</v>
      </c>
      <c r="N1522" s="8">
        <f t="shared" si="95"/>
        <v>1.1885648148148149</v>
      </c>
    </row>
    <row r="1523" spans="1:14" x14ac:dyDescent="0.45">
      <c r="A1523" s="12">
        <v>45340</v>
      </c>
      <c r="B1523" s="2" t="s">
        <v>20</v>
      </c>
      <c r="C1523" s="2" t="s">
        <v>38</v>
      </c>
      <c r="D1523" s="2" t="s">
        <v>29</v>
      </c>
      <c r="E1523" s="2" t="s">
        <v>26</v>
      </c>
      <c r="F1523" s="2">
        <v>194291</v>
      </c>
      <c r="G1523" s="2">
        <v>9248</v>
      </c>
      <c r="H1523" s="2">
        <v>9987.84</v>
      </c>
      <c r="I1523" s="2">
        <v>669</v>
      </c>
      <c r="J1523" s="2">
        <v>34771.85</v>
      </c>
      <c r="K1523" s="4">
        <f t="shared" si="92"/>
        <v>4.7598705035230657E-2</v>
      </c>
      <c r="L1523" s="6">
        <f t="shared" si="93"/>
        <v>1.08</v>
      </c>
      <c r="M1523" s="6">
        <f t="shared" si="94"/>
        <v>14.929506726457399</v>
      </c>
      <c r="N1523" s="8">
        <f t="shared" si="95"/>
        <v>3.4814184047802126</v>
      </c>
    </row>
    <row r="1524" spans="1:14" x14ac:dyDescent="0.45">
      <c r="A1524" s="12">
        <v>45513</v>
      </c>
      <c r="B1524" s="2" t="s">
        <v>35</v>
      </c>
      <c r="C1524" s="2" t="s">
        <v>28</v>
      </c>
      <c r="D1524" s="2" t="s">
        <v>25</v>
      </c>
      <c r="E1524" s="2" t="s">
        <v>51</v>
      </c>
      <c r="F1524" s="2">
        <v>25704</v>
      </c>
      <c r="G1524" s="2">
        <v>616</v>
      </c>
      <c r="H1524" s="2">
        <v>616</v>
      </c>
      <c r="I1524" s="2">
        <v>18</v>
      </c>
      <c r="J1524" s="2">
        <v>2381.36</v>
      </c>
      <c r="K1524" s="4">
        <f t="shared" si="92"/>
        <v>2.3965141612200435E-2</v>
      </c>
      <c r="L1524" s="6">
        <f t="shared" si="93"/>
        <v>1</v>
      </c>
      <c r="M1524" s="6">
        <f t="shared" si="94"/>
        <v>34.222222222222221</v>
      </c>
      <c r="N1524" s="8">
        <f t="shared" si="95"/>
        <v>3.8658441558441559</v>
      </c>
    </row>
    <row r="1525" spans="1:14" x14ac:dyDescent="0.45">
      <c r="A1525" s="12">
        <v>45443</v>
      </c>
      <c r="B1525" s="2" t="s">
        <v>15</v>
      </c>
      <c r="C1525" s="2" t="s">
        <v>38</v>
      </c>
      <c r="D1525" s="2" t="s">
        <v>25</v>
      </c>
      <c r="E1525" s="2" t="s">
        <v>30</v>
      </c>
      <c r="F1525" s="2">
        <v>18696</v>
      </c>
      <c r="G1525" s="2">
        <v>327</v>
      </c>
      <c r="H1525" s="2">
        <v>853.47</v>
      </c>
      <c r="I1525" s="2">
        <v>8</v>
      </c>
      <c r="J1525" s="2">
        <v>1284.99</v>
      </c>
      <c r="K1525" s="4">
        <f t="shared" si="92"/>
        <v>1.7490372272143773E-2</v>
      </c>
      <c r="L1525" s="6">
        <f t="shared" si="93"/>
        <v>2.61</v>
      </c>
      <c r="M1525" s="6">
        <f t="shared" si="94"/>
        <v>106.68375</v>
      </c>
      <c r="N1525" s="8">
        <f t="shared" si="95"/>
        <v>1.5056065239551477</v>
      </c>
    </row>
    <row r="1526" spans="1:14" x14ac:dyDescent="0.45">
      <c r="A1526" s="12">
        <v>45338</v>
      </c>
      <c r="B1526" s="2" t="s">
        <v>35</v>
      </c>
      <c r="C1526" s="2" t="s">
        <v>24</v>
      </c>
      <c r="D1526" s="2" t="s">
        <v>21</v>
      </c>
      <c r="E1526" s="2" t="s">
        <v>22</v>
      </c>
      <c r="F1526" s="2">
        <v>165408</v>
      </c>
      <c r="G1526" s="2">
        <v>1670</v>
      </c>
      <c r="H1526" s="2">
        <v>2171</v>
      </c>
      <c r="I1526" s="2">
        <v>80</v>
      </c>
      <c r="J1526" s="2">
        <v>9561</v>
      </c>
      <c r="K1526" s="4">
        <f t="shared" si="92"/>
        <v>1.0096246856258463E-2</v>
      </c>
      <c r="L1526" s="6">
        <f t="shared" si="93"/>
        <v>1.3</v>
      </c>
      <c r="M1526" s="6">
        <f t="shared" si="94"/>
        <v>27.137499999999999</v>
      </c>
      <c r="N1526" s="8">
        <f t="shared" si="95"/>
        <v>4.4039613081529252</v>
      </c>
    </row>
    <row r="1527" spans="1:14" x14ac:dyDescent="0.45">
      <c r="A1527" s="12">
        <v>45396</v>
      </c>
      <c r="B1527" s="2" t="s">
        <v>15</v>
      </c>
      <c r="C1527" s="2" t="s">
        <v>16</v>
      </c>
      <c r="D1527" s="2" t="s">
        <v>41</v>
      </c>
      <c r="E1527" s="2" t="s">
        <v>54</v>
      </c>
      <c r="F1527" s="2">
        <v>191372</v>
      </c>
      <c r="G1527" s="2">
        <v>11711</v>
      </c>
      <c r="H1527" s="2">
        <v>29043.279999999999</v>
      </c>
      <c r="I1527" s="2">
        <v>335</v>
      </c>
      <c r="J1527" s="2">
        <v>75028.42</v>
      </c>
      <c r="K1527" s="4">
        <f t="shared" si="92"/>
        <v>6.1194950149447147E-2</v>
      </c>
      <c r="L1527" s="6">
        <f t="shared" si="93"/>
        <v>2.48</v>
      </c>
      <c r="M1527" s="6">
        <f t="shared" si="94"/>
        <v>86.696358208955218</v>
      </c>
      <c r="N1527" s="8">
        <f t="shared" si="95"/>
        <v>2.5833314969934524</v>
      </c>
    </row>
    <row r="1528" spans="1:14" x14ac:dyDescent="0.45">
      <c r="A1528" s="12">
        <v>45541</v>
      </c>
      <c r="B1528" s="2" t="s">
        <v>35</v>
      </c>
      <c r="C1528" s="2" t="s">
        <v>38</v>
      </c>
      <c r="D1528" s="2" t="s">
        <v>21</v>
      </c>
      <c r="E1528" s="2" t="s">
        <v>26</v>
      </c>
      <c r="F1528" s="2">
        <v>71247</v>
      </c>
      <c r="G1528" s="2">
        <v>1888</v>
      </c>
      <c r="H1528" s="2">
        <v>887.36</v>
      </c>
      <c r="I1528" s="2">
        <v>57</v>
      </c>
      <c r="J1528" s="2">
        <v>9045.86</v>
      </c>
      <c r="K1528" s="4">
        <f t="shared" si="92"/>
        <v>2.6499361376619367E-2</v>
      </c>
      <c r="L1528" s="6">
        <f t="shared" si="93"/>
        <v>0.47000000000000003</v>
      </c>
      <c r="M1528" s="6">
        <f t="shared" si="94"/>
        <v>15.567719298245613</v>
      </c>
      <c r="N1528" s="8">
        <f t="shared" si="95"/>
        <v>10.194126397403535</v>
      </c>
    </row>
    <row r="1529" spans="1:14" x14ac:dyDescent="0.45">
      <c r="A1529" s="12">
        <v>45393</v>
      </c>
      <c r="B1529" s="2" t="s">
        <v>20</v>
      </c>
      <c r="C1529" s="2" t="s">
        <v>16</v>
      </c>
      <c r="D1529" s="2" t="s">
        <v>17</v>
      </c>
      <c r="E1529" s="2" t="s">
        <v>18</v>
      </c>
      <c r="F1529" s="2">
        <v>132294</v>
      </c>
      <c r="G1529" s="2">
        <v>7527</v>
      </c>
      <c r="H1529" s="2">
        <v>6774.3</v>
      </c>
      <c r="I1529" s="2">
        <v>262</v>
      </c>
      <c r="J1529" s="2">
        <v>50030.33</v>
      </c>
      <c r="K1529" s="4">
        <f t="shared" si="92"/>
        <v>5.6896004353938955E-2</v>
      </c>
      <c r="L1529" s="6">
        <f t="shared" si="93"/>
        <v>0.9</v>
      </c>
      <c r="M1529" s="6">
        <f t="shared" si="94"/>
        <v>25.856106870229009</v>
      </c>
      <c r="N1529" s="8">
        <f t="shared" si="95"/>
        <v>7.3853136117384821</v>
      </c>
    </row>
    <row r="1530" spans="1:14" x14ac:dyDescent="0.45">
      <c r="A1530" s="12">
        <v>45655</v>
      </c>
      <c r="B1530" s="2" t="s">
        <v>20</v>
      </c>
      <c r="C1530" s="2" t="s">
        <v>38</v>
      </c>
      <c r="D1530" s="2" t="s">
        <v>41</v>
      </c>
      <c r="E1530" s="2" t="s">
        <v>30</v>
      </c>
      <c r="F1530" s="2">
        <v>66086</v>
      </c>
      <c r="G1530" s="2">
        <v>3317</v>
      </c>
      <c r="H1530" s="2">
        <v>1094.6099999999999</v>
      </c>
      <c r="I1530" s="2">
        <v>206</v>
      </c>
      <c r="J1530" s="2">
        <v>51119.73</v>
      </c>
      <c r="K1530" s="4">
        <f t="shared" si="92"/>
        <v>5.0192173834094966E-2</v>
      </c>
      <c r="L1530" s="6">
        <f t="shared" si="93"/>
        <v>0.32999999999999996</v>
      </c>
      <c r="M1530" s="6">
        <f t="shared" si="94"/>
        <v>5.313640776699029</v>
      </c>
      <c r="N1530" s="8">
        <f t="shared" si="95"/>
        <v>46.701318277742764</v>
      </c>
    </row>
    <row r="1531" spans="1:14" x14ac:dyDescent="0.45">
      <c r="A1531" s="12">
        <v>45649</v>
      </c>
      <c r="B1531" s="2" t="s">
        <v>15</v>
      </c>
      <c r="C1531" s="2" t="s">
        <v>16</v>
      </c>
      <c r="D1531" s="2" t="s">
        <v>25</v>
      </c>
      <c r="E1531" s="2" t="s">
        <v>22</v>
      </c>
      <c r="F1531" s="2">
        <v>186232</v>
      </c>
      <c r="G1531" s="2">
        <v>9292</v>
      </c>
      <c r="H1531" s="2">
        <v>22300.799999999999</v>
      </c>
      <c r="I1531" s="2">
        <v>265</v>
      </c>
      <c r="J1531" s="2">
        <v>67766.02</v>
      </c>
      <c r="K1531" s="4">
        <f t="shared" si="92"/>
        <v>4.9894754929335455E-2</v>
      </c>
      <c r="L1531" s="6">
        <f t="shared" si="93"/>
        <v>2.4</v>
      </c>
      <c r="M1531" s="6">
        <f t="shared" si="94"/>
        <v>84.153962264150934</v>
      </c>
      <c r="N1531" s="8">
        <f t="shared" si="95"/>
        <v>3.0387259649878033</v>
      </c>
    </row>
    <row r="1532" spans="1:14" x14ac:dyDescent="0.45">
      <c r="A1532" s="12">
        <v>45597</v>
      </c>
      <c r="B1532" s="2" t="s">
        <v>20</v>
      </c>
      <c r="C1532" s="2" t="s">
        <v>28</v>
      </c>
      <c r="D1532" s="2" t="s">
        <v>25</v>
      </c>
      <c r="E1532" s="2" t="s">
        <v>51</v>
      </c>
      <c r="F1532" s="2">
        <v>145225</v>
      </c>
      <c r="G1532" s="2">
        <v>5562</v>
      </c>
      <c r="H1532" s="2">
        <v>4672.08</v>
      </c>
      <c r="I1532" s="2">
        <v>378</v>
      </c>
      <c r="J1532" s="2">
        <v>102053.93</v>
      </c>
      <c r="K1532" s="4">
        <f t="shared" si="92"/>
        <v>3.8299190910655881E-2</v>
      </c>
      <c r="L1532" s="6">
        <f t="shared" si="93"/>
        <v>0.84</v>
      </c>
      <c r="M1532" s="6">
        <f t="shared" si="94"/>
        <v>12.36</v>
      </c>
      <c r="N1532" s="8">
        <f t="shared" si="95"/>
        <v>21.843360986969401</v>
      </c>
    </row>
    <row r="1533" spans="1:14" x14ac:dyDescent="0.45">
      <c r="A1533" s="12">
        <v>45439</v>
      </c>
      <c r="B1533" s="2" t="s">
        <v>15</v>
      </c>
      <c r="C1533" s="2" t="s">
        <v>16</v>
      </c>
      <c r="D1533" s="2" t="s">
        <v>29</v>
      </c>
      <c r="E1533" s="2" t="s">
        <v>30</v>
      </c>
      <c r="F1533" s="2">
        <v>15470</v>
      </c>
      <c r="G1533" s="2">
        <v>529</v>
      </c>
      <c r="H1533" s="2">
        <v>634.79999999999995</v>
      </c>
      <c r="I1533" s="2">
        <v>5</v>
      </c>
      <c r="J1533" s="2">
        <v>1223.76</v>
      </c>
      <c r="K1533" s="4">
        <f t="shared" si="92"/>
        <v>3.4195216548157728E-2</v>
      </c>
      <c r="L1533" s="6">
        <f t="shared" si="93"/>
        <v>1.2</v>
      </c>
      <c r="M1533" s="6">
        <f t="shared" si="94"/>
        <v>126.96</v>
      </c>
      <c r="N1533" s="8">
        <f t="shared" si="95"/>
        <v>1.9277882797731569</v>
      </c>
    </row>
    <row r="1534" spans="1:14" x14ac:dyDescent="0.45">
      <c r="A1534" s="12">
        <v>45387</v>
      </c>
      <c r="B1534" s="2" t="s">
        <v>15</v>
      </c>
      <c r="C1534" s="2" t="s">
        <v>38</v>
      </c>
      <c r="D1534" s="2" t="s">
        <v>25</v>
      </c>
      <c r="E1534" s="2" t="s">
        <v>54</v>
      </c>
      <c r="F1534" s="2">
        <v>91814</v>
      </c>
      <c r="G1534" s="2">
        <v>2607</v>
      </c>
      <c r="H1534" s="2">
        <v>6465.36</v>
      </c>
      <c r="I1534" s="2">
        <v>129</v>
      </c>
      <c r="J1534" s="2">
        <v>25405.84</v>
      </c>
      <c r="K1534" s="4">
        <f t="shared" si="92"/>
        <v>2.8394362515520508E-2</v>
      </c>
      <c r="L1534" s="6">
        <f t="shared" si="93"/>
        <v>2.48</v>
      </c>
      <c r="M1534" s="6">
        <f t="shared" si="94"/>
        <v>50.119069767441857</v>
      </c>
      <c r="N1534" s="8">
        <f t="shared" si="95"/>
        <v>3.9295321528886253</v>
      </c>
    </row>
    <row r="1535" spans="1:14" x14ac:dyDescent="0.45">
      <c r="A1535" s="12">
        <v>45375</v>
      </c>
      <c r="B1535" s="2" t="s">
        <v>15</v>
      </c>
      <c r="C1535" s="2" t="s">
        <v>38</v>
      </c>
      <c r="D1535" s="2" t="s">
        <v>21</v>
      </c>
      <c r="E1535" s="2" t="s">
        <v>54</v>
      </c>
      <c r="F1535" s="2">
        <v>96087</v>
      </c>
      <c r="G1535" s="2">
        <v>3238</v>
      </c>
      <c r="H1535" s="2">
        <v>9843.52</v>
      </c>
      <c r="I1535" s="2">
        <v>45</v>
      </c>
      <c r="J1535" s="2">
        <v>7783</v>
      </c>
      <c r="K1535" s="4">
        <f t="shared" si="92"/>
        <v>3.3698627285689009E-2</v>
      </c>
      <c r="L1535" s="6">
        <f t="shared" si="93"/>
        <v>3.04</v>
      </c>
      <c r="M1535" s="6">
        <f t="shared" si="94"/>
        <v>218.74488888888891</v>
      </c>
      <c r="N1535" s="8">
        <f t="shared" si="95"/>
        <v>0.79067244237833612</v>
      </c>
    </row>
    <row r="1536" spans="1:14" x14ac:dyDescent="0.45">
      <c r="A1536" s="12">
        <v>45363</v>
      </c>
      <c r="B1536" s="2" t="s">
        <v>15</v>
      </c>
      <c r="C1536" s="2" t="s">
        <v>28</v>
      </c>
      <c r="D1536" s="2" t="s">
        <v>17</v>
      </c>
      <c r="E1536" s="2" t="s">
        <v>30</v>
      </c>
      <c r="F1536" s="2">
        <v>92943</v>
      </c>
      <c r="G1536" s="2">
        <v>5037</v>
      </c>
      <c r="H1536" s="2">
        <v>11383.62</v>
      </c>
      <c r="I1536" s="2">
        <v>232</v>
      </c>
      <c r="J1536" s="2">
        <v>64994.16</v>
      </c>
      <c r="K1536" s="4">
        <f t="shared" si="92"/>
        <v>5.4194506310319225E-2</v>
      </c>
      <c r="L1536" s="6">
        <f t="shared" si="93"/>
        <v>2.2600000000000002</v>
      </c>
      <c r="M1536" s="6">
        <f t="shared" si="94"/>
        <v>49.0673275862069</v>
      </c>
      <c r="N1536" s="8">
        <f t="shared" si="95"/>
        <v>5.709445677209886</v>
      </c>
    </row>
    <row r="1537" spans="1:14" x14ac:dyDescent="0.45">
      <c r="A1537" s="12">
        <v>45392</v>
      </c>
      <c r="B1537" s="2" t="s">
        <v>35</v>
      </c>
      <c r="C1537" s="2" t="s">
        <v>38</v>
      </c>
      <c r="D1537" s="2" t="s">
        <v>29</v>
      </c>
      <c r="E1537" s="2" t="s">
        <v>51</v>
      </c>
      <c r="F1537" s="2">
        <v>36411</v>
      </c>
      <c r="G1537" s="2">
        <v>873</v>
      </c>
      <c r="H1537" s="2">
        <v>1772.19</v>
      </c>
      <c r="I1537" s="2">
        <v>47</v>
      </c>
      <c r="J1537" s="2">
        <v>13565.96</v>
      </c>
      <c r="K1537" s="4">
        <f t="shared" si="92"/>
        <v>2.3976270907143445E-2</v>
      </c>
      <c r="L1537" s="6">
        <f t="shared" si="93"/>
        <v>2.0300000000000002</v>
      </c>
      <c r="M1537" s="6">
        <f t="shared" si="94"/>
        <v>37.706170212765961</v>
      </c>
      <c r="N1537" s="8">
        <f t="shared" si="95"/>
        <v>7.6549128479451971</v>
      </c>
    </row>
    <row r="1538" spans="1:14" x14ac:dyDescent="0.45">
      <c r="A1538" s="12">
        <v>45521</v>
      </c>
      <c r="B1538" s="2" t="s">
        <v>35</v>
      </c>
      <c r="C1538" s="2" t="s">
        <v>24</v>
      </c>
      <c r="D1538" s="2" t="s">
        <v>21</v>
      </c>
      <c r="E1538" s="2" t="s">
        <v>26</v>
      </c>
      <c r="F1538" s="2">
        <v>145170</v>
      </c>
      <c r="G1538" s="2">
        <v>4688</v>
      </c>
      <c r="H1538" s="2">
        <v>8204</v>
      </c>
      <c r="I1538" s="2">
        <v>106</v>
      </c>
      <c r="J1538" s="2">
        <v>30413.14</v>
      </c>
      <c r="K1538" s="4">
        <f t="shared" si="92"/>
        <v>3.2293173520699867E-2</v>
      </c>
      <c r="L1538" s="6">
        <f t="shared" si="93"/>
        <v>1.75</v>
      </c>
      <c r="M1538" s="6">
        <f t="shared" si="94"/>
        <v>77.396226415094333</v>
      </c>
      <c r="N1538" s="8">
        <f t="shared" si="95"/>
        <v>3.7071111652852267</v>
      </c>
    </row>
    <row r="1539" spans="1:14" x14ac:dyDescent="0.45">
      <c r="A1539" s="12">
        <v>45376</v>
      </c>
      <c r="B1539" s="2" t="s">
        <v>15</v>
      </c>
      <c r="C1539" s="2" t="s">
        <v>24</v>
      </c>
      <c r="D1539" s="2" t="s">
        <v>41</v>
      </c>
      <c r="E1539" s="2" t="s">
        <v>30</v>
      </c>
      <c r="F1539" s="2">
        <v>146428</v>
      </c>
      <c r="G1539" s="2">
        <v>2796</v>
      </c>
      <c r="H1539" s="2">
        <v>6263.04</v>
      </c>
      <c r="I1539" s="2">
        <v>164</v>
      </c>
      <c r="J1539" s="2">
        <v>33829.22</v>
      </c>
      <c r="K1539" s="4">
        <f t="shared" ref="K1539:K1602" si="96" xml:space="preserve"> G1539 / F1539</f>
        <v>1.9094708662277707E-2</v>
      </c>
      <c r="L1539" s="6">
        <f t="shared" ref="L1539:L1602" si="97">H1539/G1539</f>
        <v>2.2399999999999998</v>
      </c>
      <c r="M1539" s="6">
        <f t="shared" ref="M1539:M1602" si="98">H1539/I1539</f>
        <v>38.189268292682925</v>
      </c>
      <c r="N1539" s="8">
        <f t="shared" ref="N1539:N1602" si="99">J1539/H1539</f>
        <v>5.4014057071326391</v>
      </c>
    </row>
    <row r="1540" spans="1:14" x14ac:dyDescent="0.45">
      <c r="A1540" s="12">
        <v>45532</v>
      </c>
      <c r="B1540" s="2" t="s">
        <v>15</v>
      </c>
      <c r="C1540" s="2" t="s">
        <v>16</v>
      </c>
      <c r="D1540" s="2" t="s">
        <v>17</v>
      </c>
      <c r="E1540" s="2" t="s">
        <v>30</v>
      </c>
      <c r="F1540" s="2">
        <v>151772</v>
      </c>
      <c r="G1540" s="2">
        <v>6237</v>
      </c>
      <c r="H1540" s="2">
        <v>6361.74</v>
      </c>
      <c r="I1540" s="2">
        <v>302</v>
      </c>
      <c r="J1540" s="2">
        <v>77929.210000000006</v>
      </c>
      <c r="K1540" s="4">
        <f t="shared" si="96"/>
        <v>4.109453654165459E-2</v>
      </c>
      <c r="L1540" s="6">
        <f t="shared" si="97"/>
        <v>1.02</v>
      </c>
      <c r="M1540" s="6">
        <f t="shared" si="98"/>
        <v>21.065364238410595</v>
      </c>
      <c r="N1540" s="8">
        <f t="shared" si="99"/>
        <v>12.249669115682188</v>
      </c>
    </row>
    <row r="1541" spans="1:14" x14ac:dyDescent="0.45">
      <c r="A1541" s="12">
        <v>45310</v>
      </c>
      <c r="B1541" s="2" t="s">
        <v>20</v>
      </c>
      <c r="C1541" s="2" t="s">
        <v>16</v>
      </c>
      <c r="D1541" s="2" t="s">
        <v>41</v>
      </c>
      <c r="E1541" s="2" t="s">
        <v>26</v>
      </c>
      <c r="F1541" s="2">
        <v>179561</v>
      </c>
      <c r="G1541" s="2">
        <v>8600</v>
      </c>
      <c r="H1541" s="2">
        <v>12384</v>
      </c>
      <c r="I1541" s="2">
        <v>212</v>
      </c>
      <c r="J1541" s="2">
        <v>34386.07</v>
      </c>
      <c r="K1541" s="4">
        <f t="shared" si="96"/>
        <v>4.7894587354715114E-2</v>
      </c>
      <c r="L1541" s="6">
        <f t="shared" si="97"/>
        <v>1.44</v>
      </c>
      <c r="M1541" s="6">
        <f t="shared" si="98"/>
        <v>58.415094339622641</v>
      </c>
      <c r="N1541" s="8">
        <f t="shared" si="99"/>
        <v>2.7766529392764858</v>
      </c>
    </row>
    <row r="1542" spans="1:14" x14ac:dyDescent="0.45">
      <c r="A1542" s="12">
        <v>45546</v>
      </c>
      <c r="B1542" s="2" t="s">
        <v>15</v>
      </c>
      <c r="C1542" s="2" t="s">
        <v>16</v>
      </c>
      <c r="D1542" s="2" t="s">
        <v>21</v>
      </c>
      <c r="E1542" s="2" t="s">
        <v>18</v>
      </c>
      <c r="F1542" s="2">
        <v>100381</v>
      </c>
      <c r="G1542" s="2">
        <v>5691</v>
      </c>
      <c r="H1542" s="2">
        <v>4723.53</v>
      </c>
      <c r="I1542" s="2">
        <v>321</v>
      </c>
      <c r="J1542" s="2">
        <v>58283.85</v>
      </c>
      <c r="K1542" s="4">
        <f t="shared" si="96"/>
        <v>5.6693995875713533E-2</v>
      </c>
      <c r="L1542" s="6">
        <f t="shared" si="97"/>
        <v>0.83</v>
      </c>
      <c r="M1542" s="6">
        <f t="shared" si="98"/>
        <v>14.715046728971961</v>
      </c>
      <c r="N1542" s="8">
        <f t="shared" si="99"/>
        <v>12.33904516325714</v>
      </c>
    </row>
    <row r="1543" spans="1:14" x14ac:dyDescent="0.45">
      <c r="A1543" s="12">
        <v>45649</v>
      </c>
      <c r="B1543" s="2" t="s">
        <v>20</v>
      </c>
      <c r="C1543" s="2" t="s">
        <v>38</v>
      </c>
      <c r="D1543" s="2" t="s">
        <v>41</v>
      </c>
      <c r="E1543" s="2" t="s">
        <v>51</v>
      </c>
      <c r="F1543" s="2">
        <v>180552</v>
      </c>
      <c r="G1543" s="2">
        <v>6030</v>
      </c>
      <c r="H1543" s="2">
        <v>10251</v>
      </c>
      <c r="I1543" s="2">
        <v>383</v>
      </c>
      <c r="J1543" s="2">
        <v>23539.41</v>
      </c>
      <c r="K1543" s="4">
        <f t="shared" si="96"/>
        <v>3.3397580752359428E-2</v>
      </c>
      <c r="L1543" s="6">
        <f t="shared" si="97"/>
        <v>1.7</v>
      </c>
      <c r="M1543" s="6">
        <f t="shared" si="98"/>
        <v>26.765013054830288</v>
      </c>
      <c r="N1543" s="8">
        <f t="shared" si="99"/>
        <v>2.2963037752414399</v>
      </c>
    </row>
    <row r="1544" spans="1:14" x14ac:dyDescent="0.45">
      <c r="A1544" s="12">
        <v>45476</v>
      </c>
      <c r="B1544" s="2" t="s">
        <v>20</v>
      </c>
      <c r="C1544" s="2" t="s">
        <v>38</v>
      </c>
      <c r="D1544" s="2" t="s">
        <v>21</v>
      </c>
      <c r="E1544" s="2" t="s">
        <v>26</v>
      </c>
      <c r="F1544" s="2">
        <v>163328</v>
      </c>
      <c r="G1544" s="2">
        <v>4981</v>
      </c>
      <c r="H1544" s="2">
        <v>6027.01</v>
      </c>
      <c r="I1544" s="2">
        <v>142</v>
      </c>
      <c r="J1544" s="2">
        <v>21158.33</v>
      </c>
      <c r="K1544" s="4">
        <f t="shared" si="96"/>
        <v>3.0496914184952977E-2</v>
      </c>
      <c r="L1544" s="6">
        <f t="shared" si="97"/>
        <v>1.21</v>
      </c>
      <c r="M1544" s="6">
        <f t="shared" si="98"/>
        <v>42.443732394366201</v>
      </c>
      <c r="N1544" s="8">
        <f t="shared" si="99"/>
        <v>3.5105848505311923</v>
      </c>
    </row>
    <row r="1545" spans="1:14" x14ac:dyDescent="0.45">
      <c r="A1545" s="12">
        <v>45446</v>
      </c>
      <c r="B1545" s="2" t="s">
        <v>20</v>
      </c>
      <c r="C1545" s="2" t="s">
        <v>38</v>
      </c>
      <c r="D1545" s="2" t="s">
        <v>21</v>
      </c>
      <c r="E1545" s="2" t="s">
        <v>26</v>
      </c>
      <c r="F1545" s="2">
        <v>93635</v>
      </c>
      <c r="G1545" s="2">
        <v>4363</v>
      </c>
      <c r="H1545" s="2">
        <v>5933.68</v>
      </c>
      <c r="I1545" s="2">
        <v>117</v>
      </c>
      <c r="J1545" s="2">
        <v>29999.39</v>
      </c>
      <c r="K1545" s="4">
        <f t="shared" si="96"/>
        <v>4.65958242110322E-2</v>
      </c>
      <c r="L1545" s="6">
        <f t="shared" si="97"/>
        <v>1.36</v>
      </c>
      <c r="M1545" s="6">
        <f t="shared" si="98"/>
        <v>50.715213675213676</v>
      </c>
      <c r="N1545" s="8">
        <f t="shared" si="99"/>
        <v>5.0557815723126289</v>
      </c>
    </row>
    <row r="1546" spans="1:14" x14ac:dyDescent="0.45">
      <c r="A1546" s="12">
        <v>45655</v>
      </c>
      <c r="B1546" s="2" t="s">
        <v>15</v>
      </c>
      <c r="C1546" s="2" t="s">
        <v>38</v>
      </c>
      <c r="D1546" s="2" t="s">
        <v>29</v>
      </c>
      <c r="E1546" s="2" t="s">
        <v>18</v>
      </c>
      <c r="F1546" s="2">
        <v>133526</v>
      </c>
      <c r="G1546" s="2">
        <v>4633</v>
      </c>
      <c r="H1546" s="2">
        <v>14223.31</v>
      </c>
      <c r="I1546" s="2">
        <v>340</v>
      </c>
      <c r="J1546" s="2">
        <v>62193.85</v>
      </c>
      <c r="K1546" s="4">
        <f t="shared" si="96"/>
        <v>3.4697362311459944E-2</v>
      </c>
      <c r="L1546" s="6">
        <f t="shared" si="97"/>
        <v>3.07</v>
      </c>
      <c r="M1546" s="6">
        <f t="shared" si="98"/>
        <v>41.83326470588235</v>
      </c>
      <c r="N1546" s="8">
        <f t="shared" si="99"/>
        <v>4.3726706371442372</v>
      </c>
    </row>
    <row r="1547" spans="1:14" x14ac:dyDescent="0.45">
      <c r="A1547" s="12">
        <v>45328</v>
      </c>
      <c r="B1547" s="2" t="s">
        <v>20</v>
      </c>
      <c r="C1547" s="2" t="s">
        <v>24</v>
      </c>
      <c r="D1547" s="2" t="s">
        <v>41</v>
      </c>
      <c r="E1547" s="2" t="s">
        <v>33</v>
      </c>
      <c r="F1547" s="2">
        <v>48475</v>
      </c>
      <c r="G1547" s="2">
        <v>3160</v>
      </c>
      <c r="H1547" s="2">
        <v>2401.6</v>
      </c>
      <c r="I1547" s="2">
        <v>124</v>
      </c>
      <c r="J1547" s="2">
        <v>19990.89</v>
      </c>
      <c r="K1547" s="4">
        <f t="shared" si="96"/>
        <v>6.5188241361526567E-2</v>
      </c>
      <c r="L1547" s="6">
        <f t="shared" si="97"/>
        <v>0.76</v>
      </c>
      <c r="M1547" s="6">
        <f t="shared" si="98"/>
        <v>19.36774193548387</v>
      </c>
      <c r="N1547" s="8">
        <f t="shared" si="99"/>
        <v>8.3239881745502995</v>
      </c>
    </row>
    <row r="1548" spans="1:14" x14ac:dyDescent="0.45">
      <c r="A1548" s="12">
        <v>45609</v>
      </c>
      <c r="B1548" s="2" t="s">
        <v>20</v>
      </c>
      <c r="C1548" s="2" t="s">
        <v>24</v>
      </c>
      <c r="D1548" s="2" t="s">
        <v>17</v>
      </c>
      <c r="E1548" s="2" t="s">
        <v>51</v>
      </c>
      <c r="F1548" s="2">
        <v>195722</v>
      </c>
      <c r="G1548" s="2">
        <v>12624</v>
      </c>
      <c r="H1548" s="2">
        <v>25374.240000000002</v>
      </c>
      <c r="I1548" s="2">
        <v>755</v>
      </c>
      <c r="J1548" s="2">
        <v>129016.77</v>
      </c>
      <c r="K1548" s="4">
        <f t="shared" si="96"/>
        <v>6.4499647459151252E-2</v>
      </c>
      <c r="L1548" s="6">
        <f t="shared" si="97"/>
        <v>2.0100000000000002</v>
      </c>
      <c r="M1548" s="6">
        <f t="shared" si="98"/>
        <v>33.608264900662256</v>
      </c>
      <c r="N1548" s="8">
        <f t="shared" si="99"/>
        <v>5.0845570153037096</v>
      </c>
    </row>
    <row r="1549" spans="1:14" x14ac:dyDescent="0.45">
      <c r="A1549" s="12">
        <v>45416</v>
      </c>
      <c r="B1549" s="2" t="s">
        <v>15</v>
      </c>
      <c r="C1549" s="2" t="s">
        <v>16</v>
      </c>
      <c r="D1549" s="2" t="s">
        <v>25</v>
      </c>
      <c r="E1549" s="2" t="s">
        <v>22</v>
      </c>
      <c r="F1549" s="2">
        <v>106277</v>
      </c>
      <c r="G1549" s="2">
        <v>6961</v>
      </c>
      <c r="H1549" s="2">
        <v>20604.560000000001</v>
      </c>
      <c r="I1549" s="2">
        <v>180</v>
      </c>
      <c r="J1549" s="2">
        <v>42397.440000000002</v>
      </c>
      <c r="K1549" s="4">
        <f t="shared" si="96"/>
        <v>6.5498649754885813E-2</v>
      </c>
      <c r="L1549" s="6">
        <f t="shared" si="97"/>
        <v>2.9600000000000004</v>
      </c>
      <c r="M1549" s="6">
        <f t="shared" si="98"/>
        <v>114.46977777777778</v>
      </c>
      <c r="N1549" s="8">
        <f t="shared" si="99"/>
        <v>2.0576726705156529</v>
      </c>
    </row>
    <row r="1550" spans="1:14" x14ac:dyDescent="0.45">
      <c r="A1550" s="12">
        <v>45313</v>
      </c>
      <c r="B1550" s="2" t="s">
        <v>15</v>
      </c>
      <c r="C1550" s="2" t="s">
        <v>28</v>
      </c>
      <c r="D1550" s="2" t="s">
        <v>17</v>
      </c>
      <c r="E1550" s="2" t="s">
        <v>54</v>
      </c>
      <c r="F1550" s="2">
        <v>153953</v>
      </c>
      <c r="G1550" s="2">
        <v>5095</v>
      </c>
      <c r="H1550" s="2">
        <v>14571.7</v>
      </c>
      <c r="I1550" s="2">
        <v>110</v>
      </c>
      <c r="J1550" s="2">
        <v>30634.7</v>
      </c>
      <c r="K1550" s="4">
        <f t="shared" si="96"/>
        <v>3.3094515858736108E-2</v>
      </c>
      <c r="L1550" s="6">
        <f t="shared" si="97"/>
        <v>2.8600000000000003</v>
      </c>
      <c r="M1550" s="6">
        <f t="shared" si="98"/>
        <v>132.47</v>
      </c>
      <c r="N1550" s="8">
        <f t="shared" si="99"/>
        <v>2.1023422112725352</v>
      </c>
    </row>
    <row r="1551" spans="1:14" x14ac:dyDescent="0.45">
      <c r="A1551" s="12">
        <v>45542</v>
      </c>
      <c r="B1551" s="2" t="s">
        <v>35</v>
      </c>
      <c r="C1551" s="2" t="s">
        <v>24</v>
      </c>
      <c r="D1551" s="2" t="s">
        <v>25</v>
      </c>
      <c r="E1551" s="2" t="s">
        <v>30</v>
      </c>
      <c r="F1551" s="2">
        <v>142135</v>
      </c>
      <c r="G1551" s="2">
        <v>2387</v>
      </c>
      <c r="H1551" s="2">
        <v>4583.04</v>
      </c>
      <c r="I1551" s="2">
        <v>98</v>
      </c>
      <c r="J1551" s="2">
        <v>25385.35</v>
      </c>
      <c r="K1551" s="4">
        <f t="shared" si="96"/>
        <v>1.6793893129770993E-2</v>
      </c>
      <c r="L1551" s="6">
        <f t="shared" si="97"/>
        <v>1.92</v>
      </c>
      <c r="M1551" s="6">
        <f t="shared" si="98"/>
        <v>46.765714285714289</v>
      </c>
      <c r="N1551" s="8">
        <f t="shared" si="99"/>
        <v>5.5389763126658282</v>
      </c>
    </row>
    <row r="1552" spans="1:14" x14ac:dyDescent="0.45">
      <c r="A1552" s="12">
        <v>45621</v>
      </c>
      <c r="B1552" s="2" t="s">
        <v>15</v>
      </c>
      <c r="C1552" s="2" t="s">
        <v>28</v>
      </c>
      <c r="D1552" s="2" t="s">
        <v>21</v>
      </c>
      <c r="E1552" s="2" t="s">
        <v>33</v>
      </c>
      <c r="F1552" s="2">
        <v>107891</v>
      </c>
      <c r="G1552" s="2">
        <v>3733</v>
      </c>
      <c r="H1552" s="2">
        <v>8623.23</v>
      </c>
      <c r="I1552" s="2">
        <v>148</v>
      </c>
      <c r="J1552" s="2">
        <v>15202.91</v>
      </c>
      <c r="K1552" s="4">
        <f t="shared" si="96"/>
        <v>3.4599734917648367E-2</v>
      </c>
      <c r="L1552" s="6">
        <f t="shared" si="97"/>
        <v>2.31</v>
      </c>
      <c r="M1552" s="6">
        <f t="shared" si="98"/>
        <v>58.265067567567563</v>
      </c>
      <c r="N1552" s="8">
        <f t="shared" si="99"/>
        <v>1.7630180338457864</v>
      </c>
    </row>
    <row r="1553" spans="1:14" x14ac:dyDescent="0.45">
      <c r="A1553" s="12">
        <v>45371</v>
      </c>
      <c r="B1553" s="2" t="s">
        <v>20</v>
      </c>
      <c r="C1553" s="2" t="s">
        <v>24</v>
      </c>
      <c r="D1553" s="2" t="s">
        <v>29</v>
      </c>
      <c r="E1553" s="2" t="s">
        <v>26</v>
      </c>
      <c r="F1553" s="2">
        <v>191380</v>
      </c>
      <c r="G1553" s="2">
        <v>8171</v>
      </c>
      <c r="H1553" s="2">
        <v>4085.5</v>
      </c>
      <c r="I1553" s="2">
        <v>572</v>
      </c>
      <c r="J1553" s="2">
        <v>155778.92000000001</v>
      </c>
      <c r="K1553" s="4">
        <f t="shared" si="96"/>
        <v>4.2695161458877626E-2</v>
      </c>
      <c r="L1553" s="6">
        <f t="shared" si="97"/>
        <v>0.5</v>
      </c>
      <c r="M1553" s="6">
        <f t="shared" si="98"/>
        <v>7.1424825174825175</v>
      </c>
      <c r="N1553" s="8">
        <f t="shared" si="99"/>
        <v>38.129707502141727</v>
      </c>
    </row>
    <row r="1554" spans="1:14" x14ac:dyDescent="0.45">
      <c r="A1554" s="12">
        <v>45515</v>
      </c>
      <c r="B1554" s="2" t="s">
        <v>35</v>
      </c>
      <c r="C1554" s="2" t="s">
        <v>16</v>
      </c>
      <c r="D1554" s="2" t="s">
        <v>25</v>
      </c>
      <c r="E1554" s="2" t="s">
        <v>22</v>
      </c>
      <c r="F1554" s="2">
        <v>123372</v>
      </c>
      <c r="G1554" s="2">
        <v>3355</v>
      </c>
      <c r="H1554" s="2">
        <v>7716.5</v>
      </c>
      <c r="I1554" s="2">
        <v>224</v>
      </c>
      <c r="J1554" s="2">
        <v>57352.38</v>
      </c>
      <c r="K1554" s="4">
        <f t="shared" si="96"/>
        <v>2.7194176960736633E-2</v>
      </c>
      <c r="L1554" s="6">
        <f t="shared" si="97"/>
        <v>2.2999999999999998</v>
      </c>
      <c r="M1554" s="6">
        <f t="shared" si="98"/>
        <v>34.448660714285715</v>
      </c>
      <c r="N1554" s="8">
        <f t="shared" si="99"/>
        <v>7.4324343938314001</v>
      </c>
    </row>
    <row r="1555" spans="1:14" x14ac:dyDescent="0.45">
      <c r="A1555" s="12">
        <v>45650</v>
      </c>
      <c r="B1555" s="2" t="s">
        <v>15</v>
      </c>
      <c r="C1555" s="2" t="s">
        <v>16</v>
      </c>
      <c r="D1555" s="2" t="s">
        <v>41</v>
      </c>
      <c r="E1555" s="2" t="s">
        <v>18</v>
      </c>
      <c r="F1555" s="2">
        <v>104464</v>
      </c>
      <c r="G1555" s="2">
        <v>4314</v>
      </c>
      <c r="H1555" s="2">
        <v>9749.64</v>
      </c>
      <c r="I1555" s="2">
        <v>82</v>
      </c>
      <c r="J1555" s="2">
        <v>10226.11</v>
      </c>
      <c r="K1555" s="4">
        <f t="shared" si="96"/>
        <v>4.1296523204166026E-2</v>
      </c>
      <c r="L1555" s="6">
        <f t="shared" si="97"/>
        <v>2.2599999999999998</v>
      </c>
      <c r="M1555" s="6">
        <f t="shared" si="98"/>
        <v>118.8980487804878</v>
      </c>
      <c r="N1555" s="8">
        <f t="shared" si="99"/>
        <v>1.0488705223987758</v>
      </c>
    </row>
    <row r="1556" spans="1:14" x14ac:dyDescent="0.45">
      <c r="A1556" s="12">
        <v>45446</v>
      </c>
      <c r="B1556" s="2" t="s">
        <v>15</v>
      </c>
      <c r="C1556" s="2" t="s">
        <v>24</v>
      </c>
      <c r="D1556" s="2" t="s">
        <v>29</v>
      </c>
      <c r="E1556" s="2" t="s">
        <v>22</v>
      </c>
      <c r="F1556" s="2">
        <v>113502</v>
      </c>
      <c r="G1556" s="2">
        <v>2235</v>
      </c>
      <c r="H1556" s="2">
        <v>2704.35</v>
      </c>
      <c r="I1556" s="2">
        <v>34</v>
      </c>
      <c r="J1556" s="2">
        <v>6126.9</v>
      </c>
      <c r="K1556" s="4">
        <f t="shared" si="96"/>
        <v>1.9691282972987261E-2</v>
      </c>
      <c r="L1556" s="6">
        <f t="shared" si="97"/>
        <v>1.21</v>
      </c>
      <c r="M1556" s="6">
        <f t="shared" si="98"/>
        <v>79.539705882352933</v>
      </c>
      <c r="N1556" s="8">
        <f t="shared" si="99"/>
        <v>2.2655721337844583</v>
      </c>
    </row>
    <row r="1557" spans="1:14" x14ac:dyDescent="0.45">
      <c r="A1557" s="12">
        <v>45544</v>
      </c>
      <c r="B1557" s="2" t="s">
        <v>15</v>
      </c>
      <c r="C1557" s="2" t="s">
        <v>28</v>
      </c>
      <c r="D1557" s="2" t="s">
        <v>25</v>
      </c>
      <c r="E1557" s="2" t="s">
        <v>54</v>
      </c>
      <c r="F1557" s="2">
        <v>95196</v>
      </c>
      <c r="G1557" s="2">
        <v>3170</v>
      </c>
      <c r="H1557" s="2">
        <v>3328.5</v>
      </c>
      <c r="I1557" s="2">
        <v>170</v>
      </c>
      <c r="J1557" s="2">
        <v>13047.52</v>
      </c>
      <c r="K1557" s="4">
        <f t="shared" si="96"/>
        <v>3.3299718475566203E-2</v>
      </c>
      <c r="L1557" s="6">
        <f t="shared" si="97"/>
        <v>1.05</v>
      </c>
      <c r="M1557" s="6">
        <f t="shared" si="98"/>
        <v>19.579411764705881</v>
      </c>
      <c r="N1557" s="8">
        <f t="shared" si="99"/>
        <v>3.9199399128736672</v>
      </c>
    </row>
    <row r="1558" spans="1:14" x14ac:dyDescent="0.45">
      <c r="A1558" s="12">
        <v>45318</v>
      </c>
      <c r="B1558" s="2" t="s">
        <v>15</v>
      </c>
      <c r="C1558" s="2" t="s">
        <v>38</v>
      </c>
      <c r="D1558" s="2" t="s">
        <v>25</v>
      </c>
      <c r="E1558" s="2" t="s">
        <v>22</v>
      </c>
      <c r="F1558" s="2">
        <v>86362</v>
      </c>
      <c r="G1558" s="2">
        <v>2547</v>
      </c>
      <c r="H1558" s="2">
        <v>3591.27</v>
      </c>
      <c r="I1558" s="2">
        <v>164</v>
      </c>
      <c r="J1558" s="2">
        <v>33307.300000000003</v>
      </c>
      <c r="K1558" s="4">
        <f t="shared" si="96"/>
        <v>2.9492137745767814E-2</v>
      </c>
      <c r="L1558" s="6">
        <f t="shared" si="97"/>
        <v>1.41</v>
      </c>
      <c r="M1558" s="6">
        <f t="shared" si="98"/>
        <v>21.897987804878049</v>
      </c>
      <c r="N1558" s="8">
        <f t="shared" si="99"/>
        <v>9.2745184851041564</v>
      </c>
    </row>
    <row r="1559" spans="1:14" x14ac:dyDescent="0.45">
      <c r="A1559" s="12">
        <v>45471</v>
      </c>
      <c r="B1559" s="2" t="s">
        <v>15</v>
      </c>
      <c r="C1559" s="2" t="s">
        <v>16</v>
      </c>
      <c r="D1559" s="2" t="s">
        <v>41</v>
      </c>
      <c r="E1559" s="2" t="s">
        <v>26</v>
      </c>
      <c r="F1559" s="2">
        <v>78532</v>
      </c>
      <c r="G1559" s="2">
        <v>4735</v>
      </c>
      <c r="H1559" s="2">
        <v>13352.7</v>
      </c>
      <c r="I1559" s="2">
        <v>310</v>
      </c>
      <c r="J1559" s="2">
        <v>45765.16</v>
      </c>
      <c r="K1559" s="4">
        <f t="shared" si="96"/>
        <v>6.0293892935363927E-2</v>
      </c>
      <c r="L1559" s="6">
        <f t="shared" si="97"/>
        <v>2.8200000000000003</v>
      </c>
      <c r="M1559" s="6">
        <f t="shared" si="98"/>
        <v>43.073225806451617</v>
      </c>
      <c r="N1559" s="8">
        <f t="shared" si="99"/>
        <v>3.4274086888794026</v>
      </c>
    </row>
    <row r="1560" spans="1:14" x14ac:dyDescent="0.45">
      <c r="A1560" s="12">
        <v>45370</v>
      </c>
      <c r="B1560" s="2" t="s">
        <v>15</v>
      </c>
      <c r="C1560" s="2" t="s">
        <v>28</v>
      </c>
      <c r="D1560" s="2" t="s">
        <v>25</v>
      </c>
      <c r="E1560" s="2" t="s">
        <v>33</v>
      </c>
      <c r="F1560" s="2">
        <v>184081</v>
      </c>
      <c r="G1560" s="2">
        <v>5135</v>
      </c>
      <c r="H1560" s="2">
        <v>11194.3</v>
      </c>
      <c r="I1560" s="2">
        <v>96</v>
      </c>
      <c r="J1560" s="2">
        <v>24545.05</v>
      </c>
      <c r="K1560" s="4">
        <f t="shared" si="96"/>
        <v>2.7895328686828081E-2</v>
      </c>
      <c r="L1560" s="6">
        <f t="shared" si="97"/>
        <v>2.1799999999999997</v>
      </c>
      <c r="M1560" s="6">
        <f t="shared" si="98"/>
        <v>116.60729166666665</v>
      </c>
      <c r="N1560" s="8">
        <f t="shared" si="99"/>
        <v>2.1926382176643471</v>
      </c>
    </row>
    <row r="1561" spans="1:14" x14ac:dyDescent="0.45">
      <c r="A1561" s="12">
        <v>45319</v>
      </c>
      <c r="B1561" s="2" t="s">
        <v>35</v>
      </c>
      <c r="C1561" s="2" t="s">
        <v>38</v>
      </c>
      <c r="D1561" s="2" t="s">
        <v>25</v>
      </c>
      <c r="E1561" s="2" t="s">
        <v>33</v>
      </c>
      <c r="F1561" s="2">
        <v>93966</v>
      </c>
      <c r="G1561" s="2">
        <v>2104</v>
      </c>
      <c r="H1561" s="2">
        <v>2040.88</v>
      </c>
      <c r="I1561" s="2">
        <v>157</v>
      </c>
      <c r="J1561" s="2">
        <v>6975.9</v>
      </c>
      <c r="K1561" s="4">
        <f t="shared" si="96"/>
        <v>2.2391077623821382E-2</v>
      </c>
      <c r="L1561" s="6">
        <f t="shared" si="97"/>
        <v>0.97000000000000008</v>
      </c>
      <c r="M1561" s="6">
        <f t="shared" si="98"/>
        <v>12.99923566878981</v>
      </c>
      <c r="N1561" s="8">
        <f t="shared" si="99"/>
        <v>3.4180843557680998</v>
      </c>
    </row>
    <row r="1562" spans="1:14" x14ac:dyDescent="0.45">
      <c r="A1562" s="12">
        <v>45496</v>
      </c>
      <c r="B1562" s="2" t="s">
        <v>15</v>
      </c>
      <c r="C1562" s="2" t="s">
        <v>24</v>
      </c>
      <c r="D1562" s="2" t="s">
        <v>29</v>
      </c>
      <c r="E1562" s="2" t="s">
        <v>18</v>
      </c>
      <c r="F1562" s="2">
        <v>28667</v>
      </c>
      <c r="G1562" s="2">
        <v>1338</v>
      </c>
      <c r="H1562" s="2">
        <v>3880.2</v>
      </c>
      <c r="I1562" s="2">
        <v>24</v>
      </c>
      <c r="J1562" s="2">
        <v>3421.56</v>
      </c>
      <c r="K1562" s="4">
        <f t="shared" si="96"/>
        <v>4.6673875885164126E-2</v>
      </c>
      <c r="L1562" s="6">
        <f t="shared" si="97"/>
        <v>2.9</v>
      </c>
      <c r="M1562" s="6">
        <f t="shared" si="98"/>
        <v>161.67499999999998</v>
      </c>
      <c r="N1562" s="8">
        <f t="shared" si="99"/>
        <v>0.88179990722127732</v>
      </c>
    </row>
    <row r="1563" spans="1:14" x14ac:dyDescent="0.45">
      <c r="A1563" s="12">
        <v>45312</v>
      </c>
      <c r="B1563" s="2" t="s">
        <v>15</v>
      </c>
      <c r="C1563" s="2" t="s">
        <v>38</v>
      </c>
      <c r="D1563" s="2" t="s">
        <v>25</v>
      </c>
      <c r="E1563" s="2" t="s">
        <v>54</v>
      </c>
      <c r="F1563" s="2">
        <v>154239</v>
      </c>
      <c r="G1563" s="2">
        <v>7465</v>
      </c>
      <c r="H1563" s="2">
        <v>23888</v>
      </c>
      <c r="I1563" s="2">
        <v>484</v>
      </c>
      <c r="J1563" s="2">
        <v>25632.04</v>
      </c>
      <c r="K1563" s="4">
        <f t="shared" si="96"/>
        <v>4.8398913374697712E-2</v>
      </c>
      <c r="L1563" s="6">
        <f t="shared" si="97"/>
        <v>3.2</v>
      </c>
      <c r="M1563" s="6">
        <f t="shared" si="98"/>
        <v>49.355371900826448</v>
      </c>
      <c r="N1563" s="8">
        <f t="shared" si="99"/>
        <v>1.0730090421969189</v>
      </c>
    </row>
    <row r="1564" spans="1:14" x14ac:dyDescent="0.45">
      <c r="A1564" s="12">
        <v>45387</v>
      </c>
      <c r="B1564" s="2" t="s">
        <v>35</v>
      </c>
      <c r="C1564" s="2" t="s">
        <v>24</v>
      </c>
      <c r="D1564" s="2" t="s">
        <v>17</v>
      </c>
      <c r="E1564" s="2" t="s">
        <v>18</v>
      </c>
      <c r="F1564" s="2">
        <v>103576</v>
      </c>
      <c r="G1564" s="2">
        <v>1263</v>
      </c>
      <c r="H1564" s="2">
        <v>593.61</v>
      </c>
      <c r="I1564" s="2">
        <v>22</v>
      </c>
      <c r="J1564" s="2">
        <v>5190.25</v>
      </c>
      <c r="K1564" s="4">
        <f t="shared" si="96"/>
        <v>1.2193944543137407E-2</v>
      </c>
      <c r="L1564" s="6">
        <f t="shared" si="97"/>
        <v>0.47000000000000003</v>
      </c>
      <c r="M1564" s="6">
        <f t="shared" si="98"/>
        <v>26.982272727272729</v>
      </c>
      <c r="N1564" s="8">
        <f t="shared" si="99"/>
        <v>8.7435353178012498</v>
      </c>
    </row>
    <row r="1565" spans="1:14" x14ac:dyDescent="0.45">
      <c r="A1565" s="12">
        <v>45560</v>
      </c>
      <c r="B1565" s="2" t="s">
        <v>20</v>
      </c>
      <c r="C1565" s="2" t="s">
        <v>24</v>
      </c>
      <c r="D1565" s="2" t="s">
        <v>21</v>
      </c>
      <c r="E1565" s="2" t="s">
        <v>51</v>
      </c>
      <c r="F1565" s="2">
        <v>111154</v>
      </c>
      <c r="G1565" s="2">
        <v>5124</v>
      </c>
      <c r="H1565" s="2">
        <v>4560.3599999999997</v>
      </c>
      <c r="I1565" s="2">
        <v>368</v>
      </c>
      <c r="J1565" s="2">
        <v>82164.399999999994</v>
      </c>
      <c r="K1565" s="4">
        <f t="shared" si="96"/>
        <v>4.6098206092448316E-2</v>
      </c>
      <c r="L1565" s="6">
        <f t="shared" si="97"/>
        <v>0.8899999999999999</v>
      </c>
      <c r="M1565" s="6">
        <f t="shared" si="98"/>
        <v>12.392282608695652</v>
      </c>
      <c r="N1565" s="8">
        <f t="shared" si="99"/>
        <v>18.017086370374269</v>
      </c>
    </row>
    <row r="1566" spans="1:14" x14ac:dyDescent="0.45">
      <c r="A1566" s="12">
        <v>45593</v>
      </c>
      <c r="B1566" s="2" t="s">
        <v>15</v>
      </c>
      <c r="C1566" s="2" t="s">
        <v>16</v>
      </c>
      <c r="D1566" s="2" t="s">
        <v>41</v>
      </c>
      <c r="E1566" s="2" t="s">
        <v>26</v>
      </c>
      <c r="F1566" s="2">
        <v>104456</v>
      </c>
      <c r="G1566" s="2">
        <v>6403</v>
      </c>
      <c r="H1566" s="2">
        <v>13510.33</v>
      </c>
      <c r="I1566" s="2">
        <v>440</v>
      </c>
      <c r="J1566" s="2">
        <v>111130.68</v>
      </c>
      <c r="K1566" s="4">
        <f t="shared" si="96"/>
        <v>6.1298537183120165E-2</v>
      </c>
      <c r="L1566" s="6">
        <f t="shared" si="97"/>
        <v>2.11</v>
      </c>
      <c r="M1566" s="6">
        <f t="shared" si="98"/>
        <v>30.705295454545453</v>
      </c>
      <c r="N1566" s="8">
        <f t="shared" si="99"/>
        <v>8.2256081087582604</v>
      </c>
    </row>
    <row r="1567" spans="1:14" x14ac:dyDescent="0.45">
      <c r="A1567" s="12">
        <v>45577</v>
      </c>
      <c r="B1567" s="2" t="s">
        <v>35</v>
      </c>
      <c r="C1567" s="2" t="s">
        <v>38</v>
      </c>
      <c r="D1567" s="2" t="s">
        <v>29</v>
      </c>
      <c r="E1567" s="2" t="s">
        <v>18</v>
      </c>
      <c r="F1567" s="2">
        <v>173307</v>
      </c>
      <c r="G1567" s="2">
        <v>3292</v>
      </c>
      <c r="H1567" s="2">
        <v>3390.76</v>
      </c>
      <c r="I1567" s="2">
        <v>74</v>
      </c>
      <c r="J1567" s="2">
        <v>21574.44</v>
      </c>
      <c r="K1567" s="4">
        <f t="shared" si="96"/>
        <v>1.8995193500551046E-2</v>
      </c>
      <c r="L1567" s="6">
        <f t="shared" si="97"/>
        <v>1.03</v>
      </c>
      <c r="M1567" s="6">
        <f t="shared" si="98"/>
        <v>45.821081081081083</v>
      </c>
      <c r="N1567" s="8">
        <f t="shared" si="99"/>
        <v>6.362715143507649</v>
      </c>
    </row>
    <row r="1568" spans="1:14" x14ac:dyDescent="0.45">
      <c r="A1568" s="12">
        <v>45361</v>
      </c>
      <c r="B1568" s="2" t="s">
        <v>15</v>
      </c>
      <c r="C1568" s="2" t="s">
        <v>38</v>
      </c>
      <c r="D1568" s="2" t="s">
        <v>17</v>
      </c>
      <c r="E1568" s="2" t="s">
        <v>54</v>
      </c>
      <c r="F1568" s="2">
        <v>197459</v>
      </c>
      <c r="G1568" s="2">
        <v>5667</v>
      </c>
      <c r="H1568" s="2">
        <v>20174.52</v>
      </c>
      <c r="I1568" s="2">
        <v>105</v>
      </c>
      <c r="J1568" s="2">
        <v>17723.39</v>
      </c>
      <c r="K1568" s="4">
        <f t="shared" si="96"/>
        <v>2.8699628783696869E-2</v>
      </c>
      <c r="L1568" s="6">
        <f t="shared" si="97"/>
        <v>3.56</v>
      </c>
      <c r="M1568" s="6">
        <f t="shared" si="98"/>
        <v>192.13828571428573</v>
      </c>
      <c r="N1568" s="8">
        <f t="shared" si="99"/>
        <v>0.87850367691523756</v>
      </c>
    </row>
    <row r="1569" spans="1:14" x14ac:dyDescent="0.45">
      <c r="A1569" s="12">
        <v>45536</v>
      </c>
      <c r="B1569" s="2" t="s">
        <v>20</v>
      </c>
      <c r="C1569" s="2" t="s">
        <v>24</v>
      </c>
      <c r="D1569" s="2" t="s">
        <v>21</v>
      </c>
      <c r="E1569" s="2" t="s">
        <v>22</v>
      </c>
      <c r="F1569" s="2">
        <v>154676</v>
      </c>
      <c r="G1569" s="2">
        <v>5970</v>
      </c>
      <c r="H1569" s="2">
        <v>6507.3</v>
      </c>
      <c r="I1569" s="2">
        <v>107</v>
      </c>
      <c r="J1569" s="2">
        <v>14099.39</v>
      </c>
      <c r="K1569" s="4">
        <f t="shared" si="96"/>
        <v>3.8596808813261267E-2</v>
      </c>
      <c r="L1569" s="6">
        <f t="shared" si="97"/>
        <v>1.0900000000000001</v>
      </c>
      <c r="M1569" s="6">
        <f t="shared" si="98"/>
        <v>60.815887850467291</v>
      </c>
      <c r="N1569" s="8">
        <f t="shared" si="99"/>
        <v>2.1667035483226527</v>
      </c>
    </row>
    <row r="1570" spans="1:14" x14ac:dyDescent="0.45">
      <c r="A1570" s="12">
        <v>45406</v>
      </c>
      <c r="B1570" s="2" t="s">
        <v>35</v>
      </c>
      <c r="C1570" s="2" t="s">
        <v>24</v>
      </c>
      <c r="D1570" s="2" t="s">
        <v>17</v>
      </c>
      <c r="E1570" s="2" t="s">
        <v>51</v>
      </c>
      <c r="F1570" s="2">
        <v>138528</v>
      </c>
      <c r="G1570" s="2">
        <v>3698</v>
      </c>
      <c r="H1570" s="2">
        <v>8394.4599999999991</v>
      </c>
      <c r="I1570" s="2">
        <v>264</v>
      </c>
      <c r="J1570" s="2">
        <v>34788.99</v>
      </c>
      <c r="K1570" s="4">
        <f t="shared" si="96"/>
        <v>2.6694964194964196E-2</v>
      </c>
      <c r="L1570" s="6">
        <f t="shared" si="97"/>
        <v>2.2699999999999996</v>
      </c>
      <c r="M1570" s="6">
        <f t="shared" si="98"/>
        <v>31.797196969696966</v>
      </c>
      <c r="N1570" s="8">
        <f t="shared" si="99"/>
        <v>4.1442796796935122</v>
      </c>
    </row>
    <row r="1571" spans="1:14" x14ac:dyDescent="0.45">
      <c r="A1571" s="12">
        <v>45505</v>
      </c>
      <c r="B1571" s="2" t="s">
        <v>15</v>
      </c>
      <c r="C1571" s="2" t="s">
        <v>38</v>
      </c>
      <c r="D1571" s="2" t="s">
        <v>29</v>
      </c>
      <c r="E1571" s="2" t="s">
        <v>33</v>
      </c>
      <c r="F1571" s="2">
        <v>188490</v>
      </c>
      <c r="G1571" s="2">
        <v>6879</v>
      </c>
      <c r="H1571" s="2">
        <v>19536.36</v>
      </c>
      <c r="I1571" s="2">
        <v>279</v>
      </c>
      <c r="J1571" s="2">
        <v>18268.77</v>
      </c>
      <c r="K1571" s="4">
        <f t="shared" si="96"/>
        <v>3.6495304790705077E-2</v>
      </c>
      <c r="L1571" s="6">
        <f t="shared" si="97"/>
        <v>2.8400000000000003</v>
      </c>
      <c r="M1571" s="6">
        <f t="shared" si="98"/>
        <v>70.022795698924739</v>
      </c>
      <c r="N1571" s="8">
        <f t="shared" si="99"/>
        <v>0.93511636763450301</v>
      </c>
    </row>
    <row r="1572" spans="1:14" x14ac:dyDescent="0.45">
      <c r="A1572" s="12">
        <v>45556</v>
      </c>
      <c r="B1572" s="2" t="s">
        <v>20</v>
      </c>
      <c r="C1572" s="2" t="s">
        <v>38</v>
      </c>
      <c r="D1572" s="2" t="s">
        <v>29</v>
      </c>
      <c r="E1572" s="2" t="s">
        <v>26</v>
      </c>
      <c r="F1572" s="2">
        <v>155929</v>
      </c>
      <c r="G1572" s="2">
        <v>6408</v>
      </c>
      <c r="H1572" s="2">
        <v>6215.76</v>
      </c>
      <c r="I1572" s="2">
        <v>481</v>
      </c>
      <c r="J1572" s="2">
        <v>51123.92</v>
      </c>
      <c r="K1572" s="4">
        <f t="shared" si="96"/>
        <v>4.1095626855812584E-2</v>
      </c>
      <c r="L1572" s="6">
        <f t="shared" si="97"/>
        <v>0.97000000000000008</v>
      </c>
      <c r="M1572" s="6">
        <f t="shared" si="98"/>
        <v>12.922577962577963</v>
      </c>
      <c r="N1572" s="8">
        <f t="shared" si="99"/>
        <v>8.2248864177510068</v>
      </c>
    </row>
    <row r="1573" spans="1:14" x14ac:dyDescent="0.45">
      <c r="A1573" s="12">
        <v>45443</v>
      </c>
      <c r="B1573" s="2" t="s">
        <v>15</v>
      </c>
      <c r="C1573" s="2" t="s">
        <v>38</v>
      </c>
      <c r="D1573" s="2" t="s">
        <v>21</v>
      </c>
      <c r="E1573" s="2" t="s">
        <v>33</v>
      </c>
      <c r="F1573" s="2">
        <v>177220</v>
      </c>
      <c r="G1573" s="2">
        <v>4607</v>
      </c>
      <c r="H1573" s="2">
        <v>10688.24</v>
      </c>
      <c r="I1573" s="2">
        <v>114</v>
      </c>
      <c r="J1573" s="2">
        <v>9297.0300000000007</v>
      </c>
      <c r="K1573" s="4">
        <f t="shared" si="96"/>
        <v>2.59959372531317E-2</v>
      </c>
      <c r="L1573" s="6">
        <f t="shared" si="97"/>
        <v>2.3199999999999998</v>
      </c>
      <c r="M1573" s="6">
        <f t="shared" si="98"/>
        <v>93.756491228070175</v>
      </c>
      <c r="N1573" s="8">
        <f t="shared" si="99"/>
        <v>0.86983731652732355</v>
      </c>
    </row>
    <row r="1574" spans="1:14" x14ac:dyDescent="0.45">
      <c r="A1574" s="12">
        <v>45575</v>
      </c>
      <c r="B1574" s="2" t="s">
        <v>35</v>
      </c>
      <c r="C1574" s="2" t="s">
        <v>24</v>
      </c>
      <c r="D1574" s="2" t="s">
        <v>41</v>
      </c>
      <c r="E1574" s="2" t="s">
        <v>33</v>
      </c>
      <c r="F1574" s="2">
        <v>188552</v>
      </c>
      <c r="G1574" s="2">
        <v>6373</v>
      </c>
      <c r="H1574" s="2">
        <v>4142.45</v>
      </c>
      <c r="I1574" s="2">
        <v>129</v>
      </c>
      <c r="J1574" s="2">
        <v>8973.49</v>
      </c>
      <c r="K1574" s="4">
        <f t="shared" si="96"/>
        <v>3.3799694513980232E-2</v>
      </c>
      <c r="L1574" s="6">
        <f t="shared" si="97"/>
        <v>0.65</v>
      </c>
      <c r="M1574" s="6">
        <f t="shared" si="98"/>
        <v>32.112015503875966</v>
      </c>
      <c r="N1574" s="8">
        <f t="shared" si="99"/>
        <v>2.1662277154823837</v>
      </c>
    </row>
    <row r="1575" spans="1:14" x14ac:dyDescent="0.45">
      <c r="A1575" s="12">
        <v>45550</v>
      </c>
      <c r="B1575" s="2" t="s">
        <v>15</v>
      </c>
      <c r="C1575" s="2" t="s">
        <v>24</v>
      </c>
      <c r="D1575" s="2" t="s">
        <v>41</v>
      </c>
      <c r="E1575" s="2" t="s">
        <v>33</v>
      </c>
      <c r="F1575" s="2">
        <v>136460</v>
      </c>
      <c r="G1575" s="2">
        <v>4462</v>
      </c>
      <c r="H1575" s="2">
        <v>3926.56</v>
      </c>
      <c r="I1575" s="2">
        <v>322</v>
      </c>
      <c r="J1575" s="2">
        <v>59937.98</v>
      </c>
      <c r="K1575" s="4">
        <f t="shared" si="96"/>
        <v>3.269822658654551E-2</v>
      </c>
      <c r="L1575" s="6">
        <f t="shared" si="97"/>
        <v>0.88</v>
      </c>
      <c r="M1575" s="6">
        <f t="shared" si="98"/>
        <v>12.194285714285714</v>
      </c>
      <c r="N1575" s="8">
        <f t="shared" si="99"/>
        <v>15.264755918666722</v>
      </c>
    </row>
    <row r="1576" spans="1:14" x14ac:dyDescent="0.45">
      <c r="A1576" s="12">
        <v>45572</v>
      </c>
      <c r="B1576" s="2" t="s">
        <v>20</v>
      </c>
      <c r="C1576" s="2" t="s">
        <v>38</v>
      </c>
      <c r="D1576" s="2" t="s">
        <v>25</v>
      </c>
      <c r="E1576" s="2" t="s">
        <v>33</v>
      </c>
      <c r="F1576" s="2">
        <v>124614</v>
      </c>
      <c r="G1576" s="2">
        <v>4573</v>
      </c>
      <c r="H1576" s="2">
        <v>1326.17</v>
      </c>
      <c r="I1576" s="2">
        <v>240</v>
      </c>
      <c r="J1576" s="2">
        <v>46988.2</v>
      </c>
      <c r="K1576" s="4">
        <f t="shared" si="96"/>
        <v>3.6697321328261673E-2</v>
      </c>
      <c r="L1576" s="6">
        <f t="shared" si="97"/>
        <v>0.29000000000000004</v>
      </c>
      <c r="M1576" s="6">
        <f t="shared" si="98"/>
        <v>5.5257083333333332</v>
      </c>
      <c r="N1576" s="8">
        <f t="shared" si="99"/>
        <v>35.43150576472096</v>
      </c>
    </row>
    <row r="1577" spans="1:14" x14ac:dyDescent="0.45">
      <c r="A1577" s="12">
        <v>45397</v>
      </c>
      <c r="B1577" s="2" t="s">
        <v>35</v>
      </c>
      <c r="C1577" s="2" t="s">
        <v>24</v>
      </c>
      <c r="D1577" s="2" t="s">
        <v>29</v>
      </c>
      <c r="E1577" s="2" t="s">
        <v>51</v>
      </c>
      <c r="F1577" s="2">
        <v>28359</v>
      </c>
      <c r="G1577" s="2">
        <v>612</v>
      </c>
      <c r="H1577" s="2">
        <v>459</v>
      </c>
      <c r="I1577" s="2">
        <v>30</v>
      </c>
      <c r="J1577" s="2">
        <v>6591.07</v>
      </c>
      <c r="K1577" s="4">
        <f t="shared" si="96"/>
        <v>2.1580450650587116E-2</v>
      </c>
      <c r="L1577" s="6">
        <f t="shared" si="97"/>
        <v>0.75</v>
      </c>
      <c r="M1577" s="6">
        <f t="shared" si="98"/>
        <v>15.3</v>
      </c>
      <c r="N1577" s="8">
        <f t="shared" si="99"/>
        <v>14.359629629629628</v>
      </c>
    </row>
    <row r="1578" spans="1:14" x14ac:dyDescent="0.45">
      <c r="A1578" s="12">
        <v>45471</v>
      </c>
      <c r="B1578" s="2" t="s">
        <v>35</v>
      </c>
      <c r="C1578" s="2" t="s">
        <v>16</v>
      </c>
      <c r="D1578" s="2" t="s">
        <v>41</v>
      </c>
      <c r="E1578" s="2" t="s">
        <v>26</v>
      </c>
      <c r="F1578" s="2">
        <v>81759</v>
      </c>
      <c r="G1578" s="2">
        <v>1316</v>
      </c>
      <c r="H1578" s="2">
        <v>1184.4000000000001</v>
      </c>
      <c r="I1578" s="2">
        <v>46</v>
      </c>
      <c r="J1578" s="2">
        <v>6171.89</v>
      </c>
      <c r="K1578" s="4">
        <f t="shared" si="96"/>
        <v>1.609608728091097E-2</v>
      </c>
      <c r="L1578" s="6">
        <f t="shared" si="97"/>
        <v>0.9</v>
      </c>
      <c r="M1578" s="6">
        <f t="shared" si="98"/>
        <v>25.747826086956525</v>
      </c>
      <c r="N1578" s="8">
        <f t="shared" si="99"/>
        <v>5.2109844647078685</v>
      </c>
    </row>
    <row r="1579" spans="1:14" x14ac:dyDescent="0.45">
      <c r="A1579" s="12">
        <v>45387</v>
      </c>
      <c r="B1579" s="2" t="s">
        <v>35</v>
      </c>
      <c r="C1579" s="2" t="s">
        <v>24</v>
      </c>
      <c r="D1579" s="2" t="s">
        <v>41</v>
      </c>
      <c r="E1579" s="2" t="s">
        <v>30</v>
      </c>
      <c r="F1579" s="2">
        <v>131230</v>
      </c>
      <c r="G1579" s="2">
        <v>2139</v>
      </c>
      <c r="H1579" s="2">
        <v>4769.97</v>
      </c>
      <c r="I1579" s="2">
        <v>105</v>
      </c>
      <c r="J1579" s="2">
        <v>24738.73</v>
      </c>
      <c r="K1579" s="4">
        <f t="shared" si="96"/>
        <v>1.6299626609769108E-2</v>
      </c>
      <c r="L1579" s="6">
        <f t="shared" si="97"/>
        <v>2.23</v>
      </c>
      <c r="M1579" s="6">
        <f t="shared" si="98"/>
        <v>45.428285714285714</v>
      </c>
      <c r="N1579" s="8">
        <f t="shared" si="99"/>
        <v>5.1863491803931678</v>
      </c>
    </row>
    <row r="1580" spans="1:14" x14ac:dyDescent="0.45">
      <c r="A1580" s="12">
        <v>45444</v>
      </c>
      <c r="B1580" s="2" t="s">
        <v>20</v>
      </c>
      <c r="C1580" s="2" t="s">
        <v>16</v>
      </c>
      <c r="D1580" s="2" t="s">
        <v>41</v>
      </c>
      <c r="E1580" s="2" t="s">
        <v>33</v>
      </c>
      <c r="F1580" s="2">
        <v>49659</v>
      </c>
      <c r="G1580" s="2">
        <v>2413</v>
      </c>
      <c r="H1580" s="2">
        <v>3498.85</v>
      </c>
      <c r="I1580" s="2">
        <v>191</v>
      </c>
      <c r="J1580" s="2">
        <v>38157.72</v>
      </c>
      <c r="K1580" s="4">
        <f t="shared" si="96"/>
        <v>4.8591393302321838E-2</v>
      </c>
      <c r="L1580" s="6">
        <f t="shared" si="97"/>
        <v>1.45</v>
      </c>
      <c r="M1580" s="6">
        <f t="shared" si="98"/>
        <v>18.318586387434554</v>
      </c>
      <c r="N1580" s="8">
        <f t="shared" si="99"/>
        <v>10.90578904497192</v>
      </c>
    </row>
    <row r="1581" spans="1:14" x14ac:dyDescent="0.45">
      <c r="A1581" s="12">
        <v>45329</v>
      </c>
      <c r="B1581" s="2" t="s">
        <v>20</v>
      </c>
      <c r="C1581" s="2" t="s">
        <v>38</v>
      </c>
      <c r="D1581" s="2" t="s">
        <v>17</v>
      </c>
      <c r="E1581" s="2" t="s">
        <v>30</v>
      </c>
      <c r="F1581" s="2">
        <v>103029</v>
      </c>
      <c r="G1581" s="2">
        <v>6830</v>
      </c>
      <c r="H1581" s="2">
        <v>3551.6</v>
      </c>
      <c r="I1581" s="2">
        <v>148</v>
      </c>
      <c r="J1581" s="2">
        <v>14545.74</v>
      </c>
      <c r="K1581" s="4">
        <f t="shared" si="96"/>
        <v>6.6292014869599819E-2</v>
      </c>
      <c r="L1581" s="6">
        <f t="shared" si="97"/>
        <v>0.52</v>
      </c>
      <c r="M1581" s="6">
        <f t="shared" si="98"/>
        <v>23.997297297297298</v>
      </c>
      <c r="N1581" s="8">
        <f t="shared" si="99"/>
        <v>4.0955456695573824</v>
      </c>
    </row>
    <row r="1582" spans="1:14" x14ac:dyDescent="0.45">
      <c r="A1582" s="12">
        <v>45444</v>
      </c>
      <c r="B1582" s="2" t="s">
        <v>20</v>
      </c>
      <c r="C1582" s="2" t="s">
        <v>28</v>
      </c>
      <c r="D1582" s="2" t="s">
        <v>25</v>
      </c>
      <c r="E1582" s="2" t="s">
        <v>33</v>
      </c>
      <c r="F1582" s="2">
        <v>52368</v>
      </c>
      <c r="G1582" s="2">
        <v>3351</v>
      </c>
      <c r="H1582" s="2">
        <v>2044.11</v>
      </c>
      <c r="I1582" s="2">
        <v>117</v>
      </c>
      <c r="J1582" s="2">
        <v>12829.28</v>
      </c>
      <c r="K1582" s="4">
        <f t="shared" si="96"/>
        <v>6.3989459211732352E-2</v>
      </c>
      <c r="L1582" s="6">
        <f t="shared" si="97"/>
        <v>0.61</v>
      </c>
      <c r="M1582" s="6">
        <f t="shared" si="98"/>
        <v>17.471025641025641</v>
      </c>
      <c r="N1582" s="8">
        <f t="shared" si="99"/>
        <v>6.2762180117508359</v>
      </c>
    </row>
    <row r="1583" spans="1:14" x14ac:dyDescent="0.45">
      <c r="A1583" s="12">
        <v>45458</v>
      </c>
      <c r="B1583" s="2" t="s">
        <v>20</v>
      </c>
      <c r="C1583" s="2" t="s">
        <v>24</v>
      </c>
      <c r="D1583" s="2" t="s">
        <v>21</v>
      </c>
      <c r="E1583" s="2" t="s">
        <v>33</v>
      </c>
      <c r="F1583" s="2">
        <v>144585</v>
      </c>
      <c r="G1583" s="2">
        <v>8357</v>
      </c>
      <c r="H1583" s="2">
        <v>4345.6400000000003</v>
      </c>
      <c r="I1583" s="2">
        <v>412</v>
      </c>
      <c r="J1583" s="2">
        <v>78373.31</v>
      </c>
      <c r="K1583" s="4">
        <f t="shared" si="96"/>
        <v>5.7799910087491788E-2</v>
      </c>
      <c r="L1583" s="6">
        <f t="shared" si="97"/>
        <v>0.52</v>
      </c>
      <c r="M1583" s="6">
        <f t="shared" si="98"/>
        <v>10.547669902912622</v>
      </c>
      <c r="N1583" s="8">
        <f t="shared" si="99"/>
        <v>18.034929262433149</v>
      </c>
    </row>
    <row r="1584" spans="1:14" x14ac:dyDescent="0.45">
      <c r="A1584" s="12">
        <v>45373</v>
      </c>
      <c r="B1584" s="2" t="s">
        <v>20</v>
      </c>
      <c r="C1584" s="2" t="s">
        <v>28</v>
      </c>
      <c r="D1584" s="2" t="s">
        <v>17</v>
      </c>
      <c r="E1584" s="2" t="s">
        <v>22</v>
      </c>
      <c r="F1584" s="2">
        <v>40308</v>
      </c>
      <c r="G1584" s="2">
        <v>3853</v>
      </c>
      <c r="H1584" s="2">
        <v>4199.7700000000004</v>
      </c>
      <c r="I1584" s="2">
        <v>291</v>
      </c>
      <c r="J1584" s="2">
        <v>33059.93</v>
      </c>
      <c r="K1584" s="4">
        <f t="shared" si="96"/>
        <v>9.5588964969733056E-2</v>
      </c>
      <c r="L1584" s="6">
        <f t="shared" si="97"/>
        <v>1.0900000000000001</v>
      </c>
      <c r="M1584" s="6">
        <f t="shared" si="98"/>
        <v>14.432199312714777</v>
      </c>
      <c r="N1584" s="8">
        <f t="shared" si="99"/>
        <v>7.8718429818775784</v>
      </c>
    </row>
    <row r="1585" spans="1:14" x14ac:dyDescent="0.45">
      <c r="A1585" s="12">
        <v>45512</v>
      </c>
      <c r="B1585" s="2" t="s">
        <v>20</v>
      </c>
      <c r="C1585" s="2" t="s">
        <v>16</v>
      </c>
      <c r="D1585" s="2" t="s">
        <v>41</v>
      </c>
      <c r="E1585" s="2" t="s">
        <v>30</v>
      </c>
      <c r="F1585" s="2">
        <v>43635</v>
      </c>
      <c r="G1585" s="2">
        <v>2469</v>
      </c>
      <c r="H1585" s="2">
        <v>2987.49</v>
      </c>
      <c r="I1585" s="2">
        <v>133</v>
      </c>
      <c r="J1585" s="2">
        <v>19667.27</v>
      </c>
      <c r="K1585" s="4">
        <f t="shared" si="96"/>
        <v>5.6583018219319353E-2</v>
      </c>
      <c r="L1585" s="6">
        <f t="shared" si="97"/>
        <v>1.21</v>
      </c>
      <c r="M1585" s="6">
        <f t="shared" si="98"/>
        <v>22.462330827067667</v>
      </c>
      <c r="N1585" s="8">
        <f t="shared" si="99"/>
        <v>6.583208646723504</v>
      </c>
    </row>
    <row r="1586" spans="1:14" x14ac:dyDescent="0.45">
      <c r="A1586" s="12">
        <v>45512</v>
      </c>
      <c r="B1586" s="2" t="s">
        <v>35</v>
      </c>
      <c r="C1586" s="2" t="s">
        <v>16</v>
      </c>
      <c r="D1586" s="2" t="s">
        <v>21</v>
      </c>
      <c r="E1586" s="2" t="s">
        <v>51</v>
      </c>
      <c r="F1586" s="2">
        <v>164074</v>
      </c>
      <c r="G1586" s="2">
        <v>6152</v>
      </c>
      <c r="H1586" s="2">
        <v>5844.4</v>
      </c>
      <c r="I1586" s="2">
        <v>360</v>
      </c>
      <c r="J1586" s="2">
        <v>47241.24</v>
      </c>
      <c r="K1586" s="4">
        <f t="shared" si="96"/>
        <v>3.7495276521569539E-2</v>
      </c>
      <c r="L1586" s="6">
        <f t="shared" si="97"/>
        <v>0.95</v>
      </c>
      <c r="M1586" s="6">
        <f t="shared" si="98"/>
        <v>16.234444444444442</v>
      </c>
      <c r="N1586" s="8">
        <f t="shared" si="99"/>
        <v>8.0831633700636516</v>
      </c>
    </row>
    <row r="1587" spans="1:14" x14ac:dyDescent="0.45">
      <c r="A1587" s="12">
        <v>45517</v>
      </c>
      <c r="B1587" s="2" t="s">
        <v>35</v>
      </c>
      <c r="C1587" s="2" t="s">
        <v>28</v>
      </c>
      <c r="D1587" s="2" t="s">
        <v>25</v>
      </c>
      <c r="E1587" s="2" t="s">
        <v>33</v>
      </c>
      <c r="F1587" s="2">
        <v>107300</v>
      </c>
      <c r="G1587" s="2">
        <v>2693</v>
      </c>
      <c r="H1587" s="2">
        <v>1535.01</v>
      </c>
      <c r="I1587" s="2">
        <v>153</v>
      </c>
      <c r="J1587" s="2">
        <v>18121.16</v>
      </c>
      <c r="K1587" s="4">
        <f t="shared" si="96"/>
        <v>2.5097856477166822E-2</v>
      </c>
      <c r="L1587" s="6">
        <f t="shared" si="97"/>
        <v>0.56999999999999995</v>
      </c>
      <c r="M1587" s="6">
        <f t="shared" si="98"/>
        <v>10.032745098039216</v>
      </c>
      <c r="N1587" s="8">
        <f t="shared" si="99"/>
        <v>11.805239053817239</v>
      </c>
    </row>
    <row r="1588" spans="1:14" x14ac:dyDescent="0.45">
      <c r="A1588" s="12">
        <v>45600</v>
      </c>
      <c r="B1588" s="2" t="s">
        <v>35</v>
      </c>
      <c r="C1588" s="2" t="s">
        <v>38</v>
      </c>
      <c r="D1588" s="2" t="s">
        <v>21</v>
      </c>
      <c r="E1588" s="2" t="s">
        <v>51</v>
      </c>
      <c r="F1588" s="2">
        <v>177443</v>
      </c>
      <c r="G1588" s="2">
        <v>4400</v>
      </c>
      <c r="H1588" s="2">
        <v>9548</v>
      </c>
      <c r="I1588" s="2">
        <v>231</v>
      </c>
      <c r="J1588" s="2">
        <v>43094.26</v>
      </c>
      <c r="K1588" s="4">
        <f t="shared" si="96"/>
        <v>2.479669527679311E-2</v>
      </c>
      <c r="L1588" s="6">
        <f t="shared" si="97"/>
        <v>2.17</v>
      </c>
      <c r="M1588" s="6">
        <f t="shared" si="98"/>
        <v>41.333333333333336</v>
      </c>
      <c r="N1588" s="8">
        <f t="shared" si="99"/>
        <v>4.5134331797235028</v>
      </c>
    </row>
    <row r="1589" spans="1:14" x14ac:dyDescent="0.45">
      <c r="A1589" s="12">
        <v>45402</v>
      </c>
      <c r="B1589" s="2" t="s">
        <v>20</v>
      </c>
      <c r="C1589" s="2" t="s">
        <v>28</v>
      </c>
      <c r="D1589" s="2" t="s">
        <v>21</v>
      </c>
      <c r="E1589" s="2" t="s">
        <v>18</v>
      </c>
      <c r="F1589" s="2">
        <v>141268</v>
      </c>
      <c r="G1589" s="2">
        <v>7402</v>
      </c>
      <c r="H1589" s="2">
        <v>9178.48</v>
      </c>
      <c r="I1589" s="2">
        <v>335</v>
      </c>
      <c r="J1589" s="2">
        <v>31326.97</v>
      </c>
      <c r="K1589" s="4">
        <f t="shared" si="96"/>
        <v>5.2396862700682389E-2</v>
      </c>
      <c r="L1589" s="6">
        <f t="shared" si="97"/>
        <v>1.24</v>
      </c>
      <c r="M1589" s="6">
        <f t="shared" si="98"/>
        <v>27.398447761194028</v>
      </c>
      <c r="N1589" s="8">
        <f t="shared" si="99"/>
        <v>3.4130890953621953</v>
      </c>
    </row>
    <row r="1590" spans="1:14" x14ac:dyDescent="0.45">
      <c r="A1590" s="12">
        <v>45438</v>
      </c>
      <c r="B1590" s="2" t="s">
        <v>20</v>
      </c>
      <c r="C1590" s="2" t="s">
        <v>38</v>
      </c>
      <c r="D1590" s="2" t="s">
        <v>21</v>
      </c>
      <c r="E1590" s="2" t="s">
        <v>30</v>
      </c>
      <c r="F1590" s="2">
        <v>145631</v>
      </c>
      <c r="G1590" s="2">
        <v>4194</v>
      </c>
      <c r="H1590" s="2">
        <v>3522.96</v>
      </c>
      <c r="I1590" s="2">
        <v>59</v>
      </c>
      <c r="J1590" s="2">
        <v>15427.34</v>
      </c>
      <c r="K1590" s="4">
        <f t="shared" si="96"/>
        <v>2.8798813439446271E-2</v>
      </c>
      <c r="L1590" s="6">
        <f t="shared" si="97"/>
        <v>0.84</v>
      </c>
      <c r="M1590" s="6">
        <f t="shared" si="98"/>
        <v>59.71118644067797</v>
      </c>
      <c r="N1590" s="8">
        <f t="shared" si="99"/>
        <v>4.379084633376479</v>
      </c>
    </row>
    <row r="1591" spans="1:14" x14ac:dyDescent="0.45">
      <c r="A1591" s="12">
        <v>45618</v>
      </c>
      <c r="B1591" s="2" t="s">
        <v>20</v>
      </c>
      <c r="C1591" s="2" t="s">
        <v>16</v>
      </c>
      <c r="D1591" s="2" t="s">
        <v>21</v>
      </c>
      <c r="E1591" s="2" t="s">
        <v>33</v>
      </c>
      <c r="F1591" s="2">
        <v>191041</v>
      </c>
      <c r="G1591" s="2">
        <v>7393</v>
      </c>
      <c r="H1591" s="2">
        <v>3918.29</v>
      </c>
      <c r="I1591" s="2">
        <v>446</v>
      </c>
      <c r="J1591" s="2">
        <v>15789.02</v>
      </c>
      <c r="K1591" s="4">
        <f t="shared" si="96"/>
        <v>3.8698499275024729E-2</v>
      </c>
      <c r="L1591" s="6">
        <f t="shared" si="97"/>
        <v>0.53</v>
      </c>
      <c r="M1591" s="6">
        <f t="shared" si="98"/>
        <v>8.7854035874439464</v>
      </c>
      <c r="N1591" s="8">
        <f t="shared" si="99"/>
        <v>4.0295690211801576</v>
      </c>
    </row>
    <row r="1592" spans="1:14" x14ac:dyDescent="0.45">
      <c r="A1592" s="12">
        <v>45609</v>
      </c>
      <c r="B1592" s="2" t="s">
        <v>20</v>
      </c>
      <c r="C1592" s="2" t="s">
        <v>24</v>
      </c>
      <c r="D1592" s="2" t="s">
        <v>25</v>
      </c>
      <c r="E1592" s="2" t="s">
        <v>22</v>
      </c>
      <c r="F1592" s="2">
        <v>72145</v>
      </c>
      <c r="G1592" s="2">
        <v>3058</v>
      </c>
      <c r="H1592" s="2">
        <v>2354.66</v>
      </c>
      <c r="I1592" s="2">
        <v>78</v>
      </c>
      <c r="J1592" s="2">
        <v>7543.67</v>
      </c>
      <c r="K1592" s="4">
        <f t="shared" si="96"/>
        <v>4.2386859796243674E-2</v>
      </c>
      <c r="L1592" s="6">
        <f t="shared" si="97"/>
        <v>0.76999999999999991</v>
      </c>
      <c r="M1592" s="6">
        <f t="shared" si="98"/>
        <v>30.187948717948718</v>
      </c>
      <c r="N1592" s="8">
        <f t="shared" si="99"/>
        <v>3.2037194329542271</v>
      </c>
    </row>
    <row r="1593" spans="1:14" x14ac:dyDescent="0.45">
      <c r="A1593" s="12">
        <v>45355</v>
      </c>
      <c r="B1593" s="2" t="s">
        <v>35</v>
      </c>
      <c r="C1593" s="2" t="s">
        <v>24</v>
      </c>
      <c r="D1593" s="2" t="s">
        <v>29</v>
      </c>
      <c r="E1593" s="2" t="s">
        <v>18</v>
      </c>
      <c r="F1593" s="2">
        <v>113447</v>
      </c>
      <c r="G1593" s="2">
        <v>1826</v>
      </c>
      <c r="H1593" s="2">
        <v>3158.98</v>
      </c>
      <c r="I1593" s="2">
        <v>24</v>
      </c>
      <c r="J1593" s="2">
        <v>4477.79</v>
      </c>
      <c r="K1593" s="4">
        <f t="shared" si="96"/>
        <v>1.6095621744074324E-2</v>
      </c>
      <c r="L1593" s="6">
        <f t="shared" si="97"/>
        <v>1.73</v>
      </c>
      <c r="M1593" s="6">
        <f t="shared" si="98"/>
        <v>131.62416666666667</v>
      </c>
      <c r="N1593" s="8">
        <f t="shared" si="99"/>
        <v>1.4174796928122368</v>
      </c>
    </row>
    <row r="1594" spans="1:14" x14ac:dyDescent="0.45">
      <c r="A1594" s="12">
        <v>45638</v>
      </c>
      <c r="B1594" s="2" t="s">
        <v>20</v>
      </c>
      <c r="C1594" s="2" t="s">
        <v>16</v>
      </c>
      <c r="D1594" s="2" t="s">
        <v>25</v>
      </c>
      <c r="E1594" s="2" t="s">
        <v>51</v>
      </c>
      <c r="F1594" s="2">
        <v>195512</v>
      </c>
      <c r="G1594" s="2">
        <v>8328</v>
      </c>
      <c r="H1594" s="2">
        <v>13574.64</v>
      </c>
      <c r="I1594" s="2">
        <v>198</v>
      </c>
      <c r="J1594" s="2">
        <v>14486.58</v>
      </c>
      <c r="K1594" s="4">
        <f t="shared" si="96"/>
        <v>4.2595850894062766E-2</v>
      </c>
      <c r="L1594" s="6">
        <f t="shared" si="97"/>
        <v>1.63</v>
      </c>
      <c r="M1594" s="6">
        <f t="shared" si="98"/>
        <v>68.558787878787882</v>
      </c>
      <c r="N1594" s="8">
        <f t="shared" si="99"/>
        <v>1.0671796821131168</v>
      </c>
    </row>
    <row r="1595" spans="1:14" x14ac:dyDescent="0.45">
      <c r="A1595" s="12">
        <v>45462</v>
      </c>
      <c r="B1595" s="2" t="s">
        <v>35</v>
      </c>
      <c r="C1595" s="2" t="s">
        <v>16</v>
      </c>
      <c r="D1595" s="2" t="s">
        <v>29</v>
      </c>
      <c r="E1595" s="2" t="s">
        <v>26</v>
      </c>
      <c r="F1595" s="2">
        <v>149446</v>
      </c>
      <c r="G1595" s="2">
        <v>6456</v>
      </c>
      <c r="H1595" s="2">
        <v>14138.64</v>
      </c>
      <c r="I1595" s="2">
        <v>397</v>
      </c>
      <c r="J1595" s="2">
        <v>118768.88</v>
      </c>
      <c r="K1595" s="4">
        <f t="shared" si="96"/>
        <v>4.3199550339252976E-2</v>
      </c>
      <c r="L1595" s="6">
        <f t="shared" si="97"/>
        <v>2.19</v>
      </c>
      <c r="M1595" s="6">
        <f t="shared" si="98"/>
        <v>35.613702770780854</v>
      </c>
      <c r="N1595" s="8">
        <f t="shared" si="99"/>
        <v>8.4003044140030454</v>
      </c>
    </row>
    <row r="1596" spans="1:14" x14ac:dyDescent="0.45">
      <c r="A1596" s="12">
        <v>45538</v>
      </c>
      <c r="B1596" s="2" t="s">
        <v>20</v>
      </c>
      <c r="C1596" s="2" t="s">
        <v>24</v>
      </c>
      <c r="D1596" s="2" t="s">
        <v>29</v>
      </c>
      <c r="E1596" s="2" t="s">
        <v>30</v>
      </c>
      <c r="F1596" s="2">
        <v>154307</v>
      </c>
      <c r="G1596" s="2">
        <v>9212</v>
      </c>
      <c r="H1596" s="2">
        <v>11975.6</v>
      </c>
      <c r="I1596" s="2">
        <v>700</v>
      </c>
      <c r="J1596" s="2">
        <v>61706.239999999998</v>
      </c>
      <c r="K1596" s="4">
        <f t="shared" si="96"/>
        <v>5.9699171132871487E-2</v>
      </c>
      <c r="L1596" s="6">
        <f t="shared" si="97"/>
        <v>1.3</v>
      </c>
      <c r="M1596" s="6">
        <f t="shared" si="98"/>
        <v>17.108000000000001</v>
      </c>
      <c r="N1596" s="8">
        <f t="shared" si="99"/>
        <v>5.152663749624236</v>
      </c>
    </row>
    <row r="1597" spans="1:14" x14ac:dyDescent="0.45">
      <c r="A1597" s="12">
        <v>45622</v>
      </c>
      <c r="B1597" s="2" t="s">
        <v>35</v>
      </c>
      <c r="C1597" s="2" t="s">
        <v>38</v>
      </c>
      <c r="D1597" s="2" t="s">
        <v>25</v>
      </c>
      <c r="E1597" s="2" t="s">
        <v>51</v>
      </c>
      <c r="F1597" s="2">
        <v>149675</v>
      </c>
      <c r="G1597" s="2">
        <v>3143</v>
      </c>
      <c r="H1597" s="2">
        <v>4871.6499999999996</v>
      </c>
      <c r="I1597" s="2">
        <v>147</v>
      </c>
      <c r="J1597" s="2">
        <v>33184.47</v>
      </c>
      <c r="K1597" s="4">
        <f t="shared" si="96"/>
        <v>2.0998830800066811E-2</v>
      </c>
      <c r="L1597" s="6">
        <f t="shared" si="97"/>
        <v>1.5499999999999998</v>
      </c>
      <c r="M1597" s="6">
        <f t="shared" si="98"/>
        <v>33.140476190476186</v>
      </c>
      <c r="N1597" s="8">
        <f t="shared" si="99"/>
        <v>6.8117516652468879</v>
      </c>
    </row>
    <row r="1598" spans="1:14" x14ac:dyDescent="0.45">
      <c r="A1598" s="12">
        <v>45387</v>
      </c>
      <c r="B1598" s="2" t="s">
        <v>20</v>
      </c>
      <c r="C1598" s="2" t="s">
        <v>28</v>
      </c>
      <c r="D1598" s="2" t="s">
        <v>25</v>
      </c>
      <c r="E1598" s="2" t="s">
        <v>18</v>
      </c>
      <c r="F1598" s="2">
        <v>184065</v>
      </c>
      <c r="G1598" s="2">
        <v>6350</v>
      </c>
      <c r="H1598" s="2">
        <v>8509</v>
      </c>
      <c r="I1598" s="2">
        <v>273</v>
      </c>
      <c r="J1598" s="2">
        <v>39093.51</v>
      </c>
      <c r="K1598" s="4">
        <f t="shared" si="96"/>
        <v>3.4498682530627767E-2</v>
      </c>
      <c r="L1598" s="6">
        <f t="shared" si="97"/>
        <v>1.34</v>
      </c>
      <c r="M1598" s="6">
        <f t="shared" si="98"/>
        <v>31.168498168498168</v>
      </c>
      <c r="N1598" s="8">
        <f t="shared" si="99"/>
        <v>4.5943718415795045</v>
      </c>
    </row>
    <row r="1599" spans="1:14" x14ac:dyDescent="0.45">
      <c r="A1599" s="12">
        <v>45569</v>
      </c>
      <c r="B1599" s="2" t="s">
        <v>20</v>
      </c>
      <c r="C1599" s="2" t="s">
        <v>16</v>
      </c>
      <c r="D1599" s="2" t="s">
        <v>21</v>
      </c>
      <c r="E1599" s="2" t="s">
        <v>30</v>
      </c>
      <c r="F1599" s="2">
        <v>64484</v>
      </c>
      <c r="G1599" s="2">
        <v>2966</v>
      </c>
      <c r="H1599" s="2">
        <v>3707.5</v>
      </c>
      <c r="I1599" s="2">
        <v>227</v>
      </c>
      <c r="J1599" s="2">
        <v>27232.61</v>
      </c>
      <c r="K1599" s="4">
        <f t="shared" si="96"/>
        <v>4.5995905961168662E-2</v>
      </c>
      <c r="L1599" s="6">
        <f t="shared" si="97"/>
        <v>1.25</v>
      </c>
      <c r="M1599" s="6">
        <f t="shared" si="98"/>
        <v>16.332599118942731</v>
      </c>
      <c r="N1599" s="8">
        <f t="shared" si="99"/>
        <v>7.3452757923128793</v>
      </c>
    </row>
    <row r="1600" spans="1:14" x14ac:dyDescent="0.45">
      <c r="A1600" s="12">
        <v>45501</v>
      </c>
      <c r="B1600" s="2" t="s">
        <v>35</v>
      </c>
      <c r="C1600" s="2" t="s">
        <v>24</v>
      </c>
      <c r="D1600" s="2" t="s">
        <v>21</v>
      </c>
      <c r="E1600" s="2" t="s">
        <v>18</v>
      </c>
      <c r="F1600" s="2">
        <v>148088</v>
      </c>
      <c r="G1600" s="2">
        <v>4561</v>
      </c>
      <c r="H1600" s="2">
        <v>6202.96</v>
      </c>
      <c r="I1600" s="2">
        <v>173</v>
      </c>
      <c r="J1600" s="2">
        <v>48056.97</v>
      </c>
      <c r="K1600" s="4">
        <f t="shared" si="96"/>
        <v>3.0799254497325915E-2</v>
      </c>
      <c r="L1600" s="6">
        <f t="shared" si="97"/>
        <v>1.36</v>
      </c>
      <c r="M1600" s="6">
        <f t="shared" si="98"/>
        <v>35.855260115606939</v>
      </c>
      <c r="N1600" s="8">
        <f t="shared" si="99"/>
        <v>7.7474254227014203</v>
      </c>
    </row>
    <row r="1601" spans="1:14" x14ac:dyDescent="0.45">
      <c r="A1601" s="12">
        <v>45544</v>
      </c>
      <c r="B1601" s="2" t="s">
        <v>15</v>
      </c>
      <c r="C1601" s="2" t="s">
        <v>38</v>
      </c>
      <c r="D1601" s="2" t="s">
        <v>29</v>
      </c>
      <c r="E1601" s="2" t="s">
        <v>51</v>
      </c>
      <c r="F1601" s="2">
        <v>28068</v>
      </c>
      <c r="G1601" s="2">
        <v>990</v>
      </c>
      <c r="H1601" s="2">
        <v>999.9</v>
      </c>
      <c r="I1601" s="2">
        <v>28</v>
      </c>
      <c r="J1601" s="2">
        <v>5661.1</v>
      </c>
      <c r="K1601" s="4">
        <f t="shared" si="96"/>
        <v>3.5271483539974349E-2</v>
      </c>
      <c r="L1601" s="6">
        <f t="shared" si="97"/>
        <v>1.01</v>
      </c>
      <c r="M1601" s="6">
        <f t="shared" si="98"/>
        <v>35.710714285714282</v>
      </c>
      <c r="N1601" s="8">
        <f t="shared" si="99"/>
        <v>5.6616661666166621</v>
      </c>
    </row>
    <row r="1602" spans="1:14" x14ac:dyDescent="0.45">
      <c r="A1602" s="12">
        <v>45374</v>
      </c>
      <c r="B1602" s="2" t="s">
        <v>20</v>
      </c>
      <c r="C1602" s="2" t="s">
        <v>16</v>
      </c>
      <c r="D1602" s="2" t="s">
        <v>25</v>
      </c>
      <c r="E1602" s="2" t="s">
        <v>26</v>
      </c>
      <c r="F1602" s="2">
        <v>131385</v>
      </c>
      <c r="G1602" s="2">
        <v>6910</v>
      </c>
      <c r="H1602" s="2">
        <v>2349.4</v>
      </c>
      <c r="I1602" s="2">
        <v>206</v>
      </c>
      <c r="J1602" s="2">
        <v>6729.96</v>
      </c>
      <c r="K1602" s="4">
        <f t="shared" si="96"/>
        <v>5.2593522852684857E-2</v>
      </c>
      <c r="L1602" s="6">
        <f t="shared" si="97"/>
        <v>0.34</v>
      </c>
      <c r="M1602" s="6">
        <f t="shared" si="98"/>
        <v>11.404854368932039</v>
      </c>
      <c r="N1602" s="8">
        <f t="shared" si="99"/>
        <v>2.8645441389290882</v>
      </c>
    </row>
    <row r="1603" spans="1:14" x14ac:dyDescent="0.45">
      <c r="A1603" s="12">
        <v>45428</v>
      </c>
      <c r="B1603" s="2" t="s">
        <v>20</v>
      </c>
      <c r="C1603" s="2" t="s">
        <v>16</v>
      </c>
      <c r="D1603" s="2" t="s">
        <v>21</v>
      </c>
      <c r="E1603" s="2" t="s">
        <v>18</v>
      </c>
      <c r="F1603" s="2">
        <v>77882</v>
      </c>
      <c r="G1603" s="2">
        <v>3029</v>
      </c>
      <c r="H1603" s="2">
        <v>1423.63</v>
      </c>
      <c r="I1603" s="2">
        <v>228</v>
      </c>
      <c r="J1603" s="2">
        <v>44433.62</v>
      </c>
      <c r="K1603" s="4">
        <f t="shared" ref="K1603:K1666" si="100" xml:space="preserve"> G1603 / F1603</f>
        <v>3.8892170206209394E-2</v>
      </c>
      <c r="L1603" s="6">
        <f t="shared" ref="L1603:L1666" si="101">H1603/G1603</f>
        <v>0.47000000000000003</v>
      </c>
      <c r="M1603" s="6">
        <f t="shared" ref="M1603:M1666" si="102">H1603/I1603</f>
        <v>6.2439912280701755</v>
      </c>
      <c r="N1603" s="8">
        <f t="shared" ref="N1603:N1666" si="103">J1603/H1603</f>
        <v>31.211494559681938</v>
      </c>
    </row>
    <row r="1604" spans="1:14" x14ac:dyDescent="0.45">
      <c r="A1604" s="12">
        <v>45545</v>
      </c>
      <c r="B1604" s="2" t="s">
        <v>20</v>
      </c>
      <c r="C1604" s="2" t="s">
        <v>28</v>
      </c>
      <c r="D1604" s="2" t="s">
        <v>25</v>
      </c>
      <c r="E1604" s="2" t="s">
        <v>18</v>
      </c>
      <c r="F1604" s="2">
        <v>90066</v>
      </c>
      <c r="G1604" s="2">
        <v>6025</v>
      </c>
      <c r="H1604" s="2">
        <v>10664.25</v>
      </c>
      <c r="I1604" s="2">
        <v>417</v>
      </c>
      <c r="J1604" s="2">
        <v>40275.46</v>
      </c>
      <c r="K1604" s="4">
        <f t="shared" si="100"/>
        <v>6.6895387826704858E-2</v>
      </c>
      <c r="L1604" s="6">
        <f t="shared" si="101"/>
        <v>1.77</v>
      </c>
      <c r="M1604" s="6">
        <f t="shared" si="102"/>
        <v>25.573741007194243</v>
      </c>
      <c r="N1604" s="8">
        <f t="shared" si="103"/>
        <v>3.7766800290690861</v>
      </c>
    </row>
    <row r="1605" spans="1:14" x14ac:dyDescent="0.45">
      <c r="A1605" s="12">
        <v>45498</v>
      </c>
      <c r="B1605" s="2" t="s">
        <v>35</v>
      </c>
      <c r="C1605" s="2" t="s">
        <v>28</v>
      </c>
      <c r="D1605" s="2" t="s">
        <v>41</v>
      </c>
      <c r="E1605" s="2" t="s">
        <v>51</v>
      </c>
      <c r="F1605" s="2">
        <v>186775</v>
      </c>
      <c r="G1605" s="2">
        <v>2409</v>
      </c>
      <c r="H1605" s="2">
        <v>1662.21</v>
      </c>
      <c r="I1605" s="2">
        <v>107</v>
      </c>
      <c r="J1605" s="2">
        <v>10079.709999999999</v>
      </c>
      <c r="K1605" s="4">
        <f t="shared" si="100"/>
        <v>1.2897871770847277E-2</v>
      </c>
      <c r="L1605" s="6">
        <f t="shared" si="101"/>
        <v>0.69000000000000006</v>
      </c>
      <c r="M1605" s="6">
        <f t="shared" si="102"/>
        <v>15.534672897196263</v>
      </c>
      <c r="N1605" s="8">
        <f t="shared" si="103"/>
        <v>6.0640412462925859</v>
      </c>
    </row>
    <row r="1606" spans="1:14" x14ac:dyDescent="0.45">
      <c r="A1606" s="12">
        <v>45397</v>
      </c>
      <c r="B1606" s="2" t="s">
        <v>15</v>
      </c>
      <c r="C1606" s="2" t="s">
        <v>24</v>
      </c>
      <c r="D1606" s="2" t="s">
        <v>17</v>
      </c>
      <c r="E1606" s="2" t="s">
        <v>51</v>
      </c>
      <c r="F1606" s="2">
        <v>57328</v>
      </c>
      <c r="G1606" s="2">
        <v>2161</v>
      </c>
      <c r="H1606" s="2">
        <v>3306.33</v>
      </c>
      <c r="I1606" s="2">
        <v>99</v>
      </c>
      <c r="J1606" s="2">
        <v>17903.97</v>
      </c>
      <c r="K1606" s="4">
        <f t="shared" si="100"/>
        <v>3.7695367010884731E-2</v>
      </c>
      <c r="L1606" s="6">
        <f t="shared" si="101"/>
        <v>1.53</v>
      </c>
      <c r="M1606" s="6">
        <f t="shared" si="102"/>
        <v>33.397272727272728</v>
      </c>
      <c r="N1606" s="8">
        <f t="shared" si="103"/>
        <v>5.4150583880011984</v>
      </c>
    </row>
    <row r="1607" spans="1:14" x14ac:dyDescent="0.45">
      <c r="A1607" s="12">
        <v>45344</v>
      </c>
      <c r="B1607" s="2" t="s">
        <v>15</v>
      </c>
      <c r="C1607" s="2" t="s">
        <v>24</v>
      </c>
      <c r="D1607" s="2" t="s">
        <v>29</v>
      </c>
      <c r="E1607" s="2" t="s">
        <v>51</v>
      </c>
      <c r="F1607" s="2">
        <v>87570</v>
      </c>
      <c r="G1607" s="2">
        <v>3415</v>
      </c>
      <c r="H1607" s="2">
        <v>8776.5499999999993</v>
      </c>
      <c r="I1607" s="2">
        <v>236</v>
      </c>
      <c r="J1607" s="2">
        <v>46705.85</v>
      </c>
      <c r="K1607" s="4">
        <f t="shared" si="100"/>
        <v>3.899737352974763E-2</v>
      </c>
      <c r="L1607" s="6">
        <f t="shared" si="101"/>
        <v>2.57</v>
      </c>
      <c r="M1607" s="6">
        <f t="shared" si="102"/>
        <v>37.188771186440675</v>
      </c>
      <c r="N1607" s="8">
        <f t="shared" si="103"/>
        <v>5.3216639795819543</v>
      </c>
    </row>
    <row r="1608" spans="1:14" x14ac:dyDescent="0.45">
      <c r="A1608" s="12">
        <v>45461</v>
      </c>
      <c r="B1608" s="2" t="s">
        <v>35</v>
      </c>
      <c r="C1608" s="2" t="s">
        <v>24</v>
      </c>
      <c r="D1608" s="2" t="s">
        <v>29</v>
      </c>
      <c r="E1608" s="2" t="s">
        <v>18</v>
      </c>
      <c r="F1608" s="2">
        <v>54864</v>
      </c>
      <c r="G1608" s="2">
        <v>1876</v>
      </c>
      <c r="H1608" s="2">
        <v>2851.52</v>
      </c>
      <c r="I1608" s="2">
        <v>121</v>
      </c>
      <c r="J1608" s="2">
        <v>23640.39</v>
      </c>
      <c r="K1608" s="4">
        <f t="shared" si="100"/>
        <v>3.4193642461358996E-2</v>
      </c>
      <c r="L1608" s="6">
        <f t="shared" si="101"/>
        <v>1.52</v>
      </c>
      <c r="M1608" s="6">
        <f t="shared" si="102"/>
        <v>23.566280991735535</v>
      </c>
      <c r="N1608" s="8">
        <f t="shared" si="103"/>
        <v>8.2904521097519925</v>
      </c>
    </row>
    <row r="1609" spans="1:14" x14ac:dyDescent="0.45">
      <c r="A1609" s="12">
        <v>45600</v>
      </c>
      <c r="B1609" s="2" t="s">
        <v>15</v>
      </c>
      <c r="C1609" s="2" t="s">
        <v>38</v>
      </c>
      <c r="D1609" s="2" t="s">
        <v>29</v>
      </c>
      <c r="E1609" s="2" t="s">
        <v>54</v>
      </c>
      <c r="F1609" s="2">
        <v>91861</v>
      </c>
      <c r="G1609" s="2">
        <v>2535</v>
      </c>
      <c r="H1609" s="2">
        <v>3143.4</v>
      </c>
      <c r="I1609" s="2">
        <v>137</v>
      </c>
      <c r="J1609" s="2">
        <v>8299.82</v>
      </c>
      <c r="K1609" s="4">
        <f t="shared" si="100"/>
        <v>2.7596041845832291E-2</v>
      </c>
      <c r="L1609" s="6">
        <f t="shared" si="101"/>
        <v>1.24</v>
      </c>
      <c r="M1609" s="6">
        <f t="shared" si="102"/>
        <v>22.944525547445256</v>
      </c>
      <c r="N1609" s="8">
        <f t="shared" si="103"/>
        <v>2.6403957498250299</v>
      </c>
    </row>
    <row r="1610" spans="1:14" x14ac:dyDescent="0.45">
      <c r="A1610" s="12">
        <v>45447</v>
      </c>
      <c r="B1610" s="2" t="s">
        <v>35</v>
      </c>
      <c r="C1610" s="2" t="s">
        <v>16</v>
      </c>
      <c r="D1610" s="2" t="s">
        <v>41</v>
      </c>
      <c r="E1610" s="2" t="s">
        <v>54</v>
      </c>
      <c r="F1610" s="2">
        <v>16920</v>
      </c>
      <c r="G1610" s="2">
        <v>389</v>
      </c>
      <c r="H1610" s="2">
        <v>478.47</v>
      </c>
      <c r="I1610" s="2">
        <v>15</v>
      </c>
      <c r="J1610" s="2">
        <v>3222.58</v>
      </c>
      <c r="K1610" s="4">
        <f t="shared" si="100"/>
        <v>2.2990543735224585E-2</v>
      </c>
      <c r="L1610" s="6">
        <f t="shared" si="101"/>
        <v>1.23</v>
      </c>
      <c r="M1610" s="6">
        <f t="shared" si="102"/>
        <v>31.898000000000003</v>
      </c>
      <c r="N1610" s="8">
        <f t="shared" si="103"/>
        <v>6.7351767090935688</v>
      </c>
    </row>
    <row r="1611" spans="1:14" x14ac:dyDescent="0.45">
      <c r="A1611" s="12">
        <v>45520</v>
      </c>
      <c r="B1611" s="2" t="s">
        <v>35</v>
      </c>
      <c r="C1611" s="2" t="s">
        <v>28</v>
      </c>
      <c r="D1611" s="2" t="s">
        <v>25</v>
      </c>
      <c r="E1611" s="2" t="s">
        <v>51</v>
      </c>
      <c r="F1611" s="2">
        <v>117421</v>
      </c>
      <c r="G1611" s="2">
        <v>3428</v>
      </c>
      <c r="H1611" s="2">
        <v>2091.08</v>
      </c>
      <c r="I1611" s="2">
        <v>99</v>
      </c>
      <c r="J1611" s="2">
        <v>25079.21</v>
      </c>
      <c r="K1611" s="4">
        <f t="shared" si="100"/>
        <v>2.919409645634086E-2</v>
      </c>
      <c r="L1611" s="6">
        <f t="shared" si="101"/>
        <v>0.61</v>
      </c>
      <c r="M1611" s="6">
        <f t="shared" si="102"/>
        <v>21.122020202020202</v>
      </c>
      <c r="N1611" s="8">
        <f t="shared" si="103"/>
        <v>11.993424450523175</v>
      </c>
    </row>
    <row r="1612" spans="1:14" x14ac:dyDescent="0.45">
      <c r="A1612" s="12">
        <v>45472</v>
      </c>
      <c r="B1612" s="2" t="s">
        <v>15</v>
      </c>
      <c r="C1612" s="2" t="s">
        <v>38</v>
      </c>
      <c r="D1612" s="2" t="s">
        <v>21</v>
      </c>
      <c r="E1612" s="2" t="s">
        <v>22</v>
      </c>
      <c r="F1612" s="2">
        <v>146332</v>
      </c>
      <c r="G1612" s="2">
        <v>7184</v>
      </c>
      <c r="H1612" s="2">
        <v>20115.2</v>
      </c>
      <c r="I1612" s="2">
        <v>366</v>
      </c>
      <c r="J1612" s="2">
        <v>40775.67</v>
      </c>
      <c r="K1612" s="4">
        <f t="shared" si="100"/>
        <v>4.9093841401743978E-2</v>
      </c>
      <c r="L1612" s="6">
        <f t="shared" si="101"/>
        <v>2.8000000000000003</v>
      </c>
      <c r="M1612" s="6">
        <f t="shared" si="102"/>
        <v>54.959562841530058</v>
      </c>
      <c r="N1612" s="8">
        <f t="shared" si="103"/>
        <v>2.0271073615972002</v>
      </c>
    </row>
    <row r="1613" spans="1:14" x14ac:dyDescent="0.45">
      <c r="A1613" s="12">
        <v>45302</v>
      </c>
      <c r="B1613" s="2" t="s">
        <v>35</v>
      </c>
      <c r="C1613" s="2" t="s">
        <v>28</v>
      </c>
      <c r="D1613" s="2" t="s">
        <v>29</v>
      </c>
      <c r="E1613" s="2" t="s">
        <v>26</v>
      </c>
      <c r="F1613" s="2">
        <v>144993</v>
      </c>
      <c r="G1613" s="2">
        <v>2783</v>
      </c>
      <c r="H1613" s="2">
        <v>4091.01</v>
      </c>
      <c r="I1613" s="2">
        <v>120</v>
      </c>
      <c r="J1613" s="2">
        <v>10562.14</v>
      </c>
      <c r="K1613" s="4">
        <f t="shared" si="100"/>
        <v>1.9194030056623422E-2</v>
      </c>
      <c r="L1613" s="6">
        <f t="shared" si="101"/>
        <v>1.47</v>
      </c>
      <c r="M1613" s="6">
        <f t="shared" si="102"/>
        <v>34.091750000000005</v>
      </c>
      <c r="N1613" s="8">
        <f t="shared" si="103"/>
        <v>2.5817927602230255</v>
      </c>
    </row>
    <row r="1614" spans="1:14" x14ac:dyDescent="0.45">
      <c r="A1614" s="12">
        <v>45501</v>
      </c>
      <c r="B1614" s="2" t="s">
        <v>15</v>
      </c>
      <c r="C1614" s="2" t="s">
        <v>38</v>
      </c>
      <c r="D1614" s="2" t="s">
        <v>17</v>
      </c>
      <c r="E1614" s="2" t="s">
        <v>33</v>
      </c>
      <c r="F1614" s="2">
        <v>35702</v>
      </c>
      <c r="G1614" s="2">
        <v>999</v>
      </c>
      <c r="H1614" s="2">
        <v>1578.42</v>
      </c>
      <c r="I1614" s="2">
        <v>15</v>
      </c>
      <c r="J1614" s="2">
        <v>2820.45</v>
      </c>
      <c r="K1614" s="4">
        <f t="shared" si="100"/>
        <v>2.7981625679233655E-2</v>
      </c>
      <c r="L1614" s="6">
        <f t="shared" si="101"/>
        <v>1.58</v>
      </c>
      <c r="M1614" s="6">
        <f t="shared" si="102"/>
        <v>105.22800000000001</v>
      </c>
      <c r="N1614" s="8">
        <f t="shared" si="103"/>
        <v>1.786881818527388</v>
      </c>
    </row>
    <row r="1615" spans="1:14" x14ac:dyDescent="0.45">
      <c r="A1615" s="12">
        <v>45536</v>
      </c>
      <c r="B1615" s="2" t="s">
        <v>15</v>
      </c>
      <c r="C1615" s="2" t="s">
        <v>28</v>
      </c>
      <c r="D1615" s="2" t="s">
        <v>25</v>
      </c>
      <c r="E1615" s="2" t="s">
        <v>30</v>
      </c>
      <c r="F1615" s="2">
        <v>184976</v>
      </c>
      <c r="G1615" s="2">
        <v>6270</v>
      </c>
      <c r="H1615" s="2">
        <v>16678.2</v>
      </c>
      <c r="I1615" s="2">
        <v>412</v>
      </c>
      <c r="J1615" s="2">
        <v>40433.910000000003</v>
      </c>
      <c r="K1615" s="4">
        <f t="shared" si="100"/>
        <v>3.3896289248334918E-2</v>
      </c>
      <c r="L1615" s="6">
        <f t="shared" si="101"/>
        <v>2.66</v>
      </c>
      <c r="M1615" s="6">
        <f t="shared" si="102"/>
        <v>40.481067961165053</v>
      </c>
      <c r="N1615" s="8">
        <f t="shared" si="103"/>
        <v>2.4243569449940643</v>
      </c>
    </row>
    <row r="1616" spans="1:14" x14ac:dyDescent="0.45">
      <c r="A1616" s="12">
        <v>45453</v>
      </c>
      <c r="B1616" s="2" t="s">
        <v>15</v>
      </c>
      <c r="C1616" s="2" t="s">
        <v>16</v>
      </c>
      <c r="D1616" s="2" t="s">
        <v>41</v>
      </c>
      <c r="E1616" s="2" t="s">
        <v>18</v>
      </c>
      <c r="F1616" s="2">
        <v>119235</v>
      </c>
      <c r="G1616" s="2">
        <v>5258</v>
      </c>
      <c r="H1616" s="2">
        <v>5783.8</v>
      </c>
      <c r="I1616" s="2">
        <v>141</v>
      </c>
      <c r="J1616" s="2">
        <v>24150.02</v>
      </c>
      <c r="K1616" s="4">
        <f t="shared" si="100"/>
        <v>4.409779007841657E-2</v>
      </c>
      <c r="L1616" s="6">
        <f t="shared" si="101"/>
        <v>1.1000000000000001</v>
      </c>
      <c r="M1616" s="6">
        <f t="shared" si="102"/>
        <v>41.01985815602837</v>
      </c>
      <c r="N1616" s="8">
        <f t="shared" si="103"/>
        <v>4.1754590407690442</v>
      </c>
    </row>
    <row r="1617" spans="1:14" x14ac:dyDescent="0.45">
      <c r="A1617" s="12">
        <v>45518</v>
      </c>
      <c r="B1617" s="2" t="s">
        <v>15</v>
      </c>
      <c r="C1617" s="2" t="s">
        <v>28</v>
      </c>
      <c r="D1617" s="2" t="s">
        <v>21</v>
      </c>
      <c r="E1617" s="2" t="s">
        <v>51</v>
      </c>
      <c r="F1617" s="2">
        <v>127211</v>
      </c>
      <c r="G1617" s="2">
        <v>3968</v>
      </c>
      <c r="H1617" s="2">
        <v>10435.84</v>
      </c>
      <c r="I1617" s="2">
        <v>194</v>
      </c>
      <c r="J1617" s="2">
        <v>37337.18</v>
      </c>
      <c r="K1617" s="4">
        <f t="shared" si="100"/>
        <v>3.1192271108630543E-2</v>
      </c>
      <c r="L1617" s="6">
        <f t="shared" si="101"/>
        <v>2.63</v>
      </c>
      <c r="M1617" s="6">
        <f t="shared" si="102"/>
        <v>53.792989690721647</v>
      </c>
      <c r="N1617" s="8">
        <f t="shared" si="103"/>
        <v>3.577783867901386</v>
      </c>
    </row>
    <row r="1618" spans="1:14" x14ac:dyDescent="0.45">
      <c r="A1618" s="12">
        <v>45642</v>
      </c>
      <c r="B1618" s="2" t="s">
        <v>20</v>
      </c>
      <c r="C1618" s="2" t="s">
        <v>24</v>
      </c>
      <c r="D1618" s="2" t="s">
        <v>17</v>
      </c>
      <c r="E1618" s="2" t="s">
        <v>26</v>
      </c>
      <c r="F1618" s="2">
        <v>27584</v>
      </c>
      <c r="G1618" s="2">
        <v>1561</v>
      </c>
      <c r="H1618" s="2">
        <v>1467.34</v>
      </c>
      <c r="I1618" s="2">
        <v>93</v>
      </c>
      <c r="J1618" s="2">
        <v>19425.98</v>
      </c>
      <c r="K1618" s="4">
        <f t="shared" si="100"/>
        <v>5.6590777262180973E-2</v>
      </c>
      <c r="L1618" s="6">
        <f t="shared" si="101"/>
        <v>0.94</v>
      </c>
      <c r="M1618" s="6">
        <f t="shared" si="102"/>
        <v>15.777849462365591</v>
      </c>
      <c r="N1618" s="8">
        <f t="shared" si="103"/>
        <v>13.238908501097225</v>
      </c>
    </row>
    <row r="1619" spans="1:14" x14ac:dyDescent="0.45">
      <c r="A1619" s="12">
        <v>45437</v>
      </c>
      <c r="B1619" s="2" t="s">
        <v>15</v>
      </c>
      <c r="C1619" s="2" t="s">
        <v>28</v>
      </c>
      <c r="D1619" s="2" t="s">
        <v>29</v>
      </c>
      <c r="E1619" s="2" t="s">
        <v>30</v>
      </c>
      <c r="F1619" s="2">
        <v>194928</v>
      </c>
      <c r="G1619" s="2">
        <v>9161</v>
      </c>
      <c r="H1619" s="2">
        <v>17222.68</v>
      </c>
      <c r="I1619" s="2">
        <v>571</v>
      </c>
      <c r="J1619" s="2">
        <v>17839.23</v>
      </c>
      <c r="K1619" s="4">
        <f t="shared" si="100"/>
        <v>4.6996839858819667E-2</v>
      </c>
      <c r="L1619" s="6">
        <f t="shared" si="101"/>
        <v>1.8800000000000001</v>
      </c>
      <c r="M1619" s="6">
        <f t="shared" si="102"/>
        <v>30.162311733800351</v>
      </c>
      <c r="N1619" s="8">
        <f t="shared" si="103"/>
        <v>1.0357987258661254</v>
      </c>
    </row>
    <row r="1620" spans="1:14" x14ac:dyDescent="0.45">
      <c r="A1620" s="12">
        <v>45591</v>
      </c>
      <c r="B1620" s="2" t="s">
        <v>15</v>
      </c>
      <c r="C1620" s="2" t="s">
        <v>16</v>
      </c>
      <c r="D1620" s="2" t="s">
        <v>41</v>
      </c>
      <c r="E1620" s="2" t="s">
        <v>54</v>
      </c>
      <c r="F1620" s="2">
        <v>90349</v>
      </c>
      <c r="G1620" s="2">
        <v>5420</v>
      </c>
      <c r="H1620" s="2">
        <v>16368.4</v>
      </c>
      <c r="I1620" s="2">
        <v>105</v>
      </c>
      <c r="J1620" s="2">
        <v>16913.07</v>
      </c>
      <c r="K1620" s="4">
        <f t="shared" si="100"/>
        <v>5.9989595900342009E-2</v>
      </c>
      <c r="L1620" s="6">
        <f t="shared" si="101"/>
        <v>3.02</v>
      </c>
      <c r="M1620" s="6">
        <f t="shared" si="102"/>
        <v>155.88952380952381</v>
      </c>
      <c r="N1620" s="8">
        <f t="shared" si="103"/>
        <v>1.0332757019623175</v>
      </c>
    </row>
    <row r="1621" spans="1:14" x14ac:dyDescent="0.45">
      <c r="A1621" s="12">
        <v>45481</v>
      </c>
      <c r="B1621" s="2" t="s">
        <v>20</v>
      </c>
      <c r="C1621" s="2" t="s">
        <v>24</v>
      </c>
      <c r="D1621" s="2" t="s">
        <v>21</v>
      </c>
      <c r="E1621" s="2" t="s">
        <v>30</v>
      </c>
      <c r="F1621" s="2">
        <v>170011</v>
      </c>
      <c r="G1621" s="2">
        <v>10149</v>
      </c>
      <c r="H1621" s="2">
        <v>5581.95</v>
      </c>
      <c r="I1621" s="2">
        <v>110</v>
      </c>
      <c r="J1621" s="2">
        <v>29617.759999999998</v>
      </c>
      <c r="K1621" s="4">
        <f t="shared" si="100"/>
        <v>5.9696137308762373E-2</v>
      </c>
      <c r="L1621" s="6">
        <f t="shared" si="101"/>
        <v>0.54999999999999993</v>
      </c>
      <c r="M1621" s="6">
        <f t="shared" si="102"/>
        <v>50.744999999999997</v>
      </c>
      <c r="N1621" s="8">
        <f t="shared" si="103"/>
        <v>5.3059880507707877</v>
      </c>
    </row>
    <row r="1622" spans="1:14" x14ac:dyDescent="0.45">
      <c r="A1622" s="12">
        <v>45510</v>
      </c>
      <c r="B1622" s="2" t="s">
        <v>15</v>
      </c>
      <c r="C1622" s="2" t="s">
        <v>38</v>
      </c>
      <c r="D1622" s="2" t="s">
        <v>25</v>
      </c>
      <c r="E1622" s="2" t="s">
        <v>26</v>
      </c>
      <c r="F1622" s="2">
        <v>54158</v>
      </c>
      <c r="G1622" s="2">
        <v>3374</v>
      </c>
      <c r="H1622" s="2">
        <v>2732.94</v>
      </c>
      <c r="I1622" s="2">
        <v>55</v>
      </c>
      <c r="J1622" s="2">
        <v>5839.17</v>
      </c>
      <c r="K1622" s="4">
        <f t="shared" si="100"/>
        <v>6.2299198641013333E-2</v>
      </c>
      <c r="L1622" s="6">
        <f t="shared" si="101"/>
        <v>0.81</v>
      </c>
      <c r="M1622" s="6">
        <f t="shared" si="102"/>
        <v>49.689818181818183</v>
      </c>
      <c r="N1622" s="8">
        <f t="shared" si="103"/>
        <v>2.1365891677094995</v>
      </c>
    </row>
    <row r="1623" spans="1:14" x14ac:dyDescent="0.45">
      <c r="A1623" s="12">
        <v>45293</v>
      </c>
      <c r="B1623" s="2" t="s">
        <v>35</v>
      </c>
      <c r="C1623" s="2" t="s">
        <v>38</v>
      </c>
      <c r="D1623" s="2" t="s">
        <v>29</v>
      </c>
      <c r="E1623" s="2" t="s">
        <v>22</v>
      </c>
      <c r="F1623" s="2">
        <v>143485</v>
      </c>
      <c r="G1623" s="2">
        <v>3945</v>
      </c>
      <c r="H1623" s="2">
        <v>2800.95</v>
      </c>
      <c r="I1623" s="2">
        <v>187</v>
      </c>
      <c r="J1623" s="2">
        <v>30765.32</v>
      </c>
      <c r="K1623" s="4">
        <f t="shared" si="100"/>
        <v>2.7494163152942817E-2</v>
      </c>
      <c r="L1623" s="6">
        <f t="shared" si="101"/>
        <v>0.71</v>
      </c>
      <c r="M1623" s="6">
        <f t="shared" si="102"/>
        <v>14.978342245989303</v>
      </c>
      <c r="N1623" s="8">
        <f t="shared" si="103"/>
        <v>10.983887609561043</v>
      </c>
    </row>
    <row r="1624" spans="1:14" x14ac:dyDescent="0.45">
      <c r="A1624" s="12">
        <v>45340</v>
      </c>
      <c r="B1624" s="2" t="s">
        <v>15</v>
      </c>
      <c r="C1624" s="2" t="s">
        <v>24</v>
      </c>
      <c r="D1624" s="2" t="s">
        <v>17</v>
      </c>
      <c r="E1624" s="2" t="s">
        <v>33</v>
      </c>
      <c r="F1624" s="2">
        <v>165470</v>
      </c>
      <c r="G1624" s="2">
        <v>4136</v>
      </c>
      <c r="H1624" s="2">
        <v>3391.52</v>
      </c>
      <c r="I1624" s="2">
        <v>56</v>
      </c>
      <c r="J1624" s="2">
        <v>12113.24</v>
      </c>
      <c r="K1624" s="4">
        <f t="shared" si="100"/>
        <v>2.4995467456336497E-2</v>
      </c>
      <c r="L1624" s="6">
        <f t="shared" si="101"/>
        <v>0.82</v>
      </c>
      <c r="M1624" s="6">
        <f t="shared" si="102"/>
        <v>60.562857142857141</v>
      </c>
      <c r="N1624" s="8">
        <f t="shared" si="103"/>
        <v>3.5716257017502477</v>
      </c>
    </row>
    <row r="1625" spans="1:14" x14ac:dyDescent="0.45">
      <c r="A1625" s="12">
        <v>45423</v>
      </c>
      <c r="B1625" s="2" t="s">
        <v>35</v>
      </c>
      <c r="C1625" s="2" t="s">
        <v>16</v>
      </c>
      <c r="D1625" s="2" t="s">
        <v>21</v>
      </c>
      <c r="E1625" s="2" t="s">
        <v>26</v>
      </c>
      <c r="F1625" s="2">
        <v>112596</v>
      </c>
      <c r="G1625" s="2">
        <v>2668</v>
      </c>
      <c r="H1625" s="2">
        <v>3201.6</v>
      </c>
      <c r="I1625" s="2">
        <v>39</v>
      </c>
      <c r="J1625" s="2">
        <v>10899.61</v>
      </c>
      <c r="K1625" s="4">
        <f t="shared" si="100"/>
        <v>2.3695335535898254E-2</v>
      </c>
      <c r="L1625" s="6">
        <f t="shared" si="101"/>
        <v>1.2</v>
      </c>
      <c r="M1625" s="6">
        <f t="shared" si="102"/>
        <v>82.092307692307685</v>
      </c>
      <c r="N1625" s="8">
        <f t="shared" si="103"/>
        <v>3.4044259120439784</v>
      </c>
    </row>
    <row r="1626" spans="1:14" x14ac:dyDescent="0.45">
      <c r="A1626" s="12">
        <v>45476</v>
      </c>
      <c r="B1626" s="2" t="s">
        <v>15</v>
      </c>
      <c r="C1626" s="2" t="s">
        <v>24</v>
      </c>
      <c r="D1626" s="2" t="s">
        <v>21</v>
      </c>
      <c r="E1626" s="2" t="s">
        <v>33</v>
      </c>
      <c r="F1626" s="2">
        <v>82604</v>
      </c>
      <c r="G1626" s="2">
        <v>5146</v>
      </c>
      <c r="H1626" s="2">
        <v>14820.48</v>
      </c>
      <c r="I1626" s="2">
        <v>75</v>
      </c>
      <c r="J1626" s="2">
        <v>11977.45</v>
      </c>
      <c r="K1626" s="4">
        <f t="shared" si="100"/>
        <v>6.2297225315965328E-2</v>
      </c>
      <c r="L1626" s="6">
        <f t="shared" si="101"/>
        <v>2.88</v>
      </c>
      <c r="M1626" s="6">
        <f t="shared" si="102"/>
        <v>197.60640000000001</v>
      </c>
      <c r="N1626" s="8">
        <f t="shared" si="103"/>
        <v>0.80816883123893435</v>
      </c>
    </row>
    <row r="1627" spans="1:14" x14ac:dyDescent="0.45">
      <c r="A1627" s="12">
        <v>45468</v>
      </c>
      <c r="B1627" s="2" t="s">
        <v>15</v>
      </c>
      <c r="C1627" s="2" t="s">
        <v>38</v>
      </c>
      <c r="D1627" s="2" t="s">
        <v>25</v>
      </c>
      <c r="E1627" s="2" t="s">
        <v>18</v>
      </c>
      <c r="F1627" s="2">
        <v>162454</v>
      </c>
      <c r="G1627" s="2">
        <v>4337</v>
      </c>
      <c r="H1627" s="2">
        <v>6809.09</v>
      </c>
      <c r="I1627" s="2">
        <v>329</v>
      </c>
      <c r="J1627" s="2">
        <v>13568.06</v>
      </c>
      <c r="K1627" s="4">
        <f t="shared" si="100"/>
        <v>2.6696788013837763E-2</v>
      </c>
      <c r="L1627" s="6">
        <f t="shared" si="101"/>
        <v>1.57</v>
      </c>
      <c r="M1627" s="6">
        <f t="shared" si="102"/>
        <v>20.696322188449848</v>
      </c>
      <c r="N1627" s="8">
        <f t="shared" si="103"/>
        <v>1.992639251353705</v>
      </c>
    </row>
    <row r="1628" spans="1:14" x14ac:dyDescent="0.45">
      <c r="A1628" s="12">
        <v>45585</v>
      </c>
      <c r="B1628" s="2" t="s">
        <v>20</v>
      </c>
      <c r="C1628" s="2" t="s">
        <v>28</v>
      </c>
      <c r="D1628" s="2" t="s">
        <v>41</v>
      </c>
      <c r="E1628" s="2" t="s">
        <v>22</v>
      </c>
      <c r="F1628" s="2">
        <v>143667</v>
      </c>
      <c r="G1628" s="2">
        <v>6852</v>
      </c>
      <c r="H1628" s="2">
        <v>7742.76</v>
      </c>
      <c r="I1628" s="2">
        <v>142</v>
      </c>
      <c r="J1628" s="2">
        <v>19589.64</v>
      </c>
      <c r="K1628" s="4">
        <f t="shared" si="100"/>
        <v>4.7693624840777632E-2</v>
      </c>
      <c r="L1628" s="6">
        <f t="shared" si="101"/>
        <v>1.1300000000000001</v>
      </c>
      <c r="M1628" s="6">
        <f t="shared" si="102"/>
        <v>54.526478873239441</v>
      </c>
      <c r="N1628" s="8">
        <f t="shared" si="103"/>
        <v>2.5300590487113119</v>
      </c>
    </row>
    <row r="1629" spans="1:14" x14ac:dyDescent="0.45">
      <c r="A1629" s="12">
        <v>45338</v>
      </c>
      <c r="B1629" s="2" t="s">
        <v>15</v>
      </c>
      <c r="C1629" s="2" t="s">
        <v>24</v>
      </c>
      <c r="D1629" s="2" t="s">
        <v>25</v>
      </c>
      <c r="E1629" s="2" t="s">
        <v>54</v>
      </c>
      <c r="F1629" s="2">
        <v>83702</v>
      </c>
      <c r="G1629" s="2">
        <v>3900</v>
      </c>
      <c r="H1629" s="2">
        <v>8502</v>
      </c>
      <c r="I1629" s="2">
        <v>60</v>
      </c>
      <c r="J1629" s="2">
        <v>11812.78</v>
      </c>
      <c r="K1629" s="4">
        <f t="shared" si="100"/>
        <v>4.6593868724761657E-2</v>
      </c>
      <c r="L1629" s="6">
        <f t="shared" si="101"/>
        <v>2.1800000000000002</v>
      </c>
      <c r="M1629" s="6">
        <f t="shared" si="102"/>
        <v>141.69999999999999</v>
      </c>
      <c r="N1629" s="8">
        <f t="shared" si="103"/>
        <v>1.3894119030816279</v>
      </c>
    </row>
    <row r="1630" spans="1:14" x14ac:dyDescent="0.45">
      <c r="A1630" s="12">
        <v>45334</v>
      </c>
      <c r="B1630" s="2" t="s">
        <v>20</v>
      </c>
      <c r="C1630" s="2" t="s">
        <v>24</v>
      </c>
      <c r="D1630" s="2" t="s">
        <v>17</v>
      </c>
      <c r="E1630" s="2" t="s">
        <v>26</v>
      </c>
      <c r="F1630" s="2">
        <v>41497</v>
      </c>
      <c r="G1630" s="2">
        <v>3299</v>
      </c>
      <c r="H1630" s="2">
        <v>2144.35</v>
      </c>
      <c r="I1630" s="2">
        <v>112</v>
      </c>
      <c r="J1630" s="2">
        <v>6822.75</v>
      </c>
      <c r="K1630" s="4">
        <f t="shared" si="100"/>
        <v>7.9499722871532882E-2</v>
      </c>
      <c r="L1630" s="6">
        <f t="shared" si="101"/>
        <v>0.65</v>
      </c>
      <c r="M1630" s="6">
        <f t="shared" si="102"/>
        <v>19.145982142857143</v>
      </c>
      <c r="N1630" s="8">
        <f t="shared" si="103"/>
        <v>3.1817333924032924</v>
      </c>
    </row>
    <row r="1631" spans="1:14" x14ac:dyDescent="0.45">
      <c r="A1631" s="12">
        <v>45438</v>
      </c>
      <c r="B1631" s="2" t="s">
        <v>15</v>
      </c>
      <c r="C1631" s="2" t="s">
        <v>16</v>
      </c>
      <c r="D1631" s="2" t="s">
        <v>17</v>
      </c>
      <c r="E1631" s="2" t="s">
        <v>18</v>
      </c>
      <c r="F1631" s="2">
        <v>88442</v>
      </c>
      <c r="G1631" s="2">
        <v>2485</v>
      </c>
      <c r="H1631" s="2">
        <v>7181.65</v>
      </c>
      <c r="I1631" s="2">
        <v>69</v>
      </c>
      <c r="J1631" s="2">
        <v>12989.18</v>
      </c>
      <c r="K1631" s="4">
        <f t="shared" si="100"/>
        <v>2.8097510232694873E-2</v>
      </c>
      <c r="L1631" s="6">
        <f t="shared" si="101"/>
        <v>2.8899999999999997</v>
      </c>
      <c r="M1631" s="6">
        <f t="shared" si="102"/>
        <v>104.08188405797101</v>
      </c>
      <c r="N1631" s="8">
        <f t="shared" si="103"/>
        <v>1.8086623547513456</v>
      </c>
    </row>
    <row r="1632" spans="1:14" x14ac:dyDescent="0.45">
      <c r="A1632" s="12">
        <v>45345</v>
      </c>
      <c r="B1632" s="2" t="s">
        <v>15</v>
      </c>
      <c r="C1632" s="2" t="s">
        <v>28</v>
      </c>
      <c r="D1632" s="2" t="s">
        <v>29</v>
      </c>
      <c r="E1632" s="2" t="s">
        <v>18</v>
      </c>
      <c r="F1632" s="2">
        <v>143723</v>
      </c>
      <c r="G1632" s="2">
        <v>4254</v>
      </c>
      <c r="H1632" s="2">
        <v>4849.5600000000004</v>
      </c>
      <c r="I1632" s="2">
        <v>281</v>
      </c>
      <c r="J1632" s="2">
        <v>41783.61</v>
      </c>
      <c r="K1632" s="4">
        <f t="shared" si="100"/>
        <v>2.9598602868016948E-2</v>
      </c>
      <c r="L1632" s="6">
        <f t="shared" si="101"/>
        <v>1.1400000000000001</v>
      </c>
      <c r="M1632" s="6">
        <f t="shared" si="102"/>
        <v>17.258220640569398</v>
      </c>
      <c r="N1632" s="8">
        <f t="shared" si="103"/>
        <v>8.6159589735976034</v>
      </c>
    </row>
    <row r="1633" spans="1:14" x14ac:dyDescent="0.45">
      <c r="A1633" s="12">
        <v>45580</v>
      </c>
      <c r="B1633" s="2" t="s">
        <v>35</v>
      </c>
      <c r="C1633" s="2" t="s">
        <v>16</v>
      </c>
      <c r="D1633" s="2" t="s">
        <v>29</v>
      </c>
      <c r="E1633" s="2" t="s">
        <v>22</v>
      </c>
      <c r="F1633" s="2">
        <v>30392</v>
      </c>
      <c r="G1633" s="2">
        <v>1325</v>
      </c>
      <c r="H1633" s="2">
        <v>1735.75</v>
      </c>
      <c r="I1633" s="2">
        <v>101</v>
      </c>
      <c r="J1633" s="2">
        <v>3539.63</v>
      </c>
      <c r="K1633" s="4">
        <f t="shared" si="100"/>
        <v>4.3596999210318503E-2</v>
      </c>
      <c r="L1633" s="6">
        <f t="shared" si="101"/>
        <v>1.31</v>
      </c>
      <c r="M1633" s="6">
        <f t="shared" si="102"/>
        <v>17.185643564356436</v>
      </c>
      <c r="N1633" s="8">
        <f t="shared" si="103"/>
        <v>2.0392510442171972</v>
      </c>
    </row>
    <row r="1634" spans="1:14" x14ac:dyDescent="0.45">
      <c r="A1634" s="12">
        <v>45422</v>
      </c>
      <c r="B1634" s="2" t="s">
        <v>15</v>
      </c>
      <c r="C1634" s="2" t="s">
        <v>24</v>
      </c>
      <c r="D1634" s="2" t="s">
        <v>41</v>
      </c>
      <c r="E1634" s="2" t="s">
        <v>51</v>
      </c>
      <c r="F1634" s="2">
        <v>94412</v>
      </c>
      <c r="G1634" s="2">
        <v>4786</v>
      </c>
      <c r="H1634" s="2">
        <v>6173.94</v>
      </c>
      <c r="I1634" s="2">
        <v>343</v>
      </c>
      <c r="J1634" s="2">
        <v>93767.6</v>
      </c>
      <c r="K1634" s="4">
        <f t="shared" si="100"/>
        <v>5.0692708553997372E-2</v>
      </c>
      <c r="L1634" s="6">
        <f t="shared" si="101"/>
        <v>1.2899999999999998</v>
      </c>
      <c r="M1634" s="6">
        <f t="shared" si="102"/>
        <v>17.999825072886296</v>
      </c>
      <c r="N1634" s="8">
        <f t="shared" si="103"/>
        <v>15.187643546908459</v>
      </c>
    </row>
    <row r="1635" spans="1:14" x14ac:dyDescent="0.45">
      <c r="A1635" s="12">
        <v>45433</v>
      </c>
      <c r="B1635" s="2" t="s">
        <v>15</v>
      </c>
      <c r="C1635" s="2" t="s">
        <v>24</v>
      </c>
      <c r="D1635" s="2" t="s">
        <v>21</v>
      </c>
      <c r="E1635" s="2" t="s">
        <v>22</v>
      </c>
      <c r="F1635" s="2">
        <v>56305</v>
      </c>
      <c r="G1635" s="2">
        <v>1644</v>
      </c>
      <c r="H1635" s="2">
        <v>2712.6</v>
      </c>
      <c r="I1635" s="2">
        <v>126</v>
      </c>
      <c r="J1635" s="2">
        <v>24269.48</v>
      </c>
      <c r="K1635" s="4">
        <f t="shared" si="100"/>
        <v>2.9198117396323595E-2</v>
      </c>
      <c r="L1635" s="6">
        <f t="shared" si="101"/>
        <v>1.65</v>
      </c>
      <c r="M1635" s="6">
        <f t="shared" si="102"/>
        <v>21.528571428571428</v>
      </c>
      <c r="N1635" s="8">
        <f t="shared" si="103"/>
        <v>8.9469438914694397</v>
      </c>
    </row>
    <row r="1636" spans="1:14" x14ac:dyDescent="0.45">
      <c r="A1636" s="12">
        <v>45564</v>
      </c>
      <c r="B1636" s="2" t="s">
        <v>20</v>
      </c>
      <c r="C1636" s="2" t="s">
        <v>38</v>
      </c>
      <c r="D1636" s="2" t="s">
        <v>29</v>
      </c>
      <c r="E1636" s="2" t="s">
        <v>30</v>
      </c>
      <c r="F1636" s="2">
        <v>142456</v>
      </c>
      <c r="G1636" s="2">
        <v>9943</v>
      </c>
      <c r="H1636" s="2">
        <v>9048.1299999999992</v>
      </c>
      <c r="I1636" s="2">
        <v>266</v>
      </c>
      <c r="J1636" s="2">
        <v>72736.17</v>
      </c>
      <c r="K1636" s="4">
        <f t="shared" si="100"/>
        <v>6.979698994777335E-2</v>
      </c>
      <c r="L1636" s="6">
        <f t="shared" si="101"/>
        <v>0.90999999999999992</v>
      </c>
      <c r="M1636" s="6">
        <f t="shared" si="102"/>
        <v>34.015526315789472</v>
      </c>
      <c r="N1636" s="8">
        <f t="shared" si="103"/>
        <v>8.0388069136937688</v>
      </c>
    </row>
    <row r="1637" spans="1:14" x14ac:dyDescent="0.45">
      <c r="A1637" s="12">
        <v>45652</v>
      </c>
      <c r="B1637" s="2" t="s">
        <v>35</v>
      </c>
      <c r="C1637" s="2" t="s">
        <v>38</v>
      </c>
      <c r="D1637" s="2" t="s">
        <v>21</v>
      </c>
      <c r="E1637" s="2" t="s">
        <v>54</v>
      </c>
      <c r="F1637" s="2">
        <v>27169</v>
      </c>
      <c r="G1637" s="2">
        <v>546</v>
      </c>
      <c r="H1637" s="2">
        <v>589.67999999999995</v>
      </c>
      <c r="I1637" s="2">
        <v>15</v>
      </c>
      <c r="J1637" s="2">
        <v>1578.78</v>
      </c>
      <c r="K1637" s="4">
        <f t="shared" si="100"/>
        <v>2.0096433435165078E-2</v>
      </c>
      <c r="L1637" s="6">
        <f t="shared" si="101"/>
        <v>1.0799999999999998</v>
      </c>
      <c r="M1637" s="6">
        <f t="shared" si="102"/>
        <v>39.311999999999998</v>
      </c>
      <c r="N1637" s="8">
        <f t="shared" si="103"/>
        <v>2.6773504273504276</v>
      </c>
    </row>
    <row r="1638" spans="1:14" x14ac:dyDescent="0.45">
      <c r="A1638" s="12">
        <v>45550</v>
      </c>
      <c r="B1638" s="2" t="s">
        <v>15</v>
      </c>
      <c r="C1638" s="2" t="s">
        <v>24</v>
      </c>
      <c r="D1638" s="2" t="s">
        <v>29</v>
      </c>
      <c r="E1638" s="2" t="s">
        <v>30</v>
      </c>
      <c r="F1638" s="2">
        <v>127179</v>
      </c>
      <c r="G1638" s="2">
        <v>5125</v>
      </c>
      <c r="H1638" s="2">
        <v>11377.5</v>
      </c>
      <c r="I1638" s="2">
        <v>87</v>
      </c>
      <c r="J1638" s="2">
        <v>5905.23</v>
      </c>
      <c r="K1638" s="4">
        <f t="shared" si="100"/>
        <v>4.0297533397809386E-2</v>
      </c>
      <c r="L1638" s="6">
        <f t="shared" si="101"/>
        <v>2.2200000000000002</v>
      </c>
      <c r="M1638" s="6">
        <f t="shared" si="102"/>
        <v>130.77586206896552</v>
      </c>
      <c r="N1638" s="8">
        <f t="shared" si="103"/>
        <v>0.51902702702702697</v>
      </c>
    </row>
    <row r="1639" spans="1:14" x14ac:dyDescent="0.45">
      <c r="A1639" s="12">
        <v>45491</v>
      </c>
      <c r="B1639" s="2" t="s">
        <v>15</v>
      </c>
      <c r="C1639" s="2" t="s">
        <v>28</v>
      </c>
      <c r="D1639" s="2" t="s">
        <v>17</v>
      </c>
      <c r="E1639" s="2" t="s">
        <v>26</v>
      </c>
      <c r="F1639" s="2">
        <v>20797</v>
      </c>
      <c r="G1639" s="2">
        <v>846</v>
      </c>
      <c r="H1639" s="2">
        <v>913.68</v>
      </c>
      <c r="I1639" s="2">
        <v>56</v>
      </c>
      <c r="J1639" s="2">
        <v>11660.97</v>
      </c>
      <c r="K1639" s="4">
        <f t="shared" si="100"/>
        <v>4.0678944078472855E-2</v>
      </c>
      <c r="L1639" s="6">
        <f t="shared" si="101"/>
        <v>1.0799999999999998</v>
      </c>
      <c r="M1639" s="6">
        <f t="shared" si="102"/>
        <v>16.315714285714286</v>
      </c>
      <c r="N1639" s="8">
        <f t="shared" si="103"/>
        <v>12.762641187286578</v>
      </c>
    </row>
    <row r="1640" spans="1:14" x14ac:dyDescent="0.45">
      <c r="A1640" s="12">
        <v>45517</v>
      </c>
      <c r="B1640" s="2" t="s">
        <v>35</v>
      </c>
      <c r="C1640" s="2" t="s">
        <v>28</v>
      </c>
      <c r="D1640" s="2" t="s">
        <v>41</v>
      </c>
      <c r="E1640" s="2" t="s">
        <v>26</v>
      </c>
      <c r="F1640" s="2">
        <v>188201</v>
      </c>
      <c r="G1640" s="2">
        <v>5627</v>
      </c>
      <c r="H1640" s="2">
        <v>10578.76</v>
      </c>
      <c r="I1640" s="2">
        <v>77</v>
      </c>
      <c r="J1640" s="2">
        <v>14242.93</v>
      </c>
      <c r="K1640" s="4">
        <f t="shared" si="100"/>
        <v>2.9898884703056839E-2</v>
      </c>
      <c r="L1640" s="6">
        <f t="shared" si="101"/>
        <v>1.8800000000000001</v>
      </c>
      <c r="M1640" s="6">
        <f t="shared" si="102"/>
        <v>137.38649350649351</v>
      </c>
      <c r="N1640" s="8">
        <f t="shared" si="103"/>
        <v>1.3463704630788487</v>
      </c>
    </row>
    <row r="1641" spans="1:14" x14ac:dyDescent="0.45">
      <c r="A1641" s="12">
        <v>45446</v>
      </c>
      <c r="B1641" s="2" t="s">
        <v>20</v>
      </c>
      <c r="C1641" s="2" t="s">
        <v>28</v>
      </c>
      <c r="D1641" s="2" t="s">
        <v>41</v>
      </c>
      <c r="E1641" s="2" t="s">
        <v>33</v>
      </c>
      <c r="F1641" s="2">
        <v>77726</v>
      </c>
      <c r="G1641" s="2">
        <v>2557</v>
      </c>
      <c r="H1641" s="2">
        <v>1252.93</v>
      </c>
      <c r="I1641" s="2">
        <v>37</v>
      </c>
      <c r="J1641" s="2">
        <v>2932.31</v>
      </c>
      <c r="K1641" s="4">
        <f t="shared" si="100"/>
        <v>3.2897614697784523E-2</v>
      </c>
      <c r="L1641" s="6">
        <f t="shared" si="101"/>
        <v>0.49000000000000005</v>
      </c>
      <c r="M1641" s="6">
        <f t="shared" si="102"/>
        <v>33.862972972972976</v>
      </c>
      <c r="N1641" s="8">
        <f t="shared" si="103"/>
        <v>2.3403621910242389</v>
      </c>
    </row>
    <row r="1642" spans="1:14" x14ac:dyDescent="0.45">
      <c r="A1642" s="12">
        <v>45361</v>
      </c>
      <c r="B1642" s="2" t="s">
        <v>35</v>
      </c>
      <c r="C1642" s="2" t="s">
        <v>16</v>
      </c>
      <c r="D1642" s="2" t="s">
        <v>21</v>
      </c>
      <c r="E1642" s="2" t="s">
        <v>54</v>
      </c>
      <c r="F1642" s="2">
        <v>23123</v>
      </c>
      <c r="G1642" s="2">
        <v>286</v>
      </c>
      <c r="H1642" s="2">
        <v>346.06</v>
      </c>
      <c r="I1642" s="2">
        <v>3</v>
      </c>
      <c r="J1642" s="2">
        <v>585.70000000000005</v>
      </c>
      <c r="K1642" s="4">
        <f t="shared" si="100"/>
        <v>1.2368637287549193E-2</v>
      </c>
      <c r="L1642" s="6">
        <f t="shared" si="101"/>
        <v>1.21</v>
      </c>
      <c r="M1642" s="6">
        <f t="shared" si="102"/>
        <v>115.35333333333334</v>
      </c>
      <c r="N1642" s="8">
        <f t="shared" si="103"/>
        <v>1.6924810726463619</v>
      </c>
    </row>
    <row r="1643" spans="1:14" x14ac:dyDescent="0.45">
      <c r="A1643" s="12">
        <v>45388</v>
      </c>
      <c r="B1643" s="2" t="s">
        <v>15</v>
      </c>
      <c r="C1643" s="2" t="s">
        <v>16</v>
      </c>
      <c r="D1643" s="2" t="s">
        <v>29</v>
      </c>
      <c r="E1643" s="2" t="s">
        <v>33</v>
      </c>
      <c r="F1643" s="2">
        <v>86689</v>
      </c>
      <c r="G1643" s="2">
        <v>3727</v>
      </c>
      <c r="H1643" s="2">
        <v>4323.32</v>
      </c>
      <c r="I1643" s="2">
        <v>276</v>
      </c>
      <c r="J1643" s="2">
        <v>76876.240000000005</v>
      </c>
      <c r="K1643" s="4">
        <f t="shared" si="100"/>
        <v>4.2992767248439825E-2</v>
      </c>
      <c r="L1643" s="6">
        <f t="shared" si="101"/>
        <v>1.1599999999999999</v>
      </c>
      <c r="M1643" s="6">
        <f t="shared" si="102"/>
        <v>15.664202898550723</v>
      </c>
      <c r="N1643" s="8">
        <f t="shared" si="103"/>
        <v>17.781760313832891</v>
      </c>
    </row>
    <row r="1644" spans="1:14" x14ac:dyDescent="0.45">
      <c r="A1644" s="12">
        <v>45429</v>
      </c>
      <c r="B1644" s="2" t="s">
        <v>15</v>
      </c>
      <c r="C1644" s="2" t="s">
        <v>16</v>
      </c>
      <c r="D1644" s="2" t="s">
        <v>25</v>
      </c>
      <c r="E1644" s="2" t="s">
        <v>26</v>
      </c>
      <c r="F1644" s="2">
        <v>159251</v>
      </c>
      <c r="G1644" s="2">
        <v>9172</v>
      </c>
      <c r="H1644" s="2">
        <v>26048.48</v>
      </c>
      <c r="I1644" s="2">
        <v>407</v>
      </c>
      <c r="J1644" s="2">
        <v>30602.6</v>
      </c>
      <c r="K1644" s="4">
        <f t="shared" si="100"/>
        <v>5.7594614790487969E-2</v>
      </c>
      <c r="L1644" s="6">
        <f t="shared" si="101"/>
        <v>2.84</v>
      </c>
      <c r="M1644" s="6">
        <f t="shared" si="102"/>
        <v>64.001179361179354</v>
      </c>
      <c r="N1644" s="8">
        <f t="shared" si="103"/>
        <v>1.1748324662321947</v>
      </c>
    </row>
    <row r="1645" spans="1:14" x14ac:dyDescent="0.45">
      <c r="A1645" s="12">
        <v>45304</v>
      </c>
      <c r="B1645" s="2" t="s">
        <v>35</v>
      </c>
      <c r="C1645" s="2" t="s">
        <v>38</v>
      </c>
      <c r="D1645" s="2" t="s">
        <v>41</v>
      </c>
      <c r="E1645" s="2" t="s">
        <v>22</v>
      </c>
      <c r="F1645" s="2">
        <v>70180</v>
      </c>
      <c r="G1645" s="2">
        <v>736</v>
      </c>
      <c r="H1645" s="2">
        <v>1030.4000000000001</v>
      </c>
      <c r="I1645" s="2">
        <v>45</v>
      </c>
      <c r="J1645" s="2">
        <v>2168.7199999999998</v>
      </c>
      <c r="K1645" s="4">
        <f t="shared" si="100"/>
        <v>1.0487318324308921E-2</v>
      </c>
      <c r="L1645" s="6">
        <f t="shared" si="101"/>
        <v>1.4000000000000001</v>
      </c>
      <c r="M1645" s="6">
        <f t="shared" si="102"/>
        <v>22.89777777777778</v>
      </c>
      <c r="N1645" s="8">
        <f t="shared" si="103"/>
        <v>2.10473602484472</v>
      </c>
    </row>
    <row r="1646" spans="1:14" x14ac:dyDescent="0.45">
      <c r="A1646" s="12">
        <v>45551</v>
      </c>
      <c r="B1646" s="2" t="s">
        <v>15</v>
      </c>
      <c r="C1646" s="2" t="s">
        <v>24</v>
      </c>
      <c r="D1646" s="2" t="s">
        <v>17</v>
      </c>
      <c r="E1646" s="2" t="s">
        <v>33</v>
      </c>
      <c r="F1646" s="2">
        <v>83466</v>
      </c>
      <c r="G1646" s="2">
        <v>4089</v>
      </c>
      <c r="H1646" s="2">
        <v>9241.14</v>
      </c>
      <c r="I1646" s="2">
        <v>108</v>
      </c>
      <c r="J1646" s="2">
        <v>12521.2</v>
      </c>
      <c r="K1646" s="4">
        <f t="shared" si="100"/>
        <v>4.8990007907411398E-2</v>
      </c>
      <c r="L1646" s="6">
        <f t="shared" si="101"/>
        <v>2.2599999999999998</v>
      </c>
      <c r="M1646" s="6">
        <f t="shared" si="102"/>
        <v>85.566111111111113</v>
      </c>
      <c r="N1646" s="8">
        <f t="shared" si="103"/>
        <v>1.3549410570557314</v>
      </c>
    </row>
    <row r="1647" spans="1:14" x14ac:dyDescent="0.45">
      <c r="A1647" s="12">
        <v>45609</v>
      </c>
      <c r="B1647" s="2" t="s">
        <v>35</v>
      </c>
      <c r="C1647" s="2" t="s">
        <v>38</v>
      </c>
      <c r="D1647" s="2" t="s">
        <v>29</v>
      </c>
      <c r="E1647" s="2" t="s">
        <v>51</v>
      </c>
      <c r="F1647" s="2">
        <v>137602</v>
      </c>
      <c r="G1647" s="2">
        <v>2641</v>
      </c>
      <c r="H1647" s="2">
        <v>1558.19</v>
      </c>
      <c r="I1647" s="2">
        <v>179</v>
      </c>
      <c r="J1647" s="2">
        <v>52473.54</v>
      </c>
      <c r="K1647" s="4">
        <f t="shared" si="100"/>
        <v>1.9193034984956614E-2</v>
      </c>
      <c r="L1647" s="6">
        <f t="shared" si="101"/>
        <v>0.59</v>
      </c>
      <c r="M1647" s="6">
        <f t="shared" si="102"/>
        <v>8.7049720670391064</v>
      </c>
      <c r="N1647" s="8">
        <f t="shared" si="103"/>
        <v>33.675957360783983</v>
      </c>
    </row>
    <row r="1648" spans="1:14" x14ac:dyDescent="0.45">
      <c r="A1648" s="12">
        <v>45538</v>
      </c>
      <c r="B1648" s="2" t="s">
        <v>20</v>
      </c>
      <c r="C1648" s="2" t="s">
        <v>24</v>
      </c>
      <c r="D1648" s="2" t="s">
        <v>29</v>
      </c>
      <c r="E1648" s="2" t="s">
        <v>18</v>
      </c>
      <c r="F1648" s="2">
        <v>64222</v>
      </c>
      <c r="G1648" s="2">
        <v>2067</v>
      </c>
      <c r="H1648" s="2">
        <v>3906.63</v>
      </c>
      <c r="I1648" s="2">
        <v>68</v>
      </c>
      <c r="J1648" s="2">
        <v>14851.97</v>
      </c>
      <c r="K1648" s="4">
        <f t="shared" si="100"/>
        <v>3.2185232474852853E-2</v>
      </c>
      <c r="L1648" s="6">
        <f t="shared" si="101"/>
        <v>1.8900000000000001</v>
      </c>
      <c r="M1648" s="6">
        <f t="shared" si="102"/>
        <v>57.450441176470591</v>
      </c>
      <c r="N1648" s="8">
        <f t="shared" si="103"/>
        <v>3.8017344872690781</v>
      </c>
    </row>
    <row r="1649" spans="1:14" x14ac:dyDescent="0.45">
      <c r="A1649" s="12">
        <v>45481</v>
      </c>
      <c r="B1649" s="2" t="s">
        <v>20</v>
      </c>
      <c r="C1649" s="2" t="s">
        <v>28</v>
      </c>
      <c r="D1649" s="2" t="s">
        <v>25</v>
      </c>
      <c r="E1649" s="2" t="s">
        <v>51</v>
      </c>
      <c r="F1649" s="2">
        <v>116739</v>
      </c>
      <c r="G1649" s="2">
        <v>4319</v>
      </c>
      <c r="H1649" s="2">
        <v>1468.46</v>
      </c>
      <c r="I1649" s="2">
        <v>306</v>
      </c>
      <c r="J1649" s="2">
        <v>46873.98</v>
      </c>
      <c r="K1649" s="4">
        <f t="shared" si="100"/>
        <v>3.6997061821670563E-2</v>
      </c>
      <c r="L1649" s="6">
        <f t="shared" si="101"/>
        <v>0.34</v>
      </c>
      <c r="M1649" s="6">
        <f t="shared" si="102"/>
        <v>4.7988888888888894</v>
      </c>
      <c r="N1649" s="8">
        <f t="shared" si="103"/>
        <v>31.920501750132793</v>
      </c>
    </row>
    <row r="1650" spans="1:14" x14ac:dyDescent="0.45">
      <c r="A1650" s="12">
        <v>45656</v>
      </c>
      <c r="B1650" s="2" t="s">
        <v>35</v>
      </c>
      <c r="C1650" s="2" t="s">
        <v>28</v>
      </c>
      <c r="D1650" s="2" t="s">
        <v>25</v>
      </c>
      <c r="E1650" s="2" t="s">
        <v>26</v>
      </c>
      <c r="F1650" s="2">
        <v>50869</v>
      </c>
      <c r="G1650" s="2">
        <v>890</v>
      </c>
      <c r="H1650" s="2">
        <v>961.2</v>
      </c>
      <c r="I1650" s="2">
        <v>61</v>
      </c>
      <c r="J1650" s="2">
        <v>16803.54</v>
      </c>
      <c r="K1650" s="4">
        <f t="shared" si="100"/>
        <v>1.7495920894847548E-2</v>
      </c>
      <c r="L1650" s="6">
        <f t="shared" si="101"/>
        <v>1.08</v>
      </c>
      <c r="M1650" s="6">
        <f t="shared" si="102"/>
        <v>15.757377049180329</v>
      </c>
      <c r="N1650" s="8">
        <f t="shared" si="103"/>
        <v>17.48183520599251</v>
      </c>
    </row>
    <row r="1651" spans="1:14" x14ac:dyDescent="0.45">
      <c r="A1651" s="12">
        <v>45628</v>
      </c>
      <c r="B1651" s="2" t="s">
        <v>35</v>
      </c>
      <c r="C1651" s="2" t="s">
        <v>16</v>
      </c>
      <c r="D1651" s="2" t="s">
        <v>21</v>
      </c>
      <c r="E1651" s="2" t="s">
        <v>30</v>
      </c>
      <c r="F1651" s="2">
        <v>127155</v>
      </c>
      <c r="G1651" s="2">
        <v>3089</v>
      </c>
      <c r="H1651" s="2">
        <v>3861.25</v>
      </c>
      <c r="I1651" s="2">
        <v>95</v>
      </c>
      <c r="J1651" s="2">
        <v>23894.639999999999</v>
      </c>
      <c r="K1651" s="4">
        <f t="shared" si="100"/>
        <v>2.4293185482285401E-2</v>
      </c>
      <c r="L1651" s="6">
        <f t="shared" si="101"/>
        <v>1.25</v>
      </c>
      <c r="M1651" s="6">
        <f t="shared" si="102"/>
        <v>40.64473684210526</v>
      </c>
      <c r="N1651" s="8">
        <f t="shared" si="103"/>
        <v>6.1883172547750078</v>
      </c>
    </row>
    <row r="1652" spans="1:14" x14ac:dyDescent="0.45">
      <c r="A1652" s="12">
        <v>45377</v>
      </c>
      <c r="B1652" s="2" t="s">
        <v>15</v>
      </c>
      <c r="C1652" s="2" t="s">
        <v>24</v>
      </c>
      <c r="D1652" s="2" t="s">
        <v>21</v>
      </c>
      <c r="E1652" s="2" t="s">
        <v>30</v>
      </c>
      <c r="F1652" s="2">
        <v>162883</v>
      </c>
      <c r="G1652" s="2">
        <v>8974</v>
      </c>
      <c r="H1652" s="2">
        <v>21358.12</v>
      </c>
      <c r="I1652" s="2">
        <v>292</v>
      </c>
      <c r="J1652" s="2">
        <v>80812.08</v>
      </c>
      <c r="K1652" s="4">
        <f t="shared" si="100"/>
        <v>5.5094761270359706E-2</v>
      </c>
      <c r="L1652" s="6">
        <f t="shared" si="101"/>
        <v>2.38</v>
      </c>
      <c r="M1652" s="6">
        <f t="shared" si="102"/>
        <v>73.144246575342464</v>
      </c>
      <c r="N1652" s="8">
        <f t="shared" si="103"/>
        <v>3.7836700983045328</v>
      </c>
    </row>
    <row r="1653" spans="1:14" x14ac:dyDescent="0.45">
      <c r="A1653" s="12">
        <v>45308</v>
      </c>
      <c r="B1653" s="2" t="s">
        <v>20</v>
      </c>
      <c r="C1653" s="2" t="s">
        <v>16</v>
      </c>
      <c r="D1653" s="2" t="s">
        <v>29</v>
      </c>
      <c r="E1653" s="2" t="s">
        <v>33</v>
      </c>
      <c r="F1653" s="2">
        <v>115716</v>
      </c>
      <c r="G1653" s="2">
        <v>7394</v>
      </c>
      <c r="H1653" s="2">
        <v>8577.0400000000009</v>
      </c>
      <c r="I1653" s="2">
        <v>242</v>
      </c>
      <c r="J1653" s="2">
        <v>49142.559999999998</v>
      </c>
      <c r="K1653" s="4">
        <f t="shared" si="100"/>
        <v>6.3897818797746211E-2</v>
      </c>
      <c r="L1653" s="6">
        <f t="shared" si="101"/>
        <v>1.1600000000000001</v>
      </c>
      <c r="M1653" s="6">
        <f t="shared" si="102"/>
        <v>35.442314049586777</v>
      </c>
      <c r="N1653" s="8">
        <f t="shared" si="103"/>
        <v>5.7295477227575002</v>
      </c>
    </row>
    <row r="1654" spans="1:14" x14ac:dyDescent="0.45">
      <c r="A1654" s="12">
        <v>45457</v>
      </c>
      <c r="B1654" s="2" t="s">
        <v>15</v>
      </c>
      <c r="C1654" s="2" t="s">
        <v>24</v>
      </c>
      <c r="D1654" s="2" t="s">
        <v>21</v>
      </c>
      <c r="E1654" s="2" t="s">
        <v>26</v>
      </c>
      <c r="F1654" s="2">
        <v>40306</v>
      </c>
      <c r="G1654" s="2">
        <v>1176</v>
      </c>
      <c r="H1654" s="2">
        <v>999.6</v>
      </c>
      <c r="I1654" s="2">
        <v>41</v>
      </c>
      <c r="J1654" s="2">
        <v>11838.48</v>
      </c>
      <c r="K1654" s="4">
        <f t="shared" si="100"/>
        <v>2.9176797499131643E-2</v>
      </c>
      <c r="L1654" s="6">
        <f t="shared" si="101"/>
        <v>0.85</v>
      </c>
      <c r="M1654" s="6">
        <f t="shared" si="102"/>
        <v>24.380487804878051</v>
      </c>
      <c r="N1654" s="8">
        <f t="shared" si="103"/>
        <v>11.843217286914765</v>
      </c>
    </row>
    <row r="1655" spans="1:14" x14ac:dyDescent="0.45">
      <c r="A1655" s="12">
        <v>45351</v>
      </c>
      <c r="B1655" s="2" t="s">
        <v>20</v>
      </c>
      <c r="C1655" s="2" t="s">
        <v>16</v>
      </c>
      <c r="D1655" s="2" t="s">
        <v>17</v>
      </c>
      <c r="E1655" s="2" t="s">
        <v>33</v>
      </c>
      <c r="F1655" s="2">
        <v>138025</v>
      </c>
      <c r="G1655" s="2">
        <v>9192</v>
      </c>
      <c r="H1655" s="2">
        <v>5882.88</v>
      </c>
      <c r="I1655" s="2">
        <v>420</v>
      </c>
      <c r="J1655" s="2">
        <v>38810.35</v>
      </c>
      <c r="K1655" s="4">
        <f t="shared" si="100"/>
        <v>6.6596631045100524E-2</v>
      </c>
      <c r="L1655" s="6">
        <f t="shared" si="101"/>
        <v>0.64</v>
      </c>
      <c r="M1655" s="6">
        <f t="shared" si="102"/>
        <v>14.006857142857143</v>
      </c>
      <c r="N1655" s="8">
        <f t="shared" si="103"/>
        <v>6.5971683937119234</v>
      </c>
    </row>
    <row r="1656" spans="1:14" x14ac:dyDescent="0.45">
      <c r="A1656" s="12">
        <v>45327</v>
      </c>
      <c r="B1656" s="2" t="s">
        <v>35</v>
      </c>
      <c r="C1656" s="2" t="s">
        <v>24</v>
      </c>
      <c r="D1656" s="2" t="s">
        <v>29</v>
      </c>
      <c r="E1656" s="2" t="s">
        <v>51</v>
      </c>
      <c r="F1656" s="2">
        <v>145510</v>
      </c>
      <c r="G1656" s="2">
        <v>5805</v>
      </c>
      <c r="H1656" s="2">
        <v>6037.2</v>
      </c>
      <c r="I1656" s="2">
        <v>166</v>
      </c>
      <c r="J1656" s="2">
        <v>30713.7</v>
      </c>
      <c r="K1656" s="4">
        <f t="shared" si="100"/>
        <v>3.9894165349460518E-2</v>
      </c>
      <c r="L1656" s="6">
        <f t="shared" si="101"/>
        <v>1.04</v>
      </c>
      <c r="M1656" s="6">
        <f t="shared" si="102"/>
        <v>36.368674698795182</v>
      </c>
      <c r="N1656" s="8">
        <f t="shared" si="103"/>
        <v>5.0874080699662096</v>
      </c>
    </row>
    <row r="1657" spans="1:14" x14ac:dyDescent="0.45">
      <c r="A1657" s="12">
        <v>45542</v>
      </c>
      <c r="B1657" s="2" t="s">
        <v>20</v>
      </c>
      <c r="C1657" s="2" t="s">
        <v>38</v>
      </c>
      <c r="D1657" s="2" t="s">
        <v>17</v>
      </c>
      <c r="E1657" s="2" t="s">
        <v>26</v>
      </c>
      <c r="F1657" s="2">
        <v>168297</v>
      </c>
      <c r="G1657" s="2">
        <v>10535</v>
      </c>
      <c r="H1657" s="2">
        <v>14749</v>
      </c>
      <c r="I1657" s="2">
        <v>561</v>
      </c>
      <c r="J1657" s="2">
        <v>30094.65</v>
      </c>
      <c r="K1657" s="4">
        <f t="shared" si="100"/>
        <v>6.2597669596011818E-2</v>
      </c>
      <c r="L1657" s="6">
        <f t="shared" si="101"/>
        <v>1.4</v>
      </c>
      <c r="M1657" s="6">
        <f t="shared" si="102"/>
        <v>26.29055258467023</v>
      </c>
      <c r="N1657" s="8">
        <f t="shared" si="103"/>
        <v>2.0404535900739034</v>
      </c>
    </row>
    <row r="1658" spans="1:14" x14ac:dyDescent="0.45">
      <c r="A1658" s="12">
        <v>45640</v>
      </c>
      <c r="B1658" s="2" t="s">
        <v>35</v>
      </c>
      <c r="C1658" s="2" t="s">
        <v>16</v>
      </c>
      <c r="D1658" s="2" t="s">
        <v>41</v>
      </c>
      <c r="E1658" s="2" t="s">
        <v>54</v>
      </c>
      <c r="F1658" s="2">
        <v>66157</v>
      </c>
      <c r="G1658" s="2">
        <v>1687</v>
      </c>
      <c r="H1658" s="2">
        <v>2193.1</v>
      </c>
      <c r="I1658" s="2">
        <v>41</v>
      </c>
      <c r="J1658" s="2">
        <v>5082.9399999999996</v>
      </c>
      <c r="K1658" s="4">
        <f t="shared" si="100"/>
        <v>2.5499947095545445E-2</v>
      </c>
      <c r="L1658" s="6">
        <f t="shared" si="101"/>
        <v>1.3</v>
      </c>
      <c r="M1658" s="6">
        <f t="shared" si="102"/>
        <v>53.490243902439019</v>
      </c>
      <c r="N1658" s="8">
        <f t="shared" si="103"/>
        <v>2.3176964114723448</v>
      </c>
    </row>
    <row r="1659" spans="1:14" x14ac:dyDescent="0.45">
      <c r="A1659" s="12">
        <v>45377</v>
      </c>
      <c r="B1659" s="2" t="s">
        <v>35</v>
      </c>
      <c r="C1659" s="2" t="s">
        <v>28</v>
      </c>
      <c r="D1659" s="2" t="s">
        <v>17</v>
      </c>
      <c r="E1659" s="2" t="s">
        <v>51</v>
      </c>
      <c r="F1659" s="2">
        <v>115003</v>
      </c>
      <c r="G1659" s="2">
        <v>2921</v>
      </c>
      <c r="H1659" s="2">
        <v>1168.4000000000001</v>
      </c>
      <c r="I1659" s="2">
        <v>36</v>
      </c>
      <c r="J1659" s="2">
        <v>4203.1899999999996</v>
      </c>
      <c r="K1659" s="4">
        <f t="shared" si="100"/>
        <v>2.539933740858934E-2</v>
      </c>
      <c r="L1659" s="6">
        <f t="shared" si="101"/>
        <v>0.4</v>
      </c>
      <c r="M1659" s="6">
        <f t="shared" si="102"/>
        <v>32.455555555555556</v>
      </c>
      <c r="N1659" s="8">
        <f t="shared" si="103"/>
        <v>3.5973895926052717</v>
      </c>
    </row>
    <row r="1660" spans="1:14" x14ac:dyDescent="0.45">
      <c r="A1660" s="12">
        <v>45310</v>
      </c>
      <c r="B1660" s="2" t="s">
        <v>35</v>
      </c>
      <c r="C1660" s="2" t="s">
        <v>28</v>
      </c>
      <c r="D1660" s="2" t="s">
        <v>25</v>
      </c>
      <c r="E1660" s="2" t="s">
        <v>26</v>
      </c>
      <c r="F1660" s="2">
        <v>173292</v>
      </c>
      <c r="G1660" s="2">
        <v>7330</v>
      </c>
      <c r="H1660" s="2">
        <v>13780.4</v>
      </c>
      <c r="I1660" s="2">
        <v>355</v>
      </c>
      <c r="J1660" s="2">
        <v>66981.679999999993</v>
      </c>
      <c r="K1660" s="4">
        <f t="shared" si="100"/>
        <v>4.2298548115319808E-2</v>
      </c>
      <c r="L1660" s="6">
        <f t="shared" si="101"/>
        <v>1.88</v>
      </c>
      <c r="M1660" s="6">
        <f t="shared" si="102"/>
        <v>38.818028169014084</v>
      </c>
      <c r="N1660" s="8">
        <f t="shared" si="103"/>
        <v>4.8606484572291073</v>
      </c>
    </row>
    <row r="1661" spans="1:14" x14ac:dyDescent="0.45">
      <c r="A1661" s="12">
        <v>45298</v>
      </c>
      <c r="B1661" s="2" t="s">
        <v>35</v>
      </c>
      <c r="C1661" s="2" t="s">
        <v>24</v>
      </c>
      <c r="D1661" s="2" t="s">
        <v>21</v>
      </c>
      <c r="E1661" s="2" t="s">
        <v>30</v>
      </c>
      <c r="F1661" s="2">
        <v>94440</v>
      </c>
      <c r="G1661" s="2">
        <v>2219</v>
      </c>
      <c r="H1661" s="2">
        <v>4282.67</v>
      </c>
      <c r="I1661" s="2">
        <v>156</v>
      </c>
      <c r="J1661" s="2">
        <v>39424.239999999998</v>
      </c>
      <c r="K1661" s="4">
        <f t="shared" si="100"/>
        <v>2.3496399830580262E-2</v>
      </c>
      <c r="L1661" s="6">
        <f t="shared" si="101"/>
        <v>1.93</v>
      </c>
      <c r="M1661" s="6">
        <f t="shared" si="102"/>
        <v>27.453012820512821</v>
      </c>
      <c r="N1661" s="8">
        <f t="shared" si="103"/>
        <v>9.2055283269549122</v>
      </c>
    </row>
    <row r="1662" spans="1:14" x14ac:dyDescent="0.45">
      <c r="A1662" s="12">
        <v>45467</v>
      </c>
      <c r="B1662" s="2" t="s">
        <v>35</v>
      </c>
      <c r="C1662" s="2" t="s">
        <v>24</v>
      </c>
      <c r="D1662" s="2" t="s">
        <v>25</v>
      </c>
      <c r="E1662" s="2" t="s">
        <v>51</v>
      </c>
      <c r="F1662" s="2">
        <v>93003</v>
      </c>
      <c r="G1662" s="2">
        <v>1283</v>
      </c>
      <c r="H1662" s="2">
        <v>2258.08</v>
      </c>
      <c r="I1662" s="2">
        <v>49</v>
      </c>
      <c r="J1662" s="2">
        <v>1614.11</v>
      </c>
      <c r="K1662" s="4">
        <f t="shared" si="100"/>
        <v>1.3795253916540327E-2</v>
      </c>
      <c r="L1662" s="6">
        <f t="shared" si="101"/>
        <v>1.76</v>
      </c>
      <c r="M1662" s="6">
        <f t="shared" si="102"/>
        <v>46.083265306122449</v>
      </c>
      <c r="N1662" s="8">
        <f t="shared" si="103"/>
        <v>0.71481524126691698</v>
      </c>
    </row>
    <row r="1663" spans="1:14" x14ac:dyDescent="0.45">
      <c r="A1663" s="12">
        <v>45324</v>
      </c>
      <c r="B1663" s="2" t="s">
        <v>20</v>
      </c>
      <c r="C1663" s="2" t="s">
        <v>24</v>
      </c>
      <c r="D1663" s="2" t="s">
        <v>41</v>
      </c>
      <c r="E1663" s="2" t="s">
        <v>26</v>
      </c>
      <c r="F1663" s="2">
        <v>112294</v>
      </c>
      <c r="G1663" s="2">
        <v>9039</v>
      </c>
      <c r="H1663" s="2">
        <v>8948.61</v>
      </c>
      <c r="I1663" s="2">
        <v>99</v>
      </c>
      <c r="J1663" s="2">
        <v>20435.34</v>
      </c>
      <c r="K1663" s="4">
        <f t="shared" si="100"/>
        <v>8.0494060234740941E-2</v>
      </c>
      <c r="L1663" s="6">
        <f t="shared" si="101"/>
        <v>0.9900000000000001</v>
      </c>
      <c r="M1663" s="6">
        <f t="shared" si="102"/>
        <v>90.39</v>
      </c>
      <c r="N1663" s="8">
        <f t="shared" si="103"/>
        <v>2.2836328770613536</v>
      </c>
    </row>
    <row r="1664" spans="1:14" x14ac:dyDescent="0.45">
      <c r="A1664" s="12">
        <v>45434</v>
      </c>
      <c r="B1664" s="2" t="s">
        <v>35</v>
      </c>
      <c r="C1664" s="2" t="s">
        <v>38</v>
      </c>
      <c r="D1664" s="2" t="s">
        <v>29</v>
      </c>
      <c r="E1664" s="2" t="s">
        <v>26</v>
      </c>
      <c r="F1664" s="2">
        <v>165321</v>
      </c>
      <c r="G1664" s="2">
        <v>4447</v>
      </c>
      <c r="H1664" s="2">
        <v>6937.32</v>
      </c>
      <c r="I1664" s="2">
        <v>301</v>
      </c>
      <c r="J1664" s="2">
        <v>23975.23</v>
      </c>
      <c r="K1664" s="4">
        <f t="shared" si="100"/>
        <v>2.6899184011710552E-2</v>
      </c>
      <c r="L1664" s="6">
        <f t="shared" si="101"/>
        <v>1.5599999999999998</v>
      </c>
      <c r="M1664" s="6">
        <f t="shared" si="102"/>
        <v>23.047574750830563</v>
      </c>
      <c r="N1664" s="8">
        <f t="shared" si="103"/>
        <v>3.4559786776449695</v>
      </c>
    </row>
    <row r="1665" spans="1:14" x14ac:dyDescent="0.45">
      <c r="A1665" s="12">
        <v>45607</v>
      </c>
      <c r="B1665" s="2" t="s">
        <v>20</v>
      </c>
      <c r="C1665" s="2" t="s">
        <v>24</v>
      </c>
      <c r="D1665" s="2" t="s">
        <v>25</v>
      </c>
      <c r="E1665" s="2" t="s">
        <v>26</v>
      </c>
      <c r="F1665" s="2">
        <v>137895</v>
      </c>
      <c r="G1665" s="2">
        <v>5901</v>
      </c>
      <c r="H1665" s="2">
        <v>7907.34</v>
      </c>
      <c r="I1665" s="2">
        <v>379</v>
      </c>
      <c r="J1665" s="2">
        <v>86835.97</v>
      </c>
      <c r="K1665" s="4">
        <f t="shared" si="100"/>
        <v>4.2793429783530949E-2</v>
      </c>
      <c r="L1665" s="6">
        <f t="shared" si="101"/>
        <v>1.34</v>
      </c>
      <c r="M1665" s="6">
        <f t="shared" si="102"/>
        <v>20.863693931398416</v>
      </c>
      <c r="N1665" s="8">
        <f t="shared" si="103"/>
        <v>10.98169169404629</v>
      </c>
    </row>
    <row r="1666" spans="1:14" x14ac:dyDescent="0.45">
      <c r="A1666" s="12">
        <v>45349</v>
      </c>
      <c r="B1666" s="2" t="s">
        <v>20</v>
      </c>
      <c r="C1666" s="2" t="s">
        <v>38</v>
      </c>
      <c r="D1666" s="2" t="s">
        <v>41</v>
      </c>
      <c r="E1666" s="2" t="s">
        <v>30</v>
      </c>
      <c r="F1666" s="2">
        <v>7978</v>
      </c>
      <c r="G1666" s="2">
        <v>557</v>
      </c>
      <c r="H1666" s="2">
        <v>339.77</v>
      </c>
      <c r="I1666" s="2">
        <v>34</v>
      </c>
      <c r="J1666" s="2">
        <v>6686.61</v>
      </c>
      <c r="K1666" s="4">
        <f t="shared" si="100"/>
        <v>6.9816996741037848E-2</v>
      </c>
      <c r="L1666" s="6">
        <f t="shared" si="101"/>
        <v>0.61</v>
      </c>
      <c r="M1666" s="6">
        <f t="shared" si="102"/>
        <v>9.9932352941176461</v>
      </c>
      <c r="N1666" s="8">
        <f t="shared" si="103"/>
        <v>19.67981281455102</v>
      </c>
    </row>
    <row r="1667" spans="1:14" x14ac:dyDescent="0.45">
      <c r="A1667" s="12">
        <v>45330</v>
      </c>
      <c r="B1667" s="2" t="s">
        <v>20</v>
      </c>
      <c r="C1667" s="2" t="s">
        <v>38</v>
      </c>
      <c r="D1667" s="2" t="s">
        <v>17</v>
      </c>
      <c r="E1667" s="2" t="s">
        <v>30</v>
      </c>
      <c r="F1667" s="2">
        <v>113994</v>
      </c>
      <c r="G1667" s="2">
        <v>4320</v>
      </c>
      <c r="H1667" s="2">
        <v>3326.4</v>
      </c>
      <c r="I1667" s="2">
        <v>142</v>
      </c>
      <c r="J1667" s="2">
        <v>25985.24</v>
      </c>
      <c r="K1667" s="4">
        <f t="shared" ref="K1667:K1730" si="104" xml:space="preserve"> G1667 / F1667</f>
        <v>3.7896731406916156E-2</v>
      </c>
      <c r="L1667" s="6">
        <f t="shared" ref="L1667:L1730" si="105">H1667/G1667</f>
        <v>0.77</v>
      </c>
      <c r="M1667" s="6">
        <f t="shared" ref="M1667:M1730" si="106">H1667/I1667</f>
        <v>23.425352112676055</v>
      </c>
      <c r="N1667" s="8">
        <f t="shared" ref="N1667:N1730" si="107">J1667/H1667</f>
        <v>7.8118205868205868</v>
      </c>
    </row>
    <row r="1668" spans="1:14" x14ac:dyDescent="0.45">
      <c r="A1668" s="12">
        <v>45338</v>
      </c>
      <c r="B1668" s="2" t="s">
        <v>15</v>
      </c>
      <c r="C1668" s="2" t="s">
        <v>16</v>
      </c>
      <c r="D1668" s="2" t="s">
        <v>21</v>
      </c>
      <c r="E1668" s="2" t="s">
        <v>18</v>
      </c>
      <c r="F1668" s="2">
        <v>90794</v>
      </c>
      <c r="G1668" s="2">
        <v>5638</v>
      </c>
      <c r="H1668" s="2">
        <v>17477.8</v>
      </c>
      <c r="I1668" s="2">
        <v>217</v>
      </c>
      <c r="J1668" s="2">
        <v>54642.18</v>
      </c>
      <c r="K1668" s="4">
        <f t="shared" si="104"/>
        <v>6.2096614313721168E-2</v>
      </c>
      <c r="L1668" s="6">
        <f t="shared" si="105"/>
        <v>3.1</v>
      </c>
      <c r="M1668" s="6">
        <f t="shared" si="106"/>
        <v>80.542857142857144</v>
      </c>
      <c r="N1668" s="8">
        <f t="shared" si="107"/>
        <v>3.1263763173854833</v>
      </c>
    </row>
    <row r="1669" spans="1:14" x14ac:dyDescent="0.45">
      <c r="A1669" s="12">
        <v>45646</v>
      </c>
      <c r="B1669" s="2" t="s">
        <v>35</v>
      </c>
      <c r="C1669" s="2" t="s">
        <v>38</v>
      </c>
      <c r="D1669" s="2" t="s">
        <v>25</v>
      </c>
      <c r="E1669" s="2" t="s">
        <v>54</v>
      </c>
      <c r="F1669" s="2">
        <v>118694</v>
      </c>
      <c r="G1669" s="2">
        <v>2338</v>
      </c>
      <c r="H1669" s="2">
        <v>5283.88</v>
      </c>
      <c r="I1669" s="2">
        <v>76</v>
      </c>
      <c r="J1669" s="2">
        <v>6774.6</v>
      </c>
      <c r="K1669" s="4">
        <f t="shared" si="104"/>
        <v>1.9697710078015736E-2</v>
      </c>
      <c r="L1669" s="6">
        <f t="shared" si="105"/>
        <v>2.2600000000000002</v>
      </c>
      <c r="M1669" s="6">
        <f t="shared" si="106"/>
        <v>69.52473684210527</v>
      </c>
      <c r="N1669" s="8">
        <f t="shared" si="107"/>
        <v>1.282126013459806</v>
      </c>
    </row>
    <row r="1670" spans="1:14" x14ac:dyDescent="0.45">
      <c r="A1670" s="12">
        <v>45490</v>
      </c>
      <c r="B1670" s="2" t="s">
        <v>15</v>
      </c>
      <c r="C1670" s="2" t="s">
        <v>28</v>
      </c>
      <c r="D1670" s="2" t="s">
        <v>25</v>
      </c>
      <c r="E1670" s="2" t="s">
        <v>18</v>
      </c>
      <c r="F1670" s="2">
        <v>99805</v>
      </c>
      <c r="G1670" s="2">
        <v>1936</v>
      </c>
      <c r="H1670" s="2">
        <v>2710.4</v>
      </c>
      <c r="I1670" s="2">
        <v>112</v>
      </c>
      <c r="J1670" s="2">
        <v>29346.97</v>
      </c>
      <c r="K1670" s="4">
        <f t="shared" si="104"/>
        <v>1.9397825760232454E-2</v>
      </c>
      <c r="L1670" s="6">
        <f t="shared" si="105"/>
        <v>1.4000000000000001</v>
      </c>
      <c r="M1670" s="6">
        <f t="shared" si="106"/>
        <v>24.2</v>
      </c>
      <c r="N1670" s="8">
        <f t="shared" si="107"/>
        <v>10.827542060212515</v>
      </c>
    </row>
    <row r="1671" spans="1:14" x14ac:dyDescent="0.45">
      <c r="A1671" s="12">
        <v>45321</v>
      </c>
      <c r="B1671" s="2" t="s">
        <v>15</v>
      </c>
      <c r="C1671" s="2" t="s">
        <v>16</v>
      </c>
      <c r="D1671" s="2" t="s">
        <v>17</v>
      </c>
      <c r="E1671" s="2" t="s">
        <v>33</v>
      </c>
      <c r="F1671" s="2">
        <v>187156</v>
      </c>
      <c r="G1671" s="2">
        <v>3986</v>
      </c>
      <c r="H1671" s="2">
        <v>9526.5400000000009</v>
      </c>
      <c r="I1671" s="2">
        <v>269</v>
      </c>
      <c r="J1671" s="2">
        <v>34393.230000000003</v>
      </c>
      <c r="K1671" s="4">
        <f t="shared" si="104"/>
        <v>2.1297740922011584E-2</v>
      </c>
      <c r="L1671" s="6">
        <f t="shared" si="105"/>
        <v>2.39</v>
      </c>
      <c r="M1671" s="6">
        <f t="shared" si="106"/>
        <v>35.414646840148706</v>
      </c>
      <c r="N1671" s="8">
        <f t="shared" si="107"/>
        <v>3.6102540901523534</v>
      </c>
    </row>
    <row r="1672" spans="1:14" x14ac:dyDescent="0.45">
      <c r="A1672" s="12">
        <v>45508</v>
      </c>
      <c r="B1672" s="2" t="s">
        <v>20</v>
      </c>
      <c r="C1672" s="2" t="s">
        <v>24</v>
      </c>
      <c r="D1672" s="2" t="s">
        <v>21</v>
      </c>
      <c r="E1672" s="2" t="s">
        <v>18</v>
      </c>
      <c r="F1672" s="2">
        <v>120152</v>
      </c>
      <c r="G1672" s="2">
        <v>4613</v>
      </c>
      <c r="H1672" s="2">
        <v>4474.6099999999997</v>
      </c>
      <c r="I1672" s="2">
        <v>108</v>
      </c>
      <c r="J1672" s="2">
        <v>27205.77</v>
      </c>
      <c r="K1672" s="4">
        <f t="shared" si="104"/>
        <v>3.8393035488381383E-2</v>
      </c>
      <c r="L1672" s="6">
        <f t="shared" si="105"/>
        <v>0.97</v>
      </c>
      <c r="M1672" s="6">
        <f t="shared" si="106"/>
        <v>41.431574074074071</v>
      </c>
      <c r="N1672" s="8">
        <f t="shared" si="107"/>
        <v>6.0800315558227425</v>
      </c>
    </row>
    <row r="1673" spans="1:14" x14ac:dyDescent="0.45">
      <c r="A1673" s="12">
        <v>45642</v>
      </c>
      <c r="B1673" s="2" t="s">
        <v>15</v>
      </c>
      <c r="C1673" s="2" t="s">
        <v>16</v>
      </c>
      <c r="D1673" s="2" t="s">
        <v>17</v>
      </c>
      <c r="E1673" s="2" t="s">
        <v>22</v>
      </c>
      <c r="F1673" s="2">
        <v>117458</v>
      </c>
      <c r="G1673" s="2">
        <v>6824</v>
      </c>
      <c r="H1673" s="2">
        <v>13716.24</v>
      </c>
      <c r="I1673" s="2">
        <v>251</v>
      </c>
      <c r="J1673" s="2">
        <v>12200.18</v>
      </c>
      <c r="K1673" s="4">
        <f t="shared" si="104"/>
        <v>5.8097362461475593E-2</v>
      </c>
      <c r="L1673" s="6">
        <f t="shared" si="105"/>
        <v>2.0099999999999998</v>
      </c>
      <c r="M1673" s="6">
        <f t="shared" si="106"/>
        <v>54.646374501992028</v>
      </c>
      <c r="N1673" s="8">
        <f t="shared" si="107"/>
        <v>0.88946970889981514</v>
      </c>
    </row>
    <row r="1674" spans="1:14" x14ac:dyDescent="0.45">
      <c r="A1674" s="12">
        <v>45465</v>
      </c>
      <c r="B1674" s="2" t="s">
        <v>35</v>
      </c>
      <c r="C1674" s="2" t="s">
        <v>24</v>
      </c>
      <c r="D1674" s="2" t="s">
        <v>21</v>
      </c>
      <c r="E1674" s="2" t="s">
        <v>54</v>
      </c>
      <c r="F1674" s="2">
        <v>35398</v>
      </c>
      <c r="G1674" s="2">
        <v>1044</v>
      </c>
      <c r="H1674" s="2">
        <v>469.8</v>
      </c>
      <c r="I1674" s="2">
        <v>20</v>
      </c>
      <c r="J1674" s="2">
        <v>1596.24</v>
      </c>
      <c r="K1674" s="4">
        <f t="shared" si="104"/>
        <v>2.9493191705746089E-2</v>
      </c>
      <c r="L1674" s="6">
        <f t="shared" si="105"/>
        <v>0.45</v>
      </c>
      <c r="M1674" s="6">
        <f t="shared" si="106"/>
        <v>23.490000000000002</v>
      </c>
      <c r="N1674" s="8">
        <f t="shared" si="107"/>
        <v>3.3977011494252873</v>
      </c>
    </row>
    <row r="1675" spans="1:14" x14ac:dyDescent="0.45">
      <c r="A1675" s="12">
        <v>45381</v>
      </c>
      <c r="B1675" s="2" t="s">
        <v>20</v>
      </c>
      <c r="C1675" s="2" t="s">
        <v>24</v>
      </c>
      <c r="D1675" s="2" t="s">
        <v>25</v>
      </c>
      <c r="E1675" s="2" t="s">
        <v>51</v>
      </c>
      <c r="F1675" s="2">
        <v>98386</v>
      </c>
      <c r="G1675" s="2">
        <v>7556</v>
      </c>
      <c r="H1675" s="2">
        <v>2644.6</v>
      </c>
      <c r="I1675" s="2">
        <v>385</v>
      </c>
      <c r="J1675" s="2">
        <v>43735.3</v>
      </c>
      <c r="K1675" s="4">
        <f t="shared" si="104"/>
        <v>7.6799544650661675E-2</v>
      </c>
      <c r="L1675" s="6">
        <f t="shared" si="105"/>
        <v>0.35</v>
      </c>
      <c r="M1675" s="6">
        <f t="shared" si="106"/>
        <v>6.8690909090909091</v>
      </c>
      <c r="N1675" s="8">
        <f t="shared" si="107"/>
        <v>16.537586024351512</v>
      </c>
    </row>
    <row r="1676" spans="1:14" x14ac:dyDescent="0.45">
      <c r="A1676" s="12">
        <v>45510</v>
      </c>
      <c r="B1676" s="2" t="s">
        <v>35</v>
      </c>
      <c r="C1676" s="2" t="s">
        <v>24</v>
      </c>
      <c r="D1676" s="2" t="s">
        <v>41</v>
      </c>
      <c r="E1676" s="2" t="s">
        <v>33</v>
      </c>
      <c r="F1676" s="2">
        <v>70133</v>
      </c>
      <c r="G1676" s="2">
        <v>2293</v>
      </c>
      <c r="H1676" s="2">
        <v>2384.7199999999998</v>
      </c>
      <c r="I1676" s="2">
        <v>75</v>
      </c>
      <c r="J1676" s="2">
        <v>14249.95</v>
      </c>
      <c r="K1676" s="4">
        <f t="shared" si="104"/>
        <v>3.2695022314744838E-2</v>
      </c>
      <c r="L1676" s="6">
        <f t="shared" si="105"/>
        <v>1.0399999999999998</v>
      </c>
      <c r="M1676" s="6">
        <f t="shared" si="106"/>
        <v>31.796266666666664</v>
      </c>
      <c r="N1676" s="8">
        <f t="shared" si="107"/>
        <v>5.9755233318796348</v>
      </c>
    </row>
    <row r="1677" spans="1:14" x14ac:dyDescent="0.45">
      <c r="A1677" s="12">
        <v>45469</v>
      </c>
      <c r="B1677" s="2" t="s">
        <v>15</v>
      </c>
      <c r="C1677" s="2" t="s">
        <v>24</v>
      </c>
      <c r="D1677" s="2" t="s">
        <v>29</v>
      </c>
      <c r="E1677" s="2" t="s">
        <v>26</v>
      </c>
      <c r="F1677" s="2">
        <v>30169</v>
      </c>
      <c r="G1677" s="2">
        <v>1523</v>
      </c>
      <c r="H1677" s="2">
        <v>2193.12</v>
      </c>
      <c r="I1677" s="2">
        <v>34</v>
      </c>
      <c r="J1677" s="2">
        <v>8282.7099999999991</v>
      </c>
      <c r="K1677" s="4">
        <f t="shared" si="104"/>
        <v>5.0482283138320795E-2</v>
      </c>
      <c r="L1677" s="6">
        <f t="shared" si="105"/>
        <v>1.44</v>
      </c>
      <c r="M1677" s="6">
        <f t="shared" si="106"/>
        <v>64.503529411764703</v>
      </c>
      <c r="N1677" s="8">
        <f t="shared" si="107"/>
        <v>3.7766788867002261</v>
      </c>
    </row>
    <row r="1678" spans="1:14" x14ac:dyDescent="0.45">
      <c r="A1678" s="12">
        <v>45316</v>
      </c>
      <c r="B1678" s="2" t="s">
        <v>15</v>
      </c>
      <c r="C1678" s="2" t="s">
        <v>16</v>
      </c>
      <c r="D1678" s="2" t="s">
        <v>21</v>
      </c>
      <c r="E1678" s="2" t="s">
        <v>30</v>
      </c>
      <c r="F1678" s="2">
        <v>122959</v>
      </c>
      <c r="G1678" s="2">
        <v>3553</v>
      </c>
      <c r="H1678" s="2">
        <v>5933.51</v>
      </c>
      <c r="I1678" s="2">
        <v>133</v>
      </c>
      <c r="J1678" s="2">
        <v>11079.66</v>
      </c>
      <c r="K1678" s="4">
        <f t="shared" si="104"/>
        <v>2.8895810798721524E-2</v>
      </c>
      <c r="L1678" s="6">
        <f t="shared" si="105"/>
        <v>1.6700000000000002</v>
      </c>
      <c r="M1678" s="6">
        <f t="shared" si="106"/>
        <v>44.612857142857145</v>
      </c>
      <c r="N1678" s="8">
        <f t="shared" si="107"/>
        <v>1.86730282750008</v>
      </c>
    </row>
    <row r="1679" spans="1:14" x14ac:dyDescent="0.45">
      <c r="A1679" s="12">
        <v>45394</v>
      </c>
      <c r="B1679" s="2" t="s">
        <v>35</v>
      </c>
      <c r="C1679" s="2" t="s">
        <v>16</v>
      </c>
      <c r="D1679" s="2" t="s">
        <v>25</v>
      </c>
      <c r="E1679" s="2" t="s">
        <v>54</v>
      </c>
      <c r="F1679" s="2">
        <v>73083</v>
      </c>
      <c r="G1679" s="2">
        <v>3040</v>
      </c>
      <c r="H1679" s="2">
        <v>1824</v>
      </c>
      <c r="I1679" s="2">
        <v>203</v>
      </c>
      <c r="J1679" s="2">
        <v>29701.35</v>
      </c>
      <c r="K1679" s="4">
        <f t="shared" si="104"/>
        <v>4.1596540919228819E-2</v>
      </c>
      <c r="L1679" s="6">
        <f t="shared" si="105"/>
        <v>0.6</v>
      </c>
      <c r="M1679" s="6">
        <f t="shared" si="106"/>
        <v>8.985221674876847</v>
      </c>
      <c r="N1679" s="8">
        <f t="shared" si="107"/>
        <v>16.283634868421053</v>
      </c>
    </row>
    <row r="1680" spans="1:14" x14ac:dyDescent="0.45">
      <c r="A1680" s="12">
        <v>45414</v>
      </c>
      <c r="B1680" s="2" t="s">
        <v>35</v>
      </c>
      <c r="C1680" s="2" t="s">
        <v>38</v>
      </c>
      <c r="D1680" s="2" t="s">
        <v>17</v>
      </c>
      <c r="E1680" s="2" t="s">
        <v>51</v>
      </c>
      <c r="F1680" s="2">
        <v>113889</v>
      </c>
      <c r="G1680" s="2">
        <v>4623</v>
      </c>
      <c r="H1680" s="2">
        <v>5501.37</v>
      </c>
      <c r="I1680" s="2">
        <v>362</v>
      </c>
      <c r="J1680" s="2">
        <v>19216.96</v>
      </c>
      <c r="K1680" s="4">
        <f t="shared" si="104"/>
        <v>4.0592155519848273E-2</v>
      </c>
      <c r="L1680" s="6">
        <f t="shared" si="105"/>
        <v>1.19</v>
      </c>
      <c r="M1680" s="6">
        <f t="shared" si="106"/>
        <v>15.197154696132596</v>
      </c>
      <c r="N1680" s="8">
        <f t="shared" si="107"/>
        <v>3.4931226221832015</v>
      </c>
    </row>
    <row r="1681" spans="1:14" x14ac:dyDescent="0.45">
      <c r="A1681" s="12">
        <v>45466</v>
      </c>
      <c r="B1681" s="2" t="s">
        <v>35</v>
      </c>
      <c r="C1681" s="2" t="s">
        <v>16</v>
      </c>
      <c r="D1681" s="2" t="s">
        <v>25</v>
      </c>
      <c r="E1681" s="2" t="s">
        <v>54</v>
      </c>
      <c r="F1681" s="2">
        <v>57203</v>
      </c>
      <c r="G1681" s="2">
        <v>1029</v>
      </c>
      <c r="H1681" s="2">
        <v>895.23</v>
      </c>
      <c r="I1681" s="2">
        <v>11</v>
      </c>
      <c r="J1681" s="2">
        <v>1505.4</v>
      </c>
      <c r="K1681" s="4">
        <f t="shared" si="104"/>
        <v>1.798856703319756E-2</v>
      </c>
      <c r="L1681" s="6">
        <f t="shared" si="105"/>
        <v>0.87</v>
      </c>
      <c r="M1681" s="6">
        <f t="shared" si="106"/>
        <v>81.38454545454546</v>
      </c>
      <c r="N1681" s="8">
        <f t="shared" si="107"/>
        <v>1.6815790355551088</v>
      </c>
    </row>
    <row r="1682" spans="1:14" x14ac:dyDescent="0.45">
      <c r="A1682" s="12">
        <v>45485</v>
      </c>
      <c r="B1682" s="2" t="s">
        <v>20</v>
      </c>
      <c r="C1682" s="2" t="s">
        <v>38</v>
      </c>
      <c r="D1682" s="2" t="s">
        <v>29</v>
      </c>
      <c r="E1682" s="2" t="s">
        <v>18</v>
      </c>
      <c r="F1682" s="2">
        <v>36562</v>
      </c>
      <c r="G1682" s="2">
        <v>1257</v>
      </c>
      <c r="H1682" s="2">
        <v>540.51</v>
      </c>
      <c r="I1682" s="2">
        <v>74</v>
      </c>
      <c r="J1682" s="2">
        <v>11838.52</v>
      </c>
      <c r="K1682" s="4">
        <f t="shared" si="104"/>
        <v>3.4379957332749851E-2</v>
      </c>
      <c r="L1682" s="6">
        <f t="shared" si="105"/>
        <v>0.43</v>
      </c>
      <c r="M1682" s="6">
        <f t="shared" si="106"/>
        <v>7.3041891891891888</v>
      </c>
      <c r="N1682" s="8">
        <f t="shared" si="107"/>
        <v>21.902499491221256</v>
      </c>
    </row>
    <row r="1683" spans="1:14" x14ac:dyDescent="0.45">
      <c r="A1683" s="12">
        <v>45627</v>
      </c>
      <c r="B1683" s="2" t="s">
        <v>15</v>
      </c>
      <c r="C1683" s="2" t="s">
        <v>16</v>
      </c>
      <c r="D1683" s="2" t="s">
        <v>21</v>
      </c>
      <c r="E1683" s="2" t="s">
        <v>26</v>
      </c>
      <c r="F1683" s="2">
        <v>177256</v>
      </c>
      <c r="G1683" s="2">
        <v>4059</v>
      </c>
      <c r="H1683" s="2">
        <v>8889.2099999999991</v>
      </c>
      <c r="I1683" s="2">
        <v>138</v>
      </c>
      <c r="J1683" s="2">
        <v>32140.46</v>
      </c>
      <c r="K1683" s="4">
        <f t="shared" si="104"/>
        <v>2.2899083810985241E-2</v>
      </c>
      <c r="L1683" s="6">
        <f t="shared" si="105"/>
        <v>2.19</v>
      </c>
      <c r="M1683" s="6">
        <f t="shared" si="106"/>
        <v>64.414565217391299</v>
      </c>
      <c r="N1683" s="8">
        <f t="shared" si="107"/>
        <v>3.6156711338802889</v>
      </c>
    </row>
    <row r="1684" spans="1:14" x14ac:dyDescent="0.45">
      <c r="A1684" s="12">
        <v>45345</v>
      </c>
      <c r="B1684" s="2" t="s">
        <v>20</v>
      </c>
      <c r="C1684" s="2" t="s">
        <v>28</v>
      </c>
      <c r="D1684" s="2" t="s">
        <v>29</v>
      </c>
      <c r="E1684" s="2" t="s">
        <v>51</v>
      </c>
      <c r="F1684" s="2">
        <v>179036</v>
      </c>
      <c r="G1684" s="2">
        <v>11046</v>
      </c>
      <c r="H1684" s="2">
        <v>9610.02</v>
      </c>
      <c r="I1684" s="2">
        <v>787</v>
      </c>
      <c r="J1684" s="2">
        <v>127296.84</v>
      </c>
      <c r="K1684" s="4">
        <f t="shared" si="104"/>
        <v>6.1697088853638372E-2</v>
      </c>
      <c r="L1684" s="6">
        <f t="shared" si="105"/>
        <v>0.87</v>
      </c>
      <c r="M1684" s="6">
        <f t="shared" si="106"/>
        <v>12.210952986022873</v>
      </c>
      <c r="N1684" s="8">
        <f t="shared" si="107"/>
        <v>13.246261714335661</v>
      </c>
    </row>
    <row r="1685" spans="1:14" x14ac:dyDescent="0.45">
      <c r="A1685" s="12">
        <v>45475</v>
      </c>
      <c r="B1685" s="2" t="s">
        <v>15</v>
      </c>
      <c r="C1685" s="2" t="s">
        <v>38</v>
      </c>
      <c r="D1685" s="2" t="s">
        <v>21</v>
      </c>
      <c r="E1685" s="2" t="s">
        <v>30</v>
      </c>
      <c r="F1685" s="2">
        <v>87481</v>
      </c>
      <c r="G1685" s="2">
        <v>4181</v>
      </c>
      <c r="H1685" s="2">
        <v>12041.28</v>
      </c>
      <c r="I1685" s="2">
        <v>104</v>
      </c>
      <c r="J1685" s="2">
        <v>28643.42</v>
      </c>
      <c r="K1685" s="4">
        <f t="shared" si="104"/>
        <v>4.7793235102479396E-2</v>
      </c>
      <c r="L1685" s="6">
        <f t="shared" si="105"/>
        <v>2.8800000000000003</v>
      </c>
      <c r="M1685" s="6">
        <f t="shared" si="106"/>
        <v>115.78153846153847</v>
      </c>
      <c r="N1685" s="8">
        <f t="shared" si="107"/>
        <v>2.3787687023306487</v>
      </c>
    </row>
    <row r="1686" spans="1:14" x14ac:dyDescent="0.45">
      <c r="A1686" s="12">
        <v>45465</v>
      </c>
      <c r="B1686" s="2" t="s">
        <v>20</v>
      </c>
      <c r="C1686" s="2" t="s">
        <v>28</v>
      </c>
      <c r="D1686" s="2" t="s">
        <v>41</v>
      </c>
      <c r="E1686" s="2" t="s">
        <v>51</v>
      </c>
      <c r="F1686" s="2">
        <v>130645</v>
      </c>
      <c r="G1686" s="2">
        <v>8243</v>
      </c>
      <c r="H1686" s="2">
        <v>7830.85</v>
      </c>
      <c r="I1686" s="2">
        <v>356</v>
      </c>
      <c r="J1686" s="2">
        <v>16420.599999999999</v>
      </c>
      <c r="K1686" s="4">
        <f t="shared" si="104"/>
        <v>6.3094645795859008E-2</v>
      </c>
      <c r="L1686" s="6">
        <f t="shared" si="105"/>
        <v>0.95000000000000007</v>
      </c>
      <c r="M1686" s="6">
        <f t="shared" si="106"/>
        <v>21.996769662921348</v>
      </c>
      <c r="N1686" s="8">
        <f t="shared" si="107"/>
        <v>2.0969115740947659</v>
      </c>
    </row>
    <row r="1687" spans="1:14" x14ac:dyDescent="0.45">
      <c r="A1687" s="12">
        <v>45620</v>
      </c>
      <c r="B1687" s="2" t="s">
        <v>15</v>
      </c>
      <c r="C1687" s="2" t="s">
        <v>16</v>
      </c>
      <c r="D1687" s="2" t="s">
        <v>29</v>
      </c>
      <c r="E1687" s="2" t="s">
        <v>51</v>
      </c>
      <c r="F1687" s="2">
        <v>121089</v>
      </c>
      <c r="G1687" s="2">
        <v>3499</v>
      </c>
      <c r="H1687" s="2">
        <v>3254.07</v>
      </c>
      <c r="I1687" s="2">
        <v>185</v>
      </c>
      <c r="J1687" s="2">
        <v>28042.42</v>
      </c>
      <c r="K1687" s="4">
        <f t="shared" si="104"/>
        <v>2.8896101214808942E-2</v>
      </c>
      <c r="L1687" s="6">
        <f t="shared" si="105"/>
        <v>0.93</v>
      </c>
      <c r="M1687" s="6">
        <f t="shared" si="106"/>
        <v>17.589567567567567</v>
      </c>
      <c r="N1687" s="8">
        <f t="shared" si="107"/>
        <v>8.6176449799789179</v>
      </c>
    </row>
    <row r="1688" spans="1:14" x14ac:dyDescent="0.45">
      <c r="A1688" s="12">
        <v>45419</v>
      </c>
      <c r="B1688" s="2" t="s">
        <v>15</v>
      </c>
      <c r="C1688" s="2" t="s">
        <v>16</v>
      </c>
      <c r="D1688" s="2" t="s">
        <v>21</v>
      </c>
      <c r="E1688" s="2" t="s">
        <v>33</v>
      </c>
      <c r="F1688" s="2">
        <v>15589</v>
      </c>
      <c r="G1688" s="2">
        <v>285</v>
      </c>
      <c r="H1688" s="2">
        <v>336.3</v>
      </c>
      <c r="I1688" s="2">
        <v>10</v>
      </c>
      <c r="J1688" s="2">
        <v>1359.76</v>
      </c>
      <c r="K1688" s="4">
        <f t="shared" si="104"/>
        <v>1.8282122009108986E-2</v>
      </c>
      <c r="L1688" s="6">
        <f t="shared" si="105"/>
        <v>1.18</v>
      </c>
      <c r="M1688" s="6">
        <f t="shared" si="106"/>
        <v>33.630000000000003</v>
      </c>
      <c r="N1688" s="8">
        <f t="shared" si="107"/>
        <v>4.043294677371394</v>
      </c>
    </row>
    <row r="1689" spans="1:14" x14ac:dyDescent="0.45">
      <c r="A1689" s="12">
        <v>45515</v>
      </c>
      <c r="B1689" s="2" t="s">
        <v>20</v>
      </c>
      <c r="C1689" s="2" t="s">
        <v>16</v>
      </c>
      <c r="D1689" s="2" t="s">
        <v>17</v>
      </c>
      <c r="E1689" s="2" t="s">
        <v>30</v>
      </c>
      <c r="F1689" s="2">
        <v>101411</v>
      </c>
      <c r="G1689" s="2">
        <v>9370</v>
      </c>
      <c r="H1689" s="2">
        <v>7589.7</v>
      </c>
      <c r="I1689" s="2">
        <v>523</v>
      </c>
      <c r="J1689" s="2">
        <v>26633.21</v>
      </c>
      <c r="K1689" s="4">
        <f t="shared" si="104"/>
        <v>9.2396288371084004E-2</v>
      </c>
      <c r="L1689" s="6">
        <f t="shared" si="105"/>
        <v>0.80999999999999994</v>
      </c>
      <c r="M1689" s="6">
        <f t="shared" si="106"/>
        <v>14.511854684512429</v>
      </c>
      <c r="N1689" s="8">
        <f t="shared" si="107"/>
        <v>3.5091255253830851</v>
      </c>
    </row>
    <row r="1690" spans="1:14" x14ac:dyDescent="0.45">
      <c r="A1690" s="12">
        <v>45376</v>
      </c>
      <c r="B1690" s="2" t="s">
        <v>15</v>
      </c>
      <c r="C1690" s="2" t="s">
        <v>28</v>
      </c>
      <c r="D1690" s="2" t="s">
        <v>41</v>
      </c>
      <c r="E1690" s="2" t="s">
        <v>22</v>
      </c>
      <c r="F1690" s="2">
        <v>142045</v>
      </c>
      <c r="G1690" s="2">
        <v>9161</v>
      </c>
      <c r="H1690" s="2">
        <v>21894.79</v>
      </c>
      <c r="I1690" s="2">
        <v>525</v>
      </c>
      <c r="J1690" s="2">
        <v>131680.16</v>
      </c>
      <c r="K1690" s="4">
        <f t="shared" si="104"/>
        <v>6.449364637966841E-2</v>
      </c>
      <c r="L1690" s="6">
        <f t="shared" si="105"/>
        <v>2.39</v>
      </c>
      <c r="M1690" s="6">
        <f t="shared" si="106"/>
        <v>41.704361904761903</v>
      </c>
      <c r="N1690" s="8">
        <f t="shared" si="107"/>
        <v>6.0142234750824279</v>
      </c>
    </row>
    <row r="1691" spans="1:14" x14ac:dyDescent="0.45">
      <c r="A1691" s="12">
        <v>45478</v>
      </c>
      <c r="B1691" s="2" t="s">
        <v>35</v>
      </c>
      <c r="C1691" s="2" t="s">
        <v>28</v>
      </c>
      <c r="D1691" s="2" t="s">
        <v>25</v>
      </c>
      <c r="E1691" s="2" t="s">
        <v>22</v>
      </c>
      <c r="F1691" s="2">
        <v>42236</v>
      </c>
      <c r="G1691" s="2">
        <v>1013</v>
      </c>
      <c r="H1691" s="2">
        <v>1448.59</v>
      </c>
      <c r="I1691" s="2">
        <v>29</v>
      </c>
      <c r="J1691" s="2">
        <v>4720.08</v>
      </c>
      <c r="K1691" s="4">
        <f t="shared" si="104"/>
        <v>2.3984278814281654E-2</v>
      </c>
      <c r="L1691" s="6">
        <f t="shared" si="105"/>
        <v>1.43</v>
      </c>
      <c r="M1691" s="6">
        <f t="shared" si="106"/>
        <v>49.951379310344826</v>
      </c>
      <c r="N1691" s="8">
        <f t="shared" si="107"/>
        <v>3.2583960955135685</v>
      </c>
    </row>
    <row r="1692" spans="1:14" x14ac:dyDescent="0.45">
      <c r="A1692" s="12">
        <v>45435</v>
      </c>
      <c r="B1692" s="2" t="s">
        <v>35</v>
      </c>
      <c r="C1692" s="2" t="s">
        <v>28</v>
      </c>
      <c r="D1692" s="2" t="s">
        <v>41</v>
      </c>
      <c r="E1692" s="2" t="s">
        <v>33</v>
      </c>
      <c r="F1692" s="2">
        <v>75628</v>
      </c>
      <c r="G1692" s="2">
        <v>794</v>
      </c>
      <c r="H1692" s="2">
        <v>397</v>
      </c>
      <c r="I1692" s="2">
        <v>49</v>
      </c>
      <c r="J1692" s="2">
        <v>3639.22</v>
      </c>
      <c r="K1692" s="4">
        <f t="shared" si="104"/>
        <v>1.049875707409954E-2</v>
      </c>
      <c r="L1692" s="6">
        <f t="shared" si="105"/>
        <v>0.5</v>
      </c>
      <c r="M1692" s="6">
        <f t="shared" si="106"/>
        <v>8.1020408163265305</v>
      </c>
      <c r="N1692" s="8">
        <f t="shared" si="107"/>
        <v>9.1668010075566748</v>
      </c>
    </row>
    <row r="1693" spans="1:14" x14ac:dyDescent="0.45">
      <c r="A1693" s="12">
        <v>45634</v>
      </c>
      <c r="B1693" s="2" t="s">
        <v>20</v>
      </c>
      <c r="C1693" s="2" t="s">
        <v>24</v>
      </c>
      <c r="D1693" s="2" t="s">
        <v>17</v>
      </c>
      <c r="E1693" s="2" t="s">
        <v>30</v>
      </c>
      <c r="F1693" s="2">
        <v>116184</v>
      </c>
      <c r="G1693" s="2">
        <v>4089</v>
      </c>
      <c r="H1693" s="2">
        <v>1390.26</v>
      </c>
      <c r="I1693" s="2">
        <v>263</v>
      </c>
      <c r="J1693" s="2">
        <v>54249.41</v>
      </c>
      <c r="K1693" s="4">
        <f t="shared" si="104"/>
        <v>3.5194174757281552E-2</v>
      </c>
      <c r="L1693" s="6">
        <f t="shared" si="105"/>
        <v>0.34</v>
      </c>
      <c r="M1693" s="6">
        <f t="shared" si="106"/>
        <v>5.2861596958174903</v>
      </c>
      <c r="N1693" s="8">
        <f t="shared" si="107"/>
        <v>39.021053615870414</v>
      </c>
    </row>
    <row r="1694" spans="1:14" x14ac:dyDescent="0.45">
      <c r="A1694" s="12">
        <v>45584</v>
      </c>
      <c r="B1694" s="2" t="s">
        <v>15</v>
      </c>
      <c r="C1694" s="2" t="s">
        <v>24</v>
      </c>
      <c r="D1694" s="2" t="s">
        <v>41</v>
      </c>
      <c r="E1694" s="2" t="s">
        <v>26</v>
      </c>
      <c r="F1694" s="2">
        <v>121465</v>
      </c>
      <c r="G1694" s="2">
        <v>5575</v>
      </c>
      <c r="H1694" s="2">
        <v>9143</v>
      </c>
      <c r="I1694" s="2">
        <v>273</v>
      </c>
      <c r="J1694" s="2">
        <v>28769.59</v>
      </c>
      <c r="K1694" s="4">
        <f t="shared" si="104"/>
        <v>4.5897995307290163E-2</v>
      </c>
      <c r="L1694" s="6">
        <f t="shared" si="105"/>
        <v>1.64</v>
      </c>
      <c r="M1694" s="6">
        <f t="shared" si="106"/>
        <v>33.490842490842489</v>
      </c>
      <c r="N1694" s="8">
        <f t="shared" si="107"/>
        <v>3.1466247402384337</v>
      </c>
    </row>
    <row r="1695" spans="1:14" x14ac:dyDescent="0.45">
      <c r="A1695" s="12">
        <v>45300</v>
      </c>
      <c r="B1695" s="2" t="s">
        <v>15</v>
      </c>
      <c r="C1695" s="2" t="s">
        <v>24</v>
      </c>
      <c r="D1695" s="2" t="s">
        <v>17</v>
      </c>
      <c r="E1695" s="2" t="s">
        <v>22</v>
      </c>
      <c r="F1695" s="2">
        <v>108510</v>
      </c>
      <c r="G1695" s="2">
        <v>3721</v>
      </c>
      <c r="H1695" s="2">
        <v>5246.61</v>
      </c>
      <c r="I1695" s="2">
        <v>116</v>
      </c>
      <c r="J1695" s="2">
        <v>23480.01</v>
      </c>
      <c r="K1695" s="4">
        <f t="shared" si="104"/>
        <v>3.429177034374712E-2</v>
      </c>
      <c r="L1695" s="6">
        <f t="shared" si="105"/>
        <v>1.41</v>
      </c>
      <c r="M1695" s="6">
        <f t="shared" si="106"/>
        <v>45.229396551724136</v>
      </c>
      <c r="N1695" s="8">
        <f t="shared" si="107"/>
        <v>4.4752726045961104</v>
      </c>
    </row>
    <row r="1696" spans="1:14" x14ac:dyDescent="0.45">
      <c r="A1696" s="12">
        <v>45363</v>
      </c>
      <c r="B1696" s="2" t="s">
        <v>35</v>
      </c>
      <c r="C1696" s="2" t="s">
        <v>28</v>
      </c>
      <c r="D1696" s="2" t="s">
        <v>25</v>
      </c>
      <c r="E1696" s="2" t="s">
        <v>33</v>
      </c>
      <c r="F1696" s="2">
        <v>199650</v>
      </c>
      <c r="G1696" s="2">
        <v>4152</v>
      </c>
      <c r="H1696" s="2">
        <v>3238.56</v>
      </c>
      <c r="I1696" s="2">
        <v>165</v>
      </c>
      <c r="J1696" s="2">
        <v>10558.75</v>
      </c>
      <c r="K1696" s="4">
        <f t="shared" si="104"/>
        <v>2.0796393688955674E-2</v>
      </c>
      <c r="L1696" s="6">
        <f t="shared" si="105"/>
        <v>0.78</v>
      </c>
      <c r="M1696" s="6">
        <f t="shared" si="106"/>
        <v>19.627636363636363</v>
      </c>
      <c r="N1696" s="8">
        <f t="shared" si="107"/>
        <v>3.2603224890074602</v>
      </c>
    </row>
    <row r="1697" spans="1:14" x14ac:dyDescent="0.45">
      <c r="A1697" s="12">
        <v>45483</v>
      </c>
      <c r="B1697" s="2" t="s">
        <v>15</v>
      </c>
      <c r="C1697" s="2" t="s">
        <v>28</v>
      </c>
      <c r="D1697" s="2" t="s">
        <v>29</v>
      </c>
      <c r="E1697" s="2" t="s">
        <v>26</v>
      </c>
      <c r="F1697" s="2">
        <v>73734</v>
      </c>
      <c r="G1697" s="2">
        <v>1990</v>
      </c>
      <c r="H1697" s="2">
        <v>1631.8</v>
      </c>
      <c r="I1697" s="2">
        <v>143</v>
      </c>
      <c r="J1697" s="2">
        <v>16954.02</v>
      </c>
      <c r="K1697" s="4">
        <f t="shared" si="104"/>
        <v>2.6988906067757074E-2</v>
      </c>
      <c r="L1697" s="6">
        <f t="shared" si="105"/>
        <v>0.82</v>
      </c>
      <c r="M1697" s="6">
        <f t="shared" si="106"/>
        <v>11.411188811188811</v>
      </c>
      <c r="N1697" s="8">
        <f t="shared" si="107"/>
        <v>10.389765902684154</v>
      </c>
    </row>
    <row r="1698" spans="1:14" x14ac:dyDescent="0.45">
      <c r="A1698" s="12">
        <v>45361</v>
      </c>
      <c r="B1698" s="2" t="s">
        <v>35</v>
      </c>
      <c r="C1698" s="2" t="s">
        <v>28</v>
      </c>
      <c r="D1698" s="2" t="s">
        <v>41</v>
      </c>
      <c r="E1698" s="2" t="s">
        <v>33</v>
      </c>
      <c r="F1698" s="2">
        <v>149532</v>
      </c>
      <c r="G1698" s="2">
        <v>5069</v>
      </c>
      <c r="H1698" s="2">
        <v>12114.91</v>
      </c>
      <c r="I1698" s="2">
        <v>397</v>
      </c>
      <c r="J1698" s="2">
        <v>95392.09</v>
      </c>
      <c r="K1698" s="4">
        <f t="shared" si="104"/>
        <v>3.3899098520717971E-2</v>
      </c>
      <c r="L1698" s="6">
        <f t="shared" si="105"/>
        <v>2.39</v>
      </c>
      <c r="M1698" s="6">
        <f t="shared" si="106"/>
        <v>30.516146095717883</v>
      </c>
      <c r="N1698" s="8">
        <f t="shared" si="107"/>
        <v>7.8739412839220426</v>
      </c>
    </row>
    <row r="1699" spans="1:14" x14ac:dyDescent="0.45">
      <c r="A1699" s="12">
        <v>45318</v>
      </c>
      <c r="B1699" s="2" t="s">
        <v>15</v>
      </c>
      <c r="C1699" s="2" t="s">
        <v>16</v>
      </c>
      <c r="D1699" s="2" t="s">
        <v>17</v>
      </c>
      <c r="E1699" s="2" t="s">
        <v>51</v>
      </c>
      <c r="F1699" s="2">
        <v>79432</v>
      </c>
      <c r="G1699" s="2">
        <v>4130</v>
      </c>
      <c r="H1699" s="2">
        <v>9457.7000000000007</v>
      </c>
      <c r="I1699" s="2">
        <v>311</v>
      </c>
      <c r="J1699" s="2">
        <v>59366.41</v>
      </c>
      <c r="K1699" s="4">
        <f t="shared" si="104"/>
        <v>5.199415852553127E-2</v>
      </c>
      <c r="L1699" s="6">
        <f t="shared" si="105"/>
        <v>2.29</v>
      </c>
      <c r="M1699" s="6">
        <f t="shared" si="106"/>
        <v>30.410610932475887</v>
      </c>
      <c r="N1699" s="8">
        <f t="shared" si="107"/>
        <v>6.2770451589709975</v>
      </c>
    </row>
    <row r="1700" spans="1:14" x14ac:dyDescent="0.45">
      <c r="A1700" s="12">
        <v>45572</v>
      </c>
      <c r="B1700" s="2" t="s">
        <v>20</v>
      </c>
      <c r="C1700" s="2" t="s">
        <v>38</v>
      </c>
      <c r="D1700" s="2" t="s">
        <v>17</v>
      </c>
      <c r="E1700" s="2" t="s">
        <v>33</v>
      </c>
      <c r="F1700" s="2">
        <v>192583</v>
      </c>
      <c r="G1700" s="2">
        <v>11285</v>
      </c>
      <c r="H1700" s="2">
        <v>18394.55</v>
      </c>
      <c r="I1700" s="2">
        <v>562</v>
      </c>
      <c r="J1700" s="2">
        <v>124224.31</v>
      </c>
      <c r="K1700" s="4">
        <f t="shared" si="104"/>
        <v>5.8598110944372034E-2</v>
      </c>
      <c r="L1700" s="6">
        <f t="shared" si="105"/>
        <v>1.63</v>
      </c>
      <c r="M1700" s="6">
        <f t="shared" si="106"/>
        <v>32.730516014234873</v>
      </c>
      <c r="N1700" s="8">
        <f t="shared" si="107"/>
        <v>6.7533215001182416</v>
      </c>
    </row>
    <row r="1701" spans="1:14" x14ac:dyDescent="0.45">
      <c r="A1701" s="12">
        <v>45360</v>
      </c>
      <c r="B1701" s="2" t="s">
        <v>35</v>
      </c>
      <c r="C1701" s="2" t="s">
        <v>24</v>
      </c>
      <c r="D1701" s="2" t="s">
        <v>29</v>
      </c>
      <c r="E1701" s="2" t="s">
        <v>54</v>
      </c>
      <c r="F1701" s="2">
        <v>79266</v>
      </c>
      <c r="G1701" s="2">
        <v>2425</v>
      </c>
      <c r="H1701" s="2">
        <v>1746</v>
      </c>
      <c r="I1701" s="2">
        <v>104</v>
      </c>
      <c r="J1701" s="2">
        <v>20287.27</v>
      </c>
      <c r="K1701" s="4">
        <f t="shared" si="104"/>
        <v>3.0593192541568896E-2</v>
      </c>
      <c r="L1701" s="6">
        <f t="shared" si="105"/>
        <v>0.72</v>
      </c>
      <c r="M1701" s="6">
        <f t="shared" si="106"/>
        <v>16.78846153846154</v>
      </c>
      <c r="N1701" s="8">
        <f t="shared" si="107"/>
        <v>11.619284077892326</v>
      </c>
    </row>
    <row r="1702" spans="1:14" x14ac:dyDescent="0.45">
      <c r="A1702" s="12">
        <v>45347</v>
      </c>
      <c r="B1702" s="2" t="s">
        <v>15</v>
      </c>
      <c r="C1702" s="2" t="s">
        <v>24</v>
      </c>
      <c r="D1702" s="2" t="s">
        <v>17</v>
      </c>
      <c r="E1702" s="2" t="s">
        <v>54</v>
      </c>
      <c r="F1702" s="2">
        <v>33695</v>
      </c>
      <c r="G1702" s="2">
        <v>1277</v>
      </c>
      <c r="H1702" s="2">
        <v>3677.76</v>
      </c>
      <c r="I1702" s="2">
        <v>89</v>
      </c>
      <c r="J1702" s="2">
        <v>25041.09</v>
      </c>
      <c r="K1702" s="4">
        <f t="shared" si="104"/>
        <v>3.7898798041252409E-2</v>
      </c>
      <c r="L1702" s="6">
        <f t="shared" si="105"/>
        <v>2.8800000000000003</v>
      </c>
      <c r="M1702" s="6">
        <f t="shared" si="106"/>
        <v>41.323146067415735</v>
      </c>
      <c r="N1702" s="8">
        <f t="shared" si="107"/>
        <v>6.8087885016966849</v>
      </c>
    </row>
    <row r="1703" spans="1:14" x14ac:dyDescent="0.45">
      <c r="A1703" s="12">
        <v>45370</v>
      </c>
      <c r="B1703" s="2" t="s">
        <v>20</v>
      </c>
      <c r="C1703" s="2" t="s">
        <v>16</v>
      </c>
      <c r="D1703" s="2" t="s">
        <v>17</v>
      </c>
      <c r="E1703" s="2" t="s">
        <v>51</v>
      </c>
      <c r="F1703" s="2">
        <v>92030</v>
      </c>
      <c r="G1703" s="2">
        <v>6267</v>
      </c>
      <c r="H1703" s="2">
        <v>3634.86</v>
      </c>
      <c r="I1703" s="2">
        <v>136</v>
      </c>
      <c r="J1703" s="2">
        <v>11204.78</v>
      </c>
      <c r="K1703" s="4">
        <f t="shared" si="104"/>
        <v>6.8097359556666306E-2</v>
      </c>
      <c r="L1703" s="6">
        <f t="shared" si="105"/>
        <v>0.58000000000000007</v>
      </c>
      <c r="M1703" s="6">
        <f t="shared" si="106"/>
        <v>26.726911764705882</v>
      </c>
      <c r="N1703" s="8">
        <f t="shared" si="107"/>
        <v>3.0825891506137788</v>
      </c>
    </row>
    <row r="1704" spans="1:14" x14ac:dyDescent="0.45">
      <c r="A1704" s="12">
        <v>45598</v>
      </c>
      <c r="B1704" s="2" t="s">
        <v>15</v>
      </c>
      <c r="C1704" s="2" t="s">
        <v>16</v>
      </c>
      <c r="D1704" s="2" t="s">
        <v>25</v>
      </c>
      <c r="E1704" s="2" t="s">
        <v>51</v>
      </c>
      <c r="F1704" s="2">
        <v>26259</v>
      </c>
      <c r="G1704" s="2">
        <v>669</v>
      </c>
      <c r="H1704" s="2">
        <v>943.29</v>
      </c>
      <c r="I1704" s="2">
        <v>22</v>
      </c>
      <c r="J1704" s="2">
        <v>2731.41</v>
      </c>
      <c r="K1704" s="4">
        <f t="shared" si="104"/>
        <v>2.5476979321375527E-2</v>
      </c>
      <c r="L1704" s="6">
        <f t="shared" si="105"/>
        <v>1.41</v>
      </c>
      <c r="M1704" s="6">
        <f t="shared" si="106"/>
        <v>42.87681818181818</v>
      </c>
      <c r="N1704" s="8">
        <f t="shared" si="107"/>
        <v>2.8956206468848391</v>
      </c>
    </row>
    <row r="1705" spans="1:14" x14ac:dyDescent="0.45">
      <c r="A1705" s="12">
        <v>45397</v>
      </c>
      <c r="B1705" s="2" t="s">
        <v>15</v>
      </c>
      <c r="C1705" s="2" t="s">
        <v>24</v>
      </c>
      <c r="D1705" s="2" t="s">
        <v>17</v>
      </c>
      <c r="E1705" s="2" t="s">
        <v>22</v>
      </c>
      <c r="F1705" s="2">
        <v>99447</v>
      </c>
      <c r="G1705" s="2">
        <v>5917</v>
      </c>
      <c r="H1705" s="2">
        <v>6212.85</v>
      </c>
      <c r="I1705" s="2">
        <v>195</v>
      </c>
      <c r="J1705" s="2">
        <v>28481.71</v>
      </c>
      <c r="K1705" s="4">
        <f t="shared" si="104"/>
        <v>5.9499029633875329E-2</v>
      </c>
      <c r="L1705" s="6">
        <f t="shared" si="105"/>
        <v>1.05</v>
      </c>
      <c r="M1705" s="6">
        <f t="shared" si="106"/>
        <v>31.860769230769233</v>
      </c>
      <c r="N1705" s="8">
        <f t="shared" si="107"/>
        <v>4.5843228148112374</v>
      </c>
    </row>
    <row r="1706" spans="1:14" x14ac:dyDescent="0.45">
      <c r="A1706" s="12">
        <v>45613</v>
      </c>
      <c r="B1706" s="2" t="s">
        <v>35</v>
      </c>
      <c r="C1706" s="2" t="s">
        <v>28</v>
      </c>
      <c r="D1706" s="2" t="s">
        <v>25</v>
      </c>
      <c r="E1706" s="2" t="s">
        <v>18</v>
      </c>
      <c r="F1706" s="2">
        <v>170910</v>
      </c>
      <c r="G1706" s="2">
        <v>3315</v>
      </c>
      <c r="H1706" s="2">
        <v>1657.5</v>
      </c>
      <c r="I1706" s="2">
        <v>167</v>
      </c>
      <c r="J1706" s="2">
        <v>41334.160000000003</v>
      </c>
      <c r="K1706" s="4">
        <f t="shared" si="104"/>
        <v>1.9396173424609444E-2</v>
      </c>
      <c r="L1706" s="6">
        <f t="shared" si="105"/>
        <v>0.5</v>
      </c>
      <c r="M1706" s="6">
        <f t="shared" si="106"/>
        <v>9.9251497005988032</v>
      </c>
      <c r="N1706" s="8">
        <f t="shared" si="107"/>
        <v>24.937653092006034</v>
      </c>
    </row>
    <row r="1707" spans="1:14" x14ac:dyDescent="0.45">
      <c r="A1707" s="12">
        <v>45355</v>
      </c>
      <c r="B1707" s="2" t="s">
        <v>35</v>
      </c>
      <c r="C1707" s="2" t="s">
        <v>24</v>
      </c>
      <c r="D1707" s="2" t="s">
        <v>25</v>
      </c>
      <c r="E1707" s="2" t="s">
        <v>26</v>
      </c>
      <c r="F1707" s="2">
        <v>180259</v>
      </c>
      <c r="G1707" s="2">
        <v>2072</v>
      </c>
      <c r="H1707" s="2">
        <v>2838.64</v>
      </c>
      <c r="I1707" s="2">
        <v>136</v>
      </c>
      <c r="J1707" s="2">
        <v>10032.66</v>
      </c>
      <c r="K1707" s="4">
        <f t="shared" si="104"/>
        <v>1.1494571699610006E-2</v>
      </c>
      <c r="L1707" s="6">
        <f t="shared" si="105"/>
        <v>1.3699999999999999</v>
      </c>
      <c r="M1707" s="6">
        <f t="shared" si="106"/>
        <v>20.872352941176469</v>
      </c>
      <c r="N1707" s="8">
        <f t="shared" si="107"/>
        <v>3.5343192514725361</v>
      </c>
    </row>
    <row r="1708" spans="1:14" x14ac:dyDescent="0.45">
      <c r="A1708" s="12">
        <v>45345</v>
      </c>
      <c r="B1708" s="2" t="s">
        <v>35</v>
      </c>
      <c r="C1708" s="2" t="s">
        <v>24</v>
      </c>
      <c r="D1708" s="2" t="s">
        <v>25</v>
      </c>
      <c r="E1708" s="2" t="s">
        <v>18</v>
      </c>
      <c r="F1708" s="2">
        <v>146964</v>
      </c>
      <c r="G1708" s="2">
        <v>5246</v>
      </c>
      <c r="H1708" s="2">
        <v>10439.540000000001</v>
      </c>
      <c r="I1708" s="2">
        <v>131</v>
      </c>
      <c r="J1708" s="2">
        <v>7261.59</v>
      </c>
      <c r="K1708" s="4">
        <f t="shared" si="104"/>
        <v>3.5695816662584035E-2</v>
      </c>
      <c r="L1708" s="6">
        <f t="shared" si="105"/>
        <v>1.9900000000000002</v>
      </c>
      <c r="M1708" s="6">
        <f t="shared" si="106"/>
        <v>79.691145038167946</v>
      </c>
      <c r="N1708" s="8">
        <f t="shared" si="107"/>
        <v>0.69558524609321859</v>
      </c>
    </row>
    <row r="1709" spans="1:14" x14ac:dyDescent="0.45">
      <c r="A1709" s="12">
        <v>45545</v>
      </c>
      <c r="B1709" s="2" t="s">
        <v>35</v>
      </c>
      <c r="C1709" s="2" t="s">
        <v>38</v>
      </c>
      <c r="D1709" s="2" t="s">
        <v>21</v>
      </c>
      <c r="E1709" s="2" t="s">
        <v>30</v>
      </c>
      <c r="F1709" s="2">
        <v>153057</v>
      </c>
      <c r="G1709" s="2">
        <v>2969</v>
      </c>
      <c r="H1709" s="2">
        <v>6650.56</v>
      </c>
      <c r="I1709" s="2">
        <v>148</v>
      </c>
      <c r="J1709" s="2">
        <v>28216.02</v>
      </c>
      <c r="K1709" s="4">
        <f t="shared" si="104"/>
        <v>1.939800205152329E-2</v>
      </c>
      <c r="L1709" s="6">
        <f t="shared" si="105"/>
        <v>2.2400000000000002</v>
      </c>
      <c r="M1709" s="6">
        <f t="shared" si="106"/>
        <v>44.936216216216216</v>
      </c>
      <c r="N1709" s="8">
        <f t="shared" si="107"/>
        <v>4.2426532502526104</v>
      </c>
    </row>
    <row r="1710" spans="1:14" x14ac:dyDescent="0.45">
      <c r="A1710" s="12">
        <v>45634</v>
      </c>
      <c r="B1710" s="2" t="s">
        <v>15</v>
      </c>
      <c r="C1710" s="2" t="s">
        <v>16</v>
      </c>
      <c r="D1710" s="2" t="s">
        <v>29</v>
      </c>
      <c r="E1710" s="2" t="s">
        <v>22</v>
      </c>
      <c r="F1710" s="2">
        <v>78635</v>
      </c>
      <c r="G1710" s="2">
        <v>2587</v>
      </c>
      <c r="H1710" s="2">
        <v>6079.45</v>
      </c>
      <c r="I1710" s="2">
        <v>106</v>
      </c>
      <c r="J1710" s="2">
        <v>21303.72</v>
      </c>
      <c r="K1710" s="4">
        <f t="shared" si="104"/>
        <v>3.2898836396006867E-2</v>
      </c>
      <c r="L1710" s="6">
        <f t="shared" si="105"/>
        <v>2.35</v>
      </c>
      <c r="M1710" s="6">
        <f t="shared" si="106"/>
        <v>57.353301886792451</v>
      </c>
      <c r="N1710" s="8">
        <f t="shared" si="107"/>
        <v>3.5042183092220518</v>
      </c>
    </row>
    <row r="1711" spans="1:14" x14ac:dyDescent="0.45">
      <c r="A1711" s="12">
        <v>45608</v>
      </c>
      <c r="B1711" s="2" t="s">
        <v>35</v>
      </c>
      <c r="C1711" s="2" t="s">
        <v>38</v>
      </c>
      <c r="D1711" s="2" t="s">
        <v>25</v>
      </c>
      <c r="E1711" s="2" t="s">
        <v>18</v>
      </c>
      <c r="F1711" s="2">
        <v>54031</v>
      </c>
      <c r="G1711" s="2">
        <v>2215</v>
      </c>
      <c r="H1711" s="2">
        <v>3676.9</v>
      </c>
      <c r="I1711" s="2">
        <v>157</v>
      </c>
      <c r="J1711" s="2">
        <v>22778.62</v>
      </c>
      <c r="K1711" s="4">
        <f t="shared" si="104"/>
        <v>4.0994984360829892E-2</v>
      </c>
      <c r="L1711" s="6">
        <f t="shared" si="105"/>
        <v>1.6600000000000001</v>
      </c>
      <c r="M1711" s="6">
        <f t="shared" si="106"/>
        <v>23.419745222929937</v>
      </c>
      <c r="N1711" s="8">
        <f t="shared" si="107"/>
        <v>6.1950610568685569</v>
      </c>
    </row>
    <row r="1712" spans="1:14" x14ac:dyDescent="0.45">
      <c r="A1712" s="12">
        <v>45552</v>
      </c>
      <c r="B1712" s="2" t="s">
        <v>15</v>
      </c>
      <c r="C1712" s="2" t="s">
        <v>24</v>
      </c>
      <c r="D1712" s="2" t="s">
        <v>29</v>
      </c>
      <c r="E1712" s="2" t="s">
        <v>30</v>
      </c>
      <c r="F1712" s="2">
        <v>162743</v>
      </c>
      <c r="G1712" s="2">
        <v>8723</v>
      </c>
      <c r="H1712" s="2">
        <v>15439.71</v>
      </c>
      <c r="I1712" s="2">
        <v>106</v>
      </c>
      <c r="J1712" s="2">
        <v>20056.78</v>
      </c>
      <c r="K1712" s="4">
        <f t="shared" si="104"/>
        <v>5.3599847612493319E-2</v>
      </c>
      <c r="L1712" s="6">
        <f t="shared" si="105"/>
        <v>1.7699999999999998</v>
      </c>
      <c r="M1712" s="6">
        <f t="shared" si="106"/>
        <v>145.65764150943394</v>
      </c>
      <c r="N1712" s="8">
        <f t="shared" si="107"/>
        <v>1.2990386477466223</v>
      </c>
    </row>
    <row r="1713" spans="1:14" x14ac:dyDescent="0.45">
      <c r="A1713" s="12">
        <v>45508</v>
      </c>
      <c r="B1713" s="2" t="s">
        <v>15</v>
      </c>
      <c r="C1713" s="2" t="s">
        <v>38</v>
      </c>
      <c r="D1713" s="2" t="s">
        <v>25</v>
      </c>
      <c r="E1713" s="2" t="s">
        <v>33</v>
      </c>
      <c r="F1713" s="2">
        <v>144494</v>
      </c>
      <c r="G1713" s="2">
        <v>8409</v>
      </c>
      <c r="H1713" s="2">
        <v>25563.360000000001</v>
      </c>
      <c r="I1713" s="2">
        <v>93</v>
      </c>
      <c r="J1713" s="2">
        <v>20233.22</v>
      </c>
      <c r="K1713" s="4">
        <f t="shared" si="104"/>
        <v>5.8196188077013579E-2</v>
      </c>
      <c r="L1713" s="6">
        <f t="shared" si="105"/>
        <v>3.04</v>
      </c>
      <c r="M1713" s="6">
        <f t="shared" si="106"/>
        <v>274.87483870967742</v>
      </c>
      <c r="N1713" s="8">
        <f t="shared" si="107"/>
        <v>0.79149298057845296</v>
      </c>
    </row>
    <row r="1714" spans="1:14" x14ac:dyDescent="0.45">
      <c r="A1714" s="12">
        <v>45605</v>
      </c>
      <c r="B1714" s="2" t="s">
        <v>15</v>
      </c>
      <c r="C1714" s="2" t="s">
        <v>16</v>
      </c>
      <c r="D1714" s="2" t="s">
        <v>17</v>
      </c>
      <c r="E1714" s="2" t="s">
        <v>54</v>
      </c>
      <c r="F1714" s="2">
        <v>112549</v>
      </c>
      <c r="G1714" s="2">
        <v>6640</v>
      </c>
      <c r="H1714" s="2">
        <v>24368.799999999999</v>
      </c>
      <c r="I1714" s="2">
        <v>374</v>
      </c>
      <c r="J1714" s="2">
        <v>21696.69</v>
      </c>
      <c r="K1714" s="4">
        <f t="shared" si="104"/>
        <v>5.8996525957582917E-2</v>
      </c>
      <c r="L1714" s="6">
        <f t="shared" si="105"/>
        <v>3.67</v>
      </c>
      <c r="M1714" s="6">
        <f t="shared" si="106"/>
        <v>65.157219251336898</v>
      </c>
      <c r="N1714" s="8">
        <f t="shared" si="107"/>
        <v>0.89034708315551025</v>
      </c>
    </row>
    <row r="1715" spans="1:14" x14ac:dyDescent="0.45">
      <c r="A1715" s="12">
        <v>45649</v>
      </c>
      <c r="B1715" s="2" t="s">
        <v>15</v>
      </c>
      <c r="C1715" s="2" t="s">
        <v>16</v>
      </c>
      <c r="D1715" s="2" t="s">
        <v>41</v>
      </c>
      <c r="E1715" s="2" t="s">
        <v>26</v>
      </c>
      <c r="F1715" s="2">
        <v>148994</v>
      </c>
      <c r="G1715" s="2">
        <v>7509</v>
      </c>
      <c r="H1715" s="2">
        <v>25981.14</v>
      </c>
      <c r="I1715" s="2">
        <v>588</v>
      </c>
      <c r="J1715" s="2">
        <v>82753.509999999995</v>
      </c>
      <c r="K1715" s="4">
        <f t="shared" si="104"/>
        <v>5.0398002604131707E-2</v>
      </c>
      <c r="L1715" s="6">
        <f t="shared" si="105"/>
        <v>3.46</v>
      </c>
      <c r="M1715" s="6">
        <f t="shared" si="106"/>
        <v>44.18561224489796</v>
      </c>
      <c r="N1715" s="8">
        <f t="shared" si="107"/>
        <v>3.1851377576195654</v>
      </c>
    </row>
    <row r="1716" spans="1:14" x14ac:dyDescent="0.45">
      <c r="A1716" s="12">
        <v>45620</v>
      </c>
      <c r="B1716" s="2" t="s">
        <v>15</v>
      </c>
      <c r="C1716" s="2" t="s">
        <v>38</v>
      </c>
      <c r="D1716" s="2" t="s">
        <v>17</v>
      </c>
      <c r="E1716" s="2" t="s">
        <v>33</v>
      </c>
      <c r="F1716" s="2">
        <v>87373</v>
      </c>
      <c r="G1716" s="2">
        <v>3643</v>
      </c>
      <c r="H1716" s="2">
        <v>3825.15</v>
      </c>
      <c r="I1716" s="2">
        <v>289</v>
      </c>
      <c r="J1716" s="2">
        <v>35842.03</v>
      </c>
      <c r="K1716" s="4">
        <f t="shared" si="104"/>
        <v>4.1694802742265918E-2</v>
      </c>
      <c r="L1716" s="6">
        <f t="shared" si="105"/>
        <v>1.05</v>
      </c>
      <c r="M1716" s="6">
        <f t="shared" si="106"/>
        <v>13.235813148788928</v>
      </c>
      <c r="N1716" s="8">
        <f t="shared" si="107"/>
        <v>9.3700979046573334</v>
      </c>
    </row>
    <row r="1717" spans="1:14" x14ac:dyDescent="0.45">
      <c r="A1717" s="12">
        <v>45383</v>
      </c>
      <c r="B1717" s="2" t="s">
        <v>20</v>
      </c>
      <c r="C1717" s="2" t="s">
        <v>28</v>
      </c>
      <c r="D1717" s="2" t="s">
        <v>41</v>
      </c>
      <c r="E1717" s="2" t="s">
        <v>54</v>
      </c>
      <c r="F1717" s="2">
        <v>41200</v>
      </c>
      <c r="G1717" s="2">
        <v>1763</v>
      </c>
      <c r="H1717" s="2">
        <v>3138.14</v>
      </c>
      <c r="I1717" s="2">
        <v>101</v>
      </c>
      <c r="J1717" s="2">
        <v>27614.2</v>
      </c>
      <c r="K1717" s="4">
        <f t="shared" si="104"/>
        <v>4.2791262135922332E-2</v>
      </c>
      <c r="L1717" s="6">
        <f t="shared" si="105"/>
        <v>1.78</v>
      </c>
      <c r="M1717" s="6">
        <f t="shared" si="106"/>
        <v>31.07069306930693</v>
      </c>
      <c r="N1717" s="8">
        <f t="shared" si="107"/>
        <v>8.7995436787396368</v>
      </c>
    </row>
    <row r="1718" spans="1:14" x14ac:dyDescent="0.45">
      <c r="A1718" s="12">
        <v>45649</v>
      </c>
      <c r="B1718" s="2" t="s">
        <v>15</v>
      </c>
      <c r="C1718" s="2" t="s">
        <v>16</v>
      </c>
      <c r="D1718" s="2" t="s">
        <v>17</v>
      </c>
      <c r="E1718" s="2" t="s">
        <v>51</v>
      </c>
      <c r="F1718" s="2">
        <v>51986</v>
      </c>
      <c r="G1718" s="2">
        <v>1996</v>
      </c>
      <c r="H1718" s="2">
        <v>3053.88</v>
      </c>
      <c r="I1718" s="2">
        <v>82</v>
      </c>
      <c r="J1718" s="2">
        <v>20819.66</v>
      </c>
      <c r="K1718" s="4">
        <f t="shared" si="104"/>
        <v>3.8394952487208096E-2</v>
      </c>
      <c r="L1718" s="6">
        <f t="shared" si="105"/>
        <v>1.53</v>
      </c>
      <c r="M1718" s="6">
        <f t="shared" si="106"/>
        <v>37.242439024390244</v>
      </c>
      <c r="N1718" s="8">
        <f t="shared" si="107"/>
        <v>6.8174453482127655</v>
      </c>
    </row>
    <row r="1719" spans="1:14" x14ac:dyDescent="0.45">
      <c r="A1719" s="12">
        <v>45580</v>
      </c>
      <c r="B1719" s="2" t="s">
        <v>35</v>
      </c>
      <c r="C1719" s="2" t="s">
        <v>16</v>
      </c>
      <c r="D1719" s="2" t="s">
        <v>17</v>
      </c>
      <c r="E1719" s="2" t="s">
        <v>30</v>
      </c>
      <c r="F1719" s="2">
        <v>190392</v>
      </c>
      <c r="G1719" s="2">
        <v>6016</v>
      </c>
      <c r="H1719" s="2">
        <v>13776.64</v>
      </c>
      <c r="I1719" s="2">
        <v>165</v>
      </c>
      <c r="J1719" s="2">
        <v>35908.75</v>
      </c>
      <c r="K1719" s="4">
        <f t="shared" si="104"/>
        <v>3.159796630110509E-2</v>
      </c>
      <c r="L1719" s="6">
        <f t="shared" si="105"/>
        <v>2.29</v>
      </c>
      <c r="M1719" s="6">
        <f t="shared" si="106"/>
        <v>83.494787878787875</v>
      </c>
      <c r="N1719" s="8">
        <f t="shared" si="107"/>
        <v>2.6064954880144944</v>
      </c>
    </row>
    <row r="1720" spans="1:14" x14ac:dyDescent="0.45">
      <c r="A1720" s="12">
        <v>45632</v>
      </c>
      <c r="B1720" s="2" t="s">
        <v>20</v>
      </c>
      <c r="C1720" s="2" t="s">
        <v>28</v>
      </c>
      <c r="D1720" s="2" t="s">
        <v>41</v>
      </c>
      <c r="E1720" s="2" t="s">
        <v>30</v>
      </c>
      <c r="F1720" s="2">
        <v>137817</v>
      </c>
      <c r="G1720" s="2">
        <v>8654</v>
      </c>
      <c r="H1720" s="2">
        <v>13154.08</v>
      </c>
      <c r="I1720" s="2">
        <v>392</v>
      </c>
      <c r="J1720" s="2">
        <v>54000.95</v>
      </c>
      <c r="K1720" s="4">
        <f t="shared" si="104"/>
        <v>6.2793414455401E-2</v>
      </c>
      <c r="L1720" s="6">
        <f t="shared" si="105"/>
        <v>1.52</v>
      </c>
      <c r="M1720" s="6">
        <f t="shared" si="106"/>
        <v>33.556326530612246</v>
      </c>
      <c r="N1720" s="8">
        <f t="shared" si="107"/>
        <v>4.1052623976743332</v>
      </c>
    </row>
    <row r="1721" spans="1:14" x14ac:dyDescent="0.45">
      <c r="A1721" s="12">
        <v>45311</v>
      </c>
      <c r="B1721" s="2" t="s">
        <v>20</v>
      </c>
      <c r="C1721" s="2" t="s">
        <v>24</v>
      </c>
      <c r="D1721" s="2" t="s">
        <v>17</v>
      </c>
      <c r="E1721" s="2" t="s">
        <v>26</v>
      </c>
      <c r="F1721" s="2">
        <v>153145</v>
      </c>
      <c r="G1721" s="2">
        <v>7197</v>
      </c>
      <c r="H1721" s="2">
        <v>7340.94</v>
      </c>
      <c r="I1721" s="2">
        <v>89</v>
      </c>
      <c r="J1721" s="2">
        <v>6214.05</v>
      </c>
      <c r="K1721" s="4">
        <f t="shared" si="104"/>
        <v>4.6994678246106633E-2</v>
      </c>
      <c r="L1721" s="6">
        <f t="shared" si="105"/>
        <v>1.02</v>
      </c>
      <c r="M1721" s="6">
        <f t="shared" si="106"/>
        <v>82.482471910112352</v>
      </c>
      <c r="N1721" s="8">
        <f t="shared" si="107"/>
        <v>0.84649241105362538</v>
      </c>
    </row>
    <row r="1722" spans="1:14" x14ac:dyDescent="0.45">
      <c r="A1722" s="12">
        <v>45358</v>
      </c>
      <c r="B1722" s="2" t="s">
        <v>15</v>
      </c>
      <c r="C1722" s="2" t="s">
        <v>28</v>
      </c>
      <c r="D1722" s="2" t="s">
        <v>41</v>
      </c>
      <c r="E1722" s="2" t="s">
        <v>26</v>
      </c>
      <c r="F1722" s="2">
        <v>20718</v>
      </c>
      <c r="G1722" s="2">
        <v>426</v>
      </c>
      <c r="H1722" s="2">
        <v>1128.9000000000001</v>
      </c>
      <c r="I1722" s="2">
        <v>22</v>
      </c>
      <c r="J1722" s="2">
        <v>1505.14</v>
      </c>
      <c r="K1722" s="4">
        <f t="shared" si="104"/>
        <v>2.0561830292499274E-2</v>
      </c>
      <c r="L1722" s="6">
        <f t="shared" si="105"/>
        <v>2.6500000000000004</v>
      </c>
      <c r="M1722" s="6">
        <f t="shared" si="106"/>
        <v>51.31363636363637</v>
      </c>
      <c r="N1722" s="8">
        <f t="shared" si="107"/>
        <v>1.3332801842501549</v>
      </c>
    </row>
    <row r="1723" spans="1:14" x14ac:dyDescent="0.45">
      <c r="A1723" s="12">
        <v>45313</v>
      </c>
      <c r="B1723" s="2" t="s">
        <v>20</v>
      </c>
      <c r="C1723" s="2" t="s">
        <v>28</v>
      </c>
      <c r="D1723" s="2" t="s">
        <v>17</v>
      </c>
      <c r="E1723" s="2" t="s">
        <v>30</v>
      </c>
      <c r="F1723" s="2">
        <v>5059</v>
      </c>
      <c r="G1723" s="2">
        <v>415</v>
      </c>
      <c r="H1723" s="2">
        <v>302.95</v>
      </c>
      <c r="I1723" s="2">
        <v>4</v>
      </c>
      <c r="J1723" s="2">
        <v>798.87</v>
      </c>
      <c r="K1723" s="4">
        <f t="shared" si="104"/>
        <v>8.2032022138762595E-2</v>
      </c>
      <c r="L1723" s="6">
        <f t="shared" si="105"/>
        <v>0.73</v>
      </c>
      <c r="M1723" s="6">
        <f t="shared" si="106"/>
        <v>75.737499999999997</v>
      </c>
      <c r="N1723" s="8">
        <f t="shared" si="107"/>
        <v>2.6369697969962043</v>
      </c>
    </row>
    <row r="1724" spans="1:14" x14ac:dyDescent="0.45">
      <c r="A1724" s="12">
        <v>45350</v>
      </c>
      <c r="B1724" s="2" t="s">
        <v>20</v>
      </c>
      <c r="C1724" s="2" t="s">
        <v>16</v>
      </c>
      <c r="D1724" s="2" t="s">
        <v>29</v>
      </c>
      <c r="E1724" s="2" t="s">
        <v>26</v>
      </c>
      <c r="F1724" s="2">
        <v>96045</v>
      </c>
      <c r="G1724" s="2">
        <v>5820</v>
      </c>
      <c r="H1724" s="2">
        <v>1804.2</v>
      </c>
      <c r="I1724" s="2">
        <v>235</v>
      </c>
      <c r="J1724" s="2">
        <v>47063.54</v>
      </c>
      <c r="K1724" s="4">
        <f t="shared" si="104"/>
        <v>6.0596595345931592E-2</v>
      </c>
      <c r="L1724" s="6">
        <f t="shared" si="105"/>
        <v>0.31</v>
      </c>
      <c r="M1724" s="6">
        <f t="shared" si="106"/>
        <v>7.6774468085106387</v>
      </c>
      <c r="N1724" s="8">
        <f t="shared" si="107"/>
        <v>26.085544839818201</v>
      </c>
    </row>
    <row r="1725" spans="1:14" x14ac:dyDescent="0.45">
      <c r="A1725" s="12">
        <v>45431</v>
      </c>
      <c r="B1725" s="2" t="s">
        <v>15</v>
      </c>
      <c r="C1725" s="2" t="s">
        <v>38</v>
      </c>
      <c r="D1725" s="2" t="s">
        <v>41</v>
      </c>
      <c r="E1725" s="2" t="s">
        <v>18</v>
      </c>
      <c r="F1725" s="2">
        <v>12644</v>
      </c>
      <c r="G1725" s="2">
        <v>572</v>
      </c>
      <c r="H1725" s="2">
        <v>1269.8399999999999</v>
      </c>
      <c r="I1725" s="2">
        <v>36</v>
      </c>
      <c r="J1725" s="2">
        <v>7362.94</v>
      </c>
      <c r="K1725" s="4">
        <f t="shared" si="104"/>
        <v>4.523884846567542E-2</v>
      </c>
      <c r="L1725" s="6">
        <f t="shared" si="105"/>
        <v>2.2199999999999998</v>
      </c>
      <c r="M1725" s="6">
        <f t="shared" si="106"/>
        <v>35.273333333333333</v>
      </c>
      <c r="N1725" s="8">
        <f t="shared" si="107"/>
        <v>5.7983210483210481</v>
      </c>
    </row>
    <row r="1726" spans="1:14" x14ac:dyDescent="0.45">
      <c r="A1726" s="12">
        <v>45489</v>
      </c>
      <c r="B1726" s="2" t="s">
        <v>15</v>
      </c>
      <c r="C1726" s="2" t="s">
        <v>24</v>
      </c>
      <c r="D1726" s="2" t="s">
        <v>21</v>
      </c>
      <c r="E1726" s="2" t="s">
        <v>33</v>
      </c>
      <c r="F1726" s="2">
        <v>91901</v>
      </c>
      <c r="G1726" s="2">
        <v>3326</v>
      </c>
      <c r="H1726" s="2">
        <v>8581.08</v>
      </c>
      <c r="I1726" s="2">
        <v>261</v>
      </c>
      <c r="J1726" s="2">
        <v>77117.41</v>
      </c>
      <c r="K1726" s="4">
        <f t="shared" si="104"/>
        <v>3.6191118703822592E-2</v>
      </c>
      <c r="L1726" s="6">
        <f t="shared" si="105"/>
        <v>2.58</v>
      </c>
      <c r="M1726" s="6">
        <f t="shared" si="106"/>
        <v>32.877701149425285</v>
      </c>
      <c r="N1726" s="8">
        <f t="shared" si="107"/>
        <v>8.9869119038629179</v>
      </c>
    </row>
    <row r="1727" spans="1:14" x14ac:dyDescent="0.45">
      <c r="A1727" s="12">
        <v>45381</v>
      </c>
      <c r="B1727" s="2" t="s">
        <v>15</v>
      </c>
      <c r="C1727" s="2" t="s">
        <v>16</v>
      </c>
      <c r="D1727" s="2" t="s">
        <v>17</v>
      </c>
      <c r="E1727" s="2" t="s">
        <v>33</v>
      </c>
      <c r="F1727" s="2">
        <v>120431</v>
      </c>
      <c r="G1727" s="2">
        <v>6262</v>
      </c>
      <c r="H1727" s="2">
        <v>17345.740000000002</v>
      </c>
      <c r="I1727" s="2">
        <v>188</v>
      </c>
      <c r="J1727" s="2">
        <v>8830.89</v>
      </c>
      <c r="K1727" s="4">
        <f t="shared" si="104"/>
        <v>5.1996578953923824E-2</v>
      </c>
      <c r="L1727" s="6">
        <f t="shared" si="105"/>
        <v>2.7700000000000005</v>
      </c>
      <c r="M1727" s="6">
        <f t="shared" si="106"/>
        <v>92.264574468085115</v>
      </c>
      <c r="N1727" s="8">
        <f t="shared" si="107"/>
        <v>0.50911001779111176</v>
      </c>
    </row>
    <row r="1728" spans="1:14" x14ac:dyDescent="0.45">
      <c r="A1728" s="12">
        <v>45314</v>
      </c>
      <c r="B1728" s="2" t="s">
        <v>15</v>
      </c>
      <c r="C1728" s="2" t="s">
        <v>16</v>
      </c>
      <c r="D1728" s="2" t="s">
        <v>17</v>
      </c>
      <c r="E1728" s="2" t="s">
        <v>30</v>
      </c>
      <c r="F1728" s="2">
        <v>7948</v>
      </c>
      <c r="G1728" s="2">
        <v>289</v>
      </c>
      <c r="H1728" s="2">
        <v>598.23</v>
      </c>
      <c r="I1728" s="2">
        <v>6</v>
      </c>
      <c r="J1728" s="2">
        <v>1368.08</v>
      </c>
      <c r="K1728" s="4">
        <f t="shared" si="104"/>
        <v>3.6361348766985407E-2</v>
      </c>
      <c r="L1728" s="6">
        <f t="shared" si="105"/>
        <v>2.0700000000000003</v>
      </c>
      <c r="M1728" s="6">
        <f t="shared" si="106"/>
        <v>99.704999999999998</v>
      </c>
      <c r="N1728" s="8">
        <f t="shared" si="107"/>
        <v>2.286879628236631</v>
      </c>
    </row>
    <row r="1729" spans="1:14" x14ac:dyDescent="0.45">
      <c r="A1729" s="12">
        <v>45518</v>
      </c>
      <c r="B1729" s="2" t="s">
        <v>35</v>
      </c>
      <c r="C1729" s="2" t="s">
        <v>24</v>
      </c>
      <c r="D1729" s="2" t="s">
        <v>41</v>
      </c>
      <c r="E1729" s="2" t="s">
        <v>18</v>
      </c>
      <c r="F1729" s="2">
        <v>108924</v>
      </c>
      <c r="G1729" s="2">
        <v>2134</v>
      </c>
      <c r="H1729" s="2">
        <v>874.94</v>
      </c>
      <c r="I1729" s="2">
        <v>85</v>
      </c>
      <c r="J1729" s="2">
        <v>7418.36</v>
      </c>
      <c r="K1729" s="4">
        <f t="shared" si="104"/>
        <v>1.9591641878741142E-2</v>
      </c>
      <c r="L1729" s="6">
        <f t="shared" si="105"/>
        <v>0.41000000000000003</v>
      </c>
      <c r="M1729" s="6">
        <f t="shared" si="106"/>
        <v>10.293411764705883</v>
      </c>
      <c r="N1729" s="8">
        <f t="shared" si="107"/>
        <v>8.4787071113447769</v>
      </c>
    </row>
    <row r="1730" spans="1:14" x14ac:dyDescent="0.45">
      <c r="A1730" s="12">
        <v>45381</v>
      </c>
      <c r="B1730" s="2" t="s">
        <v>15</v>
      </c>
      <c r="C1730" s="2" t="s">
        <v>16</v>
      </c>
      <c r="D1730" s="2" t="s">
        <v>29</v>
      </c>
      <c r="E1730" s="2" t="s">
        <v>30</v>
      </c>
      <c r="F1730" s="2">
        <v>66402</v>
      </c>
      <c r="G1730" s="2">
        <v>2695</v>
      </c>
      <c r="H1730" s="2">
        <v>5012.7</v>
      </c>
      <c r="I1730" s="2">
        <v>199</v>
      </c>
      <c r="J1730" s="2">
        <v>14266.46</v>
      </c>
      <c r="K1730" s="4">
        <f t="shared" si="104"/>
        <v>4.0586126923887834E-2</v>
      </c>
      <c r="L1730" s="6">
        <f t="shared" si="105"/>
        <v>1.8599999999999999</v>
      </c>
      <c r="M1730" s="6">
        <f t="shared" si="106"/>
        <v>25.189447236180904</v>
      </c>
      <c r="N1730" s="8">
        <f t="shared" si="107"/>
        <v>2.8460629999800506</v>
      </c>
    </row>
    <row r="1731" spans="1:14" x14ac:dyDescent="0.45">
      <c r="A1731" s="12">
        <v>45533</v>
      </c>
      <c r="B1731" s="2" t="s">
        <v>15</v>
      </c>
      <c r="C1731" s="2" t="s">
        <v>38</v>
      </c>
      <c r="D1731" s="2" t="s">
        <v>21</v>
      </c>
      <c r="E1731" s="2" t="s">
        <v>33</v>
      </c>
      <c r="F1731" s="2">
        <v>96676</v>
      </c>
      <c r="G1731" s="2">
        <v>5326</v>
      </c>
      <c r="H1731" s="2">
        <v>8894.42</v>
      </c>
      <c r="I1731" s="2">
        <v>355</v>
      </c>
      <c r="J1731" s="2">
        <v>14113.5</v>
      </c>
      <c r="K1731" s="4">
        <f t="shared" ref="K1731:K1794" si="108" xml:space="preserve"> G1731 / F1731</f>
        <v>5.5091232570648352E-2</v>
      </c>
      <c r="L1731" s="6">
        <f t="shared" ref="L1731:L1794" si="109">H1731/G1731</f>
        <v>1.67</v>
      </c>
      <c r="M1731" s="6">
        <f t="shared" ref="M1731:M1794" si="110">H1731/I1731</f>
        <v>25.054704225352111</v>
      </c>
      <c r="N1731" s="8">
        <f t="shared" ref="N1731:N1794" si="111">J1731/H1731</f>
        <v>1.5867813752892264</v>
      </c>
    </row>
    <row r="1732" spans="1:14" x14ac:dyDescent="0.45">
      <c r="A1732" s="12">
        <v>45392</v>
      </c>
      <c r="B1732" s="2" t="s">
        <v>35</v>
      </c>
      <c r="C1732" s="2" t="s">
        <v>16</v>
      </c>
      <c r="D1732" s="2" t="s">
        <v>17</v>
      </c>
      <c r="E1732" s="2" t="s">
        <v>26</v>
      </c>
      <c r="F1732" s="2">
        <v>10108</v>
      </c>
      <c r="G1732" s="2">
        <v>320</v>
      </c>
      <c r="H1732" s="2">
        <v>163.19999999999999</v>
      </c>
      <c r="I1732" s="2">
        <v>8</v>
      </c>
      <c r="J1732" s="2">
        <v>624.20000000000005</v>
      </c>
      <c r="K1732" s="4">
        <f t="shared" si="108"/>
        <v>3.1658092599920855E-2</v>
      </c>
      <c r="L1732" s="6">
        <f t="shared" si="109"/>
        <v>0.51</v>
      </c>
      <c r="M1732" s="6">
        <f t="shared" si="110"/>
        <v>20.399999999999999</v>
      </c>
      <c r="N1732" s="8">
        <f t="shared" si="111"/>
        <v>3.8247549019607847</v>
      </c>
    </row>
    <row r="1733" spans="1:14" x14ac:dyDescent="0.45">
      <c r="A1733" s="12">
        <v>45381</v>
      </c>
      <c r="B1733" s="2" t="s">
        <v>15</v>
      </c>
      <c r="C1733" s="2" t="s">
        <v>16</v>
      </c>
      <c r="D1733" s="2" t="s">
        <v>29</v>
      </c>
      <c r="E1733" s="2" t="s">
        <v>22</v>
      </c>
      <c r="F1733" s="2">
        <v>23936</v>
      </c>
      <c r="G1733" s="2">
        <v>1211</v>
      </c>
      <c r="H1733" s="2">
        <v>3269.7</v>
      </c>
      <c r="I1733" s="2">
        <v>49</v>
      </c>
      <c r="J1733" s="2">
        <v>7236.18</v>
      </c>
      <c r="K1733" s="4">
        <f t="shared" si="108"/>
        <v>5.0593248663101602E-2</v>
      </c>
      <c r="L1733" s="6">
        <f t="shared" si="109"/>
        <v>2.6999999999999997</v>
      </c>
      <c r="M1733" s="6">
        <f t="shared" si="110"/>
        <v>66.728571428571428</v>
      </c>
      <c r="N1733" s="8">
        <f t="shared" si="111"/>
        <v>2.2131021194605012</v>
      </c>
    </row>
    <row r="1734" spans="1:14" x14ac:dyDescent="0.45">
      <c r="A1734" s="12">
        <v>45433</v>
      </c>
      <c r="B1734" s="2" t="s">
        <v>35</v>
      </c>
      <c r="C1734" s="2" t="s">
        <v>38</v>
      </c>
      <c r="D1734" s="2" t="s">
        <v>29</v>
      </c>
      <c r="E1734" s="2" t="s">
        <v>51</v>
      </c>
      <c r="F1734" s="2">
        <v>157455</v>
      </c>
      <c r="G1734" s="2">
        <v>3810</v>
      </c>
      <c r="H1734" s="2">
        <v>4724.3999999999996</v>
      </c>
      <c r="I1734" s="2">
        <v>244</v>
      </c>
      <c r="J1734" s="2">
        <v>55928.06</v>
      </c>
      <c r="K1734" s="4">
        <f t="shared" si="108"/>
        <v>2.4197389730399161E-2</v>
      </c>
      <c r="L1734" s="6">
        <f t="shared" si="109"/>
        <v>1.24</v>
      </c>
      <c r="M1734" s="6">
        <f t="shared" si="110"/>
        <v>19.362295081967211</v>
      </c>
      <c r="N1734" s="8">
        <f t="shared" si="111"/>
        <v>11.838129709592753</v>
      </c>
    </row>
    <row r="1735" spans="1:14" x14ac:dyDescent="0.45">
      <c r="A1735" s="12">
        <v>45380</v>
      </c>
      <c r="B1735" s="2" t="s">
        <v>15</v>
      </c>
      <c r="C1735" s="2" t="s">
        <v>28</v>
      </c>
      <c r="D1735" s="2" t="s">
        <v>17</v>
      </c>
      <c r="E1735" s="2" t="s">
        <v>54</v>
      </c>
      <c r="F1735" s="2">
        <v>165805</v>
      </c>
      <c r="G1735" s="2">
        <v>9832</v>
      </c>
      <c r="H1735" s="2">
        <v>27136.32</v>
      </c>
      <c r="I1735" s="2">
        <v>509</v>
      </c>
      <c r="J1735" s="2">
        <v>143237.84</v>
      </c>
      <c r="K1735" s="4">
        <f t="shared" si="108"/>
        <v>5.9298573625644585E-2</v>
      </c>
      <c r="L1735" s="6">
        <f t="shared" si="109"/>
        <v>2.76</v>
      </c>
      <c r="M1735" s="6">
        <f t="shared" si="110"/>
        <v>53.313005893909626</v>
      </c>
      <c r="N1735" s="8">
        <f t="shared" si="111"/>
        <v>5.2784548531267319</v>
      </c>
    </row>
    <row r="1736" spans="1:14" x14ac:dyDescent="0.45">
      <c r="A1736" s="12">
        <v>45592</v>
      </c>
      <c r="B1736" s="2" t="s">
        <v>35</v>
      </c>
      <c r="C1736" s="2" t="s">
        <v>16</v>
      </c>
      <c r="D1736" s="2" t="s">
        <v>17</v>
      </c>
      <c r="E1736" s="2" t="s">
        <v>26</v>
      </c>
      <c r="F1736" s="2">
        <v>69385</v>
      </c>
      <c r="G1736" s="2">
        <v>2650</v>
      </c>
      <c r="H1736" s="2">
        <v>4505</v>
      </c>
      <c r="I1736" s="2">
        <v>160</v>
      </c>
      <c r="J1736" s="2">
        <v>32080.73</v>
      </c>
      <c r="K1736" s="4">
        <f t="shared" si="108"/>
        <v>3.8192692945161061E-2</v>
      </c>
      <c r="L1736" s="6">
        <f t="shared" si="109"/>
        <v>1.7</v>
      </c>
      <c r="M1736" s="6">
        <f t="shared" si="110"/>
        <v>28.15625</v>
      </c>
      <c r="N1736" s="8">
        <f t="shared" si="111"/>
        <v>7.121138734739179</v>
      </c>
    </row>
    <row r="1737" spans="1:14" x14ac:dyDescent="0.45">
      <c r="A1737" s="12">
        <v>45409</v>
      </c>
      <c r="B1737" s="2" t="s">
        <v>20</v>
      </c>
      <c r="C1737" s="2" t="s">
        <v>24</v>
      </c>
      <c r="D1737" s="2" t="s">
        <v>25</v>
      </c>
      <c r="E1737" s="2" t="s">
        <v>54</v>
      </c>
      <c r="F1737" s="2">
        <v>89944</v>
      </c>
      <c r="G1737" s="2">
        <v>2644</v>
      </c>
      <c r="H1737" s="2">
        <v>819.64</v>
      </c>
      <c r="I1737" s="2">
        <v>80</v>
      </c>
      <c r="J1737" s="2">
        <v>12715.09</v>
      </c>
      <c r="K1737" s="4">
        <f t="shared" si="108"/>
        <v>2.9396068664947077E-2</v>
      </c>
      <c r="L1737" s="6">
        <f t="shared" si="109"/>
        <v>0.31</v>
      </c>
      <c r="M1737" s="6">
        <f t="shared" si="110"/>
        <v>10.2455</v>
      </c>
      <c r="N1737" s="8">
        <f t="shared" si="111"/>
        <v>15.513017910302084</v>
      </c>
    </row>
    <row r="1738" spans="1:14" x14ac:dyDescent="0.45">
      <c r="A1738" s="12">
        <v>45385</v>
      </c>
      <c r="B1738" s="2" t="s">
        <v>35</v>
      </c>
      <c r="C1738" s="2" t="s">
        <v>16</v>
      </c>
      <c r="D1738" s="2" t="s">
        <v>29</v>
      </c>
      <c r="E1738" s="2" t="s">
        <v>51</v>
      </c>
      <c r="F1738" s="2">
        <v>62603</v>
      </c>
      <c r="G1738" s="2">
        <v>1396</v>
      </c>
      <c r="H1738" s="2">
        <v>2094</v>
      </c>
      <c r="I1738" s="2">
        <v>17</v>
      </c>
      <c r="J1738" s="2">
        <v>2988.24</v>
      </c>
      <c r="K1738" s="4">
        <f t="shared" si="108"/>
        <v>2.2299250834624539E-2</v>
      </c>
      <c r="L1738" s="6">
        <f t="shared" si="109"/>
        <v>1.5</v>
      </c>
      <c r="M1738" s="6">
        <f t="shared" si="110"/>
        <v>123.17647058823529</v>
      </c>
      <c r="N1738" s="8">
        <f t="shared" si="111"/>
        <v>1.4270487106017191</v>
      </c>
    </row>
    <row r="1739" spans="1:14" x14ac:dyDescent="0.45">
      <c r="A1739" s="12">
        <v>45301</v>
      </c>
      <c r="B1739" s="2" t="s">
        <v>35</v>
      </c>
      <c r="C1739" s="2" t="s">
        <v>28</v>
      </c>
      <c r="D1739" s="2" t="s">
        <v>21</v>
      </c>
      <c r="E1739" s="2" t="s">
        <v>26</v>
      </c>
      <c r="F1739" s="2">
        <v>62284</v>
      </c>
      <c r="G1739" s="2">
        <v>1413</v>
      </c>
      <c r="H1739" s="2">
        <v>1497.78</v>
      </c>
      <c r="I1739" s="2">
        <v>88</v>
      </c>
      <c r="J1739" s="2">
        <v>10561.64</v>
      </c>
      <c r="K1739" s="4">
        <f t="shared" si="108"/>
        <v>2.268640421295999E-2</v>
      </c>
      <c r="L1739" s="6">
        <f t="shared" si="109"/>
        <v>1.06</v>
      </c>
      <c r="M1739" s="6">
        <f t="shared" si="110"/>
        <v>17.020227272727272</v>
      </c>
      <c r="N1739" s="8">
        <f t="shared" si="111"/>
        <v>7.0515295971370957</v>
      </c>
    </row>
    <row r="1740" spans="1:14" x14ac:dyDescent="0.45">
      <c r="A1740" s="12">
        <v>45605</v>
      </c>
      <c r="B1740" s="2" t="s">
        <v>35</v>
      </c>
      <c r="C1740" s="2" t="s">
        <v>24</v>
      </c>
      <c r="D1740" s="2" t="s">
        <v>21</v>
      </c>
      <c r="E1740" s="2" t="s">
        <v>26</v>
      </c>
      <c r="F1740" s="2">
        <v>172812</v>
      </c>
      <c r="G1740" s="2">
        <v>2972</v>
      </c>
      <c r="H1740" s="2">
        <v>2942.28</v>
      </c>
      <c r="I1740" s="2">
        <v>178</v>
      </c>
      <c r="J1740" s="2">
        <v>47180.83</v>
      </c>
      <c r="K1740" s="4">
        <f t="shared" si="108"/>
        <v>1.7197879776867347E-2</v>
      </c>
      <c r="L1740" s="6">
        <f t="shared" si="109"/>
        <v>0.9900000000000001</v>
      </c>
      <c r="M1740" s="6">
        <f t="shared" si="110"/>
        <v>16.529662921348315</v>
      </c>
      <c r="N1740" s="8">
        <f t="shared" si="111"/>
        <v>16.035465693271885</v>
      </c>
    </row>
    <row r="1741" spans="1:14" x14ac:dyDescent="0.45">
      <c r="A1741" s="12">
        <v>45310</v>
      </c>
      <c r="B1741" s="2" t="s">
        <v>15</v>
      </c>
      <c r="C1741" s="2" t="s">
        <v>16</v>
      </c>
      <c r="D1741" s="2" t="s">
        <v>25</v>
      </c>
      <c r="E1741" s="2" t="s">
        <v>18</v>
      </c>
      <c r="F1741" s="2">
        <v>82764</v>
      </c>
      <c r="G1741" s="2">
        <v>2276</v>
      </c>
      <c r="H1741" s="2">
        <v>2071.16</v>
      </c>
      <c r="I1741" s="2">
        <v>130</v>
      </c>
      <c r="J1741" s="2">
        <v>22792.2</v>
      </c>
      <c r="K1741" s="4">
        <f t="shared" si="108"/>
        <v>2.7499879174520323E-2</v>
      </c>
      <c r="L1741" s="6">
        <f t="shared" si="109"/>
        <v>0.90999999999999992</v>
      </c>
      <c r="M1741" s="6">
        <f t="shared" si="110"/>
        <v>15.931999999999999</v>
      </c>
      <c r="N1741" s="8">
        <f t="shared" si="111"/>
        <v>11.004557832325847</v>
      </c>
    </row>
    <row r="1742" spans="1:14" x14ac:dyDescent="0.45">
      <c r="A1742" s="12">
        <v>45396</v>
      </c>
      <c r="B1742" s="2" t="s">
        <v>35</v>
      </c>
      <c r="C1742" s="2" t="s">
        <v>16</v>
      </c>
      <c r="D1742" s="2" t="s">
        <v>41</v>
      </c>
      <c r="E1742" s="2" t="s">
        <v>51</v>
      </c>
      <c r="F1742" s="2">
        <v>133260</v>
      </c>
      <c r="G1742" s="2">
        <v>2611</v>
      </c>
      <c r="H1742" s="2">
        <v>5430.88</v>
      </c>
      <c r="I1742" s="2">
        <v>108</v>
      </c>
      <c r="J1742" s="2">
        <v>16755.509999999998</v>
      </c>
      <c r="K1742" s="4">
        <f t="shared" si="108"/>
        <v>1.959327630196608E-2</v>
      </c>
      <c r="L1742" s="6">
        <f t="shared" si="109"/>
        <v>2.08</v>
      </c>
      <c r="M1742" s="6">
        <f t="shared" si="110"/>
        <v>50.28592592592593</v>
      </c>
      <c r="N1742" s="8">
        <f t="shared" si="111"/>
        <v>3.0852292814424178</v>
      </c>
    </row>
    <row r="1743" spans="1:14" x14ac:dyDescent="0.45">
      <c r="A1743" s="12">
        <v>45481</v>
      </c>
      <c r="B1743" s="2" t="s">
        <v>15</v>
      </c>
      <c r="C1743" s="2" t="s">
        <v>16</v>
      </c>
      <c r="D1743" s="2" t="s">
        <v>17</v>
      </c>
      <c r="E1743" s="2" t="s">
        <v>54</v>
      </c>
      <c r="F1743" s="2">
        <v>188420</v>
      </c>
      <c r="G1743" s="2">
        <v>9364</v>
      </c>
      <c r="H1743" s="2">
        <v>24814.6</v>
      </c>
      <c r="I1743" s="2">
        <v>324</v>
      </c>
      <c r="J1743" s="2">
        <v>68719.44</v>
      </c>
      <c r="K1743" s="4">
        <f t="shared" si="108"/>
        <v>4.9697484343487953E-2</v>
      </c>
      <c r="L1743" s="6">
        <f t="shared" si="109"/>
        <v>2.65</v>
      </c>
      <c r="M1743" s="6">
        <f t="shared" si="110"/>
        <v>76.588271604938271</v>
      </c>
      <c r="N1743" s="8">
        <f t="shared" si="111"/>
        <v>2.7693148388448741</v>
      </c>
    </row>
    <row r="1744" spans="1:14" x14ac:dyDescent="0.45">
      <c r="A1744" s="12">
        <v>45342</v>
      </c>
      <c r="B1744" s="2" t="s">
        <v>15</v>
      </c>
      <c r="C1744" s="2" t="s">
        <v>28</v>
      </c>
      <c r="D1744" s="2" t="s">
        <v>17</v>
      </c>
      <c r="E1744" s="2" t="s">
        <v>22</v>
      </c>
      <c r="F1744" s="2">
        <v>89431</v>
      </c>
      <c r="G1744" s="2">
        <v>3300</v>
      </c>
      <c r="H1744" s="2">
        <v>4851</v>
      </c>
      <c r="I1744" s="2">
        <v>56</v>
      </c>
      <c r="J1744" s="2">
        <v>9891.8799999999992</v>
      </c>
      <c r="K1744" s="4">
        <f t="shared" si="108"/>
        <v>3.689995639096063E-2</v>
      </c>
      <c r="L1744" s="6">
        <f t="shared" si="109"/>
        <v>1.47</v>
      </c>
      <c r="M1744" s="6">
        <f t="shared" si="110"/>
        <v>86.625</v>
      </c>
      <c r="N1744" s="8">
        <f t="shared" si="111"/>
        <v>2.0391424448567306</v>
      </c>
    </row>
    <row r="1745" spans="1:14" x14ac:dyDescent="0.45">
      <c r="A1745" s="12">
        <v>45295</v>
      </c>
      <c r="B1745" s="2" t="s">
        <v>15</v>
      </c>
      <c r="C1745" s="2" t="s">
        <v>38</v>
      </c>
      <c r="D1745" s="2" t="s">
        <v>41</v>
      </c>
      <c r="E1745" s="2" t="s">
        <v>26</v>
      </c>
      <c r="F1745" s="2">
        <v>52897</v>
      </c>
      <c r="G1745" s="2">
        <v>1883</v>
      </c>
      <c r="H1745" s="2">
        <v>5215.91</v>
      </c>
      <c r="I1745" s="2">
        <v>108</v>
      </c>
      <c r="J1745" s="2">
        <v>5473.28</v>
      </c>
      <c r="K1745" s="4">
        <f t="shared" si="108"/>
        <v>3.5597481898784429E-2</v>
      </c>
      <c r="L1745" s="6">
        <f t="shared" si="109"/>
        <v>2.77</v>
      </c>
      <c r="M1745" s="6">
        <f t="shared" si="110"/>
        <v>48.295462962962965</v>
      </c>
      <c r="N1745" s="8">
        <f t="shared" si="111"/>
        <v>1.0493432593737237</v>
      </c>
    </row>
    <row r="1746" spans="1:14" x14ac:dyDescent="0.45">
      <c r="A1746" s="12">
        <v>45452</v>
      </c>
      <c r="B1746" s="2" t="s">
        <v>15</v>
      </c>
      <c r="C1746" s="2" t="s">
        <v>28</v>
      </c>
      <c r="D1746" s="2" t="s">
        <v>29</v>
      </c>
      <c r="E1746" s="2" t="s">
        <v>22</v>
      </c>
      <c r="F1746" s="2">
        <v>83334</v>
      </c>
      <c r="G1746" s="2">
        <v>3341</v>
      </c>
      <c r="H1746" s="2">
        <v>5779.93</v>
      </c>
      <c r="I1746" s="2">
        <v>256</v>
      </c>
      <c r="J1746" s="2">
        <v>32514.9</v>
      </c>
      <c r="K1746" s="4">
        <f t="shared" si="108"/>
        <v>4.0091679266565865E-2</v>
      </c>
      <c r="L1746" s="6">
        <f t="shared" si="109"/>
        <v>1.73</v>
      </c>
      <c r="M1746" s="6">
        <f t="shared" si="110"/>
        <v>22.577851562500001</v>
      </c>
      <c r="N1746" s="8">
        <f t="shared" si="111"/>
        <v>5.6254833536046283</v>
      </c>
    </row>
    <row r="1747" spans="1:14" x14ac:dyDescent="0.45">
      <c r="A1747" s="12">
        <v>45582</v>
      </c>
      <c r="B1747" s="2" t="s">
        <v>20</v>
      </c>
      <c r="C1747" s="2" t="s">
        <v>28</v>
      </c>
      <c r="D1747" s="2" t="s">
        <v>29</v>
      </c>
      <c r="E1747" s="2" t="s">
        <v>26</v>
      </c>
      <c r="F1747" s="2">
        <v>180721</v>
      </c>
      <c r="G1747" s="2">
        <v>9379</v>
      </c>
      <c r="H1747" s="2">
        <v>12192.7</v>
      </c>
      <c r="I1747" s="2">
        <v>286</v>
      </c>
      <c r="J1747" s="2">
        <v>52558.42</v>
      </c>
      <c r="K1747" s="4">
        <f t="shared" si="108"/>
        <v>5.1897676529014336E-2</v>
      </c>
      <c r="L1747" s="6">
        <f t="shared" si="109"/>
        <v>1.3</v>
      </c>
      <c r="M1747" s="6">
        <f t="shared" si="110"/>
        <v>42.631818181818183</v>
      </c>
      <c r="N1747" s="8">
        <f t="shared" si="111"/>
        <v>4.310646534401732</v>
      </c>
    </row>
    <row r="1748" spans="1:14" x14ac:dyDescent="0.45">
      <c r="A1748" s="12">
        <v>45635</v>
      </c>
      <c r="B1748" s="2" t="s">
        <v>20</v>
      </c>
      <c r="C1748" s="2" t="s">
        <v>38</v>
      </c>
      <c r="D1748" s="2" t="s">
        <v>25</v>
      </c>
      <c r="E1748" s="2" t="s">
        <v>54</v>
      </c>
      <c r="F1748" s="2">
        <v>195759</v>
      </c>
      <c r="G1748" s="2">
        <v>7262</v>
      </c>
      <c r="H1748" s="2">
        <v>3413.14</v>
      </c>
      <c r="I1748" s="2">
        <v>75</v>
      </c>
      <c r="J1748" s="2">
        <v>16681.830000000002</v>
      </c>
      <c r="K1748" s="4">
        <f t="shared" si="108"/>
        <v>3.7096634126655738E-2</v>
      </c>
      <c r="L1748" s="6">
        <f t="shared" si="109"/>
        <v>0.47</v>
      </c>
      <c r="M1748" s="6">
        <f t="shared" si="110"/>
        <v>45.508533333333332</v>
      </c>
      <c r="N1748" s="8">
        <f t="shared" si="111"/>
        <v>4.8875317156635836</v>
      </c>
    </row>
    <row r="1749" spans="1:14" x14ac:dyDescent="0.45">
      <c r="A1749" s="12">
        <v>45483</v>
      </c>
      <c r="B1749" s="2" t="s">
        <v>15</v>
      </c>
      <c r="C1749" s="2" t="s">
        <v>24</v>
      </c>
      <c r="D1749" s="2" t="s">
        <v>29</v>
      </c>
      <c r="E1749" s="2" t="s">
        <v>26</v>
      </c>
      <c r="F1749" s="2">
        <v>158514</v>
      </c>
      <c r="G1749" s="2">
        <v>4565</v>
      </c>
      <c r="H1749" s="2">
        <v>9769.1</v>
      </c>
      <c r="I1749" s="2">
        <v>235</v>
      </c>
      <c r="J1749" s="2">
        <v>15388.32</v>
      </c>
      <c r="K1749" s="4">
        <f t="shared" si="108"/>
        <v>2.8798718094300818E-2</v>
      </c>
      <c r="L1749" s="6">
        <f t="shared" si="109"/>
        <v>2.14</v>
      </c>
      <c r="M1749" s="6">
        <f t="shared" si="110"/>
        <v>41.570638297872343</v>
      </c>
      <c r="N1749" s="8">
        <f t="shared" si="111"/>
        <v>1.5752034476052041</v>
      </c>
    </row>
    <row r="1750" spans="1:14" x14ac:dyDescent="0.45">
      <c r="A1750" s="12">
        <v>45429</v>
      </c>
      <c r="B1750" s="2" t="s">
        <v>35</v>
      </c>
      <c r="C1750" s="2" t="s">
        <v>24</v>
      </c>
      <c r="D1750" s="2" t="s">
        <v>29</v>
      </c>
      <c r="E1750" s="2" t="s">
        <v>26</v>
      </c>
      <c r="F1750" s="2">
        <v>82948</v>
      </c>
      <c r="G1750" s="2">
        <v>2347</v>
      </c>
      <c r="H1750" s="2">
        <v>5421.57</v>
      </c>
      <c r="I1750" s="2">
        <v>65</v>
      </c>
      <c r="J1750" s="2">
        <v>10510.94</v>
      </c>
      <c r="K1750" s="4">
        <f t="shared" si="108"/>
        <v>2.8294835318512804E-2</v>
      </c>
      <c r="L1750" s="6">
        <f t="shared" si="109"/>
        <v>2.31</v>
      </c>
      <c r="M1750" s="6">
        <f t="shared" si="110"/>
        <v>83.408769230769224</v>
      </c>
      <c r="N1750" s="8">
        <f t="shared" si="111"/>
        <v>1.9387262361271738</v>
      </c>
    </row>
    <row r="1751" spans="1:14" x14ac:dyDescent="0.45">
      <c r="A1751" s="12">
        <v>45324</v>
      </c>
      <c r="B1751" s="2" t="s">
        <v>15</v>
      </c>
      <c r="C1751" s="2" t="s">
        <v>24</v>
      </c>
      <c r="D1751" s="2" t="s">
        <v>29</v>
      </c>
      <c r="E1751" s="2" t="s">
        <v>33</v>
      </c>
      <c r="F1751" s="2">
        <v>44420</v>
      </c>
      <c r="G1751" s="2">
        <v>1066</v>
      </c>
      <c r="H1751" s="2">
        <v>3880.24</v>
      </c>
      <c r="I1751" s="2">
        <v>44</v>
      </c>
      <c r="J1751" s="2">
        <v>2655.91</v>
      </c>
      <c r="K1751" s="4">
        <f t="shared" si="108"/>
        <v>2.3998199009455202E-2</v>
      </c>
      <c r="L1751" s="6">
        <f t="shared" si="109"/>
        <v>3.6399999999999997</v>
      </c>
      <c r="M1751" s="6">
        <f t="shared" si="110"/>
        <v>88.187272727272727</v>
      </c>
      <c r="N1751" s="8">
        <f t="shared" si="111"/>
        <v>0.68447054821351261</v>
      </c>
    </row>
    <row r="1752" spans="1:14" x14ac:dyDescent="0.45">
      <c r="A1752" s="12">
        <v>45347</v>
      </c>
      <c r="B1752" s="2" t="s">
        <v>20</v>
      </c>
      <c r="C1752" s="2" t="s">
        <v>16</v>
      </c>
      <c r="D1752" s="2" t="s">
        <v>17</v>
      </c>
      <c r="E1752" s="2" t="s">
        <v>18</v>
      </c>
      <c r="F1752" s="2">
        <v>57006</v>
      </c>
      <c r="G1752" s="2">
        <v>2981</v>
      </c>
      <c r="H1752" s="2">
        <v>3279.1</v>
      </c>
      <c r="I1752" s="2">
        <v>192</v>
      </c>
      <c r="J1752" s="2">
        <v>40566.370000000003</v>
      </c>
      <c r="K1752" s="4">
        <f t="shared" si="108"/>
        <v>5.2292741114970356E-2</v>
      </c>
      <c r="L1752" s="6">
        <f t="shared" si="109"/>
        <v>1.0999999999999999</v>
      </c>
      <c r="M1752" s="6">
        <f t="shared" si="110"/>
        <v>17.078645833333333</v>
      </c>
      <c r="N1752" s="8">
        <f t="shared" si="111"/>
        <v>12.371190265621665</v>
      </c>
    </row>
    <row r="1753" spans="1:14" x14ac:dyDescent="0.45">
      <c r="A1753" s="12">
        <v>45519</v>
      </c>
      <c r="B1753" s="2" t="s">
        <v>35</v>
      </c>
      <c r="C1753" s="2" t="s">
        <v>24</v>
      </c>
      <c r="D1753" s="2" t="s">
        <v>29</v>
      </c>
      <c r="E1753" s="2" t="s">
        <v>26</v>
      </c>
      <c r="F1753" s="2">
        <v>37588</v>
      </c>
      <c r="G1753" s="2">
        <v>1191</v>
      </c>
      <c r="H1753" s="2">
        <v>2334.36</v>
      </c>
      <c r="I1753" s="2">
        <v>48</v>
      </c>
      <c r="J1753" s="2">
        <v>13381.03</v>
      </c>
      <c r="K1753" s="4">
        <f t="shared" si="108"/>
        <v>3.1685644354581252E-2</v>
      </c>
      <c r="L1753" s="6">
        <f t="shared" si="109"/>
        <v>1.9600000000000002</v>
      </c>
      <c r="M1753" s="6">
        <f t="shared" si="110"/>
        <v>48.6325</v>
      </c>
      <c r="N1753" s="8">
        <f t="shared" si="111"/>
        <v>5.7322049726691686</v>
      </c>
    </row>
    <row r="1754" spans="1:14" x14ac:dyDescent="0.45">
      <c r="A1754" s="12">
        <v>45324</v>
      </c>
      <c r="B1754" s="2" t="s">
        <v>20</v>
      </c>
      <c r="C1754" s="2" t="s">
        <v>28</v>
      </c>
      <c r="D1754" s="2" t="s">
        <v>25</v>
      </c>
      <c r="E1754" s="2" t="s">
        <v>54</v>
      </c>
      <c r="F1754" s="2">
        <v>196605</v>
      </c>
      <c r="G1754" s="2">
        <v>14922</v>
      </c>
      <c r="H1754" s="2">
        <v>26262.720000000001</v>
      </c>
      <c r="I1754" s="2">
        <v>757</v>
      </c>
      <c r="J1754" s="2">
        <v>181823.28</v>
      </c>
      <c r="K1754" s="4">
        <f t="shared" si="108"/>
        <v>7.5898374914167996E-2</v>
      </c>
      <c r="L1754" s="6">
        <f t="shared" si="109"/>
        <v>1.76</v>
      </c>
      <c r="M1754" s="6">
        <f t="shared" si="110"/>
        <v>34.693157199471599</v>
      </c>
      <c r="N1754" s="8">
        <f t="shared" si="111"/>
        <v>6.9232463354900018</v>
      </c>
    </row>
    <row r="1755" spans="1:14" x14ac:dyDescent="0.45">
      <c r="A1755" s="12">
        <v>45383</v>
      </c>
      <c r="B1755" s="2" t="s">
        <v>35</v>
      </c>
      <c r="C1755" s="2" t="s">
        <v>24</v>
      </c>
      <c r="D1755" s="2" t="s">
        <v>17</v>
      </c>
      <c r="E1755" s="2" t="s">
        <v>30</v>
      </c>
      <c r="F1755" s="2">
        <v>59376</v>
      </c>
      <c r="G1755" s="2">
        <v>564</v>
      </c>
      <c r="H1755" s="2">
        <v>360.96</v>
      </c>
      <c r="I1755" s="2">
        <v>25</v>
      </c>
      <c r="J1755" s="2">
        <v>4065.83</v>
      </c>
      <c r="K1755" s="4">
        <f t="shared" si="108"/>
        <v>9.4987873888439777E-3</v>
      </c>
      <c r="L1755" s="6">
        <f t="shared" si="109"/>
        <v>0.64</v>
      </c>
      <c r="M1755" s="6">
        <f t="shared" si="110"/>
        <v>14.4384</v>
      </c>
      <c r="N1755" s="8">
        <f t="shared" si="111"/>
        <v>11.263935062056738</v>
      </c>
    </row>
    <row r="1756" spans="1:14" x14ac:dyDescent="0.45">
      <c r="A1756" s="12">
        <v>45433</v>
      </c>
      <c r="B1756" s="2" t="s">
        <v>35</v>
      </c>
      <c r="C1756" s="2" t="s">
        <v>24</v>
      </c>
      <c r="D1756" s="2" t="s">
        <v>41</v>
      </c>
      <c r="E1756" s="2" t="s">
        <v>51</v>
      </c>
      <c r="F1756" s="2">
        <v>15865</v>
      </c>
      <c r="G1756" s="2">
        <v>528</v>
      </c>
      <c r="H1756" s="2">
        <v>992.64</v>
      </c>
      <c r="I1756" s="2">
        <v>39</v>
      </c>
      <c r="J1756" s="2">
        <v>3165.22</v>
      </c>
      <c r="K1756" s="4">
        <f t="shared" si="108"/>
        <v>3.3280806807437759E-2</v>
      </c>
      <c r="L1756" s="6">
        <f t="shared" si="109"/>
        <v>1.88</v>
      </c>
      <c r="M1756" s="6">
        <f t="shared" si="110"/>
        <v>25.452307692307691</v>
      </c>
      <c r="N1756" s="8">
        <f t="shared" si="111"/>
        <v>3.1886887491940681</v>
      </c>
    </row>
    <row r="1757" spans="1:14" x14ac:dyDescent="0.45">
      <c r="A1757" s="12">
        <v>45622</v>
      </c>
      <c r="B1757" s="2" t="s">
        <v>15</v>
      </c>
      <c r="C1757" s="2" t="s">
        <v>24</v>
      </c>
      <c r="D1757" s="2" t="s">
        <v>21</v>
      </c>
      <c r="E1757" s="2" t="s">
        <v>18</v>
      </c>
      <c r="F1757" s="2">
        <v>80511</v>
      </c>
      <c r="G1757" s="2">
        <v>3622</v>
      </c>
      <c r="H1757" s="2">
        <v>12025.04</v>
      </c>
      <c r="I1757" s="2">
        <v>140</v>
      </c>
      <c r="J1757" s="2">
        <v>31780.44</v>
      </c>
      <c r="K1757" s="4">
        <f t="shared" si="108"/>
        <v>4.4987641440300083E-2</v>
      </c>
      <c r="L1757" s="6">
        <f t="shared" si="109"/>
        <v>3.3200000000000003</v>
      </c>
      <c r="M1757" s="6">
        <f t="shared" si="110"/>
        <v>85.893142857142863</v>
      </c>
      <c r="N1757" s="8">
        <f t="shared" si="111"/>
        <v>2.6428552420615645</v>
      </c>
    </row>
    <row r="1758" spans="1:14" x14ac:dyDescent="0.45">
      <c r="A1758" s="12">
        <v>45469</v>
      </c>
      <c r="B1758" s="2" t="s">
        <v>15</v>
      </c>
      <c r="C1758" s="2" t="s">
        <v>28</v>
      </c>
      <c r="D1758" s="2" t="s">
        <v>41</v>
      </c>
      <c r="E1758" s="2" t="s">
        <v>22</v>
      </c>
      <c r="F1758" s="2">
        <v>143944</v>
      </c>
      <c r="G1758" s="2">
        <v>7873</v>
      </c>
      <c r="H1758" s="2">
        <v>16612.03</v>
      </c>
      <c r="I1758" s="2">
        <v>513</v>
      </c>
      <c r="J1758" s="2">
        <v>65899.820000000007</v>
      </c>
      <c r="K1758" s="4">
        <f t="shared" si="108"/>
        <v>5.4694881342744403E-2</v>
      </c>
      <c r="L1758" s="6">
        <f t="shared" si="109"/>
        <v>2.11</v>
      </c>
      <c r="M1758" s="6">
        <f t="shared" si="110"/>
        <v>32.38212475633528</v>
      </c>
      <c r="N1758" s="8">
        <f t="shared" si="111"/>
        <v>3.9669937990721191</v>
      </c>
    </row>
    <row r="1759" spans="1:14" x14ac:dyDescent="0.45">
      <c r="A1759" s="12">
        <v>45481</v>
      </c>
      <c r="B1759" s="2" t="s">
        <v>35</v>
      </c>
      <c r="C1759" s="2" t="s">
        <v>16</v>
      </c>
      <c r="D1759" s="2" t="s">
        <v>29</v>
      </c>
      <c r="E1759" s="2" t="s">
        <v>22</v>
      </c>
      <c r="F1759" s="2">
        <v>44612</v>
      </c>
      <c r="G1759" s="2">
        <v>811</v>
      </c>
      <c r="H1759" s="2">
        <v>1622</v>
      </c>
      <c r="I1759" s="2">
        <v>23</v>
      </c>
      <c r="J1759" s="2">
        <v>1008.1</v>
      </c>
      <c r="K1759" s="4">
        <f t="shared" si="108"/>
        <v>1.8178965300815923E-2</v>
      </c>
      <c r="L1759" s="6">
        <f t="shared" si="109"/>
        <v>2</v>
      </c>
      <c r="M1759" s="6">
        <f t="shared" si="110"/>
        <v>70.521739130434781</v>
      </c>
      <c r="N1759" s="8">
        <f t="shared" si="111"/>
        <v>0.62151664611590629</v>
      </c>
    </row>
    <row r="1760" spans="1:14" x14ac:dyDescent="0.45">
      <c r="A1760" s="12">
        <v>45609</v>
      </c>
      <c r="B1760" s="2" t="s">
        <v>15</v>
      </c>
      <c r="C1760" s="2" t="s">
        <v>38</v>
      </c>
      <c r="D1760" s="2" t="s">
        <v>41</v>
      </c>
      <c r="E1760" s="2" t="s">
        <v>54</v>
      </c>
      <c r="F1760" s="2">
        <v>17299</v>
      </c>
      <c r="G1760" s="2">
        <v>479</v>
      </c>
      <c r="H1760" s="2">
        <v>929.26</v>
      </c>
      <c r="I1760" s="2">
        <v>30</v>
      </c>
      <c r="J1760" s="2">
        <v>3163.73</v>
      </c>
      <c r="K1760" s="4">
        <f t="shared" si="108"/>
        <v>2.768946181860223E-2</v>
      </c>
      <c r="L1760" s="6">
        <f t="shared" si="109"/>
        <v>1.94</v>
      </c>
      <c r="M1760" s="6">
        <f t="shared" si="110"/>
        <v>30.975333333333332</v>
      </c>
      <c r="N1760" s="8">
        <f t="shared" si="111"/>
        <v>3.4045692271269612</v>
      </c>
    </row>
    <row r="1761" spans="1:14" x14ac:dyDescent="0.45">
      <c r="A1761" s="12">
        <v>45594</v>
      </c>
      <c r="B1761" s="2" t="s">
        <v>20</v>
      </c>
      <c r="C1761" s="2" t="s">
        <v>28</v>
      </c>
      <c r="D1761" s="2" t="s">
        <v>25</v>
      </c>
      <c r="E1761" s="2" t="s">
        <v>18</v>
      </c>
      <c r="F1761" s="2">
        <v>71514</v>
      </c>
      <c r="G1761" s="2">
        <v>3354</v>
      </c>
      <c r="H1761" s="2">
        <v>4393.74</v>
      </c>
      <c r="I1761" s="2">
        <v>165</v>
      </c>
      <c r="J1761" s="2">
        <v>17363.87</v>
      </c>
      <c r="K1761" s="4">
        <f t="shared" si="108"/>
        <v>4.6899907710378386E-2</v>
      </c>
      <c r="L1761" s="6">
        <f t="shared" si="109"/>
        <v>1.3099999999999998</v>
      </c>
      <c r="M1761" s="6">
        <f t="shared" si="110"/>
        <v>26.628727272727271</v>
      </c>
      <c r="N1761" s="8">
        <f t="shared" si="111"/>
        <v>3.9519566474119996</v>
      </c>
    </row>
    <row r="1762" spans="1:14" x14ac:dyDescent="0.45">
      <c r="A1762" s="12">
        <v>45365</v>
      </c>
      <c r="B1762" s="2" t="s">
        <v>15</v>
      </c>
      <c r="C1762" s="2" t="s">
        <v>24</v>
      </c>
      <c r="D1762" s="2" t="s">
        <v>41</v>
      </c>
      <c r="E1762" s="2" t="s">
        <v>51</v>
      </c>
      <c r="F1762" s="2">
        <v>37135</v>
      </c>
      <c r="G1762" s="2">
        <v>1006</v>
      </c>
      <c r="H1762" s="2">
        <v>1931.52</v>
      </c>
      <c r="I1762" s="2">
        <v>62</v>
      </c>
      <c r="J1762" s="2">
        <v>17772.87</v>
      </c>
      <c r="K1762" s="4">
        <f t="shared" si="108"/>
        <v>2.7090346034738116E-2</v>
      </c>
      <c r="L1762" s="6">
        <f t="shared" si="109"/>
        <v>1.92</v>
      </c>
      <c r="M1762" s="6">
        <f t="shared" si="110"/>
        <v>31.153548387096773</v>
      </c>
      <c r="N1762" s="8">
        <f t="shared" si="111"/>
        <v>9.2014941600397613</v>
      </c>
    </row>
    <row r="1763" spans="1:14" x14ac:dyDescent="0.45">
      <c r="A1763" s="12">
        <v>45619</v>
      </c>
      <c r="B1763" s="2" t="s">
        <v>15</v>
      </c>
      <c r="C1763" s="2" t="s">
        <v>38</v>
      </c>
      <c r="D1763" s="2" t="s">
        <v>21</v>
      </c>
      <c r="E1763" s="2" t="s">
        <v>18</v>
      </c>
      <c r="F1763" s="2">
        <v>80542</v>
      </c>
      <c r="G1763" s="2">
        <v>4236</v>
      </c>
      <c r="H1763" s="2">
        <v>9107.4</v>
      </c>
      <c r="I1763" s="2">
        <v>104</v>
      </c>
      <c r="J1763" s="2">
        <v>15932.35</v>
      </c>
      <c r="K1763" s="4">
        <f t="shared" si="108"/>
        <v>5.2593677832683566E-2</v>
      </c>
      <c r="L1763" s="6">
        <f t="shared" si="109"/>
        <v>2.15</v>
      </c>
      <c r="M1763" s="6">
        <f t="shared" si="110"/>
        <v>87.571153846153848</v>
      </c>
      <c r="N1763" s="8">
        <f t="shared" si="111"/>
        <v>1.7493851154006632</v>
      </c>
    </row>
    <row r="1764" spans="1:14" x14ac:dyDescent="0.45">
      <c r="A1764" s="12">
        <v>45385</v>
      </c>
      <c r="B1764" s="2" t="s">
        <v>15</v>
      </c>
      <c r="C1764" s="2" t="s">
        <v>28</v>
      </c>
      <c r="D1764" s="2" t="s">
        <v>41</v>
      </c>
      <c r="E1764" s="2" t="s">
        <v>54</v>
      </c>
      <c r="F1764" s="2">
        <v>112992</v>
      </c>
      <c r="G1764" s="2">
        <v>2802</v>
      </c>
      <c r="H1764" s="2">
        <v>8406</v>
      </c>
      <c r="I1764" s="2">
        <v>124</v>
      </c>
      <c r="J1764" s="2">
        <v>7395.68</v>
      </c>
      <c r="K1764" s="4">
        <f t="shared" si="108"/>
        <v>2.4798215802888698E-2</v>
      </c>
      <c r="L1764" s="6">
        <f t="shared" si="109"/>
        <v>3</v>
      </c>
      <c r="M1764" s="6">
        <f t="shared" si="110"/>
        <v>67.790322580645167</v>
      </c>
      <c r="N1764" s="8">
        <f t="shared" si="111"/>
        <v>0.87980965976683323</v>
      </c>
    </row>
    <row r="1765" spans="1:14" x14ac:dyDescent="0.45">
      <c r="A1765" s="12">
        <v>45452</v>
      </c>
      <c r="B1765" s="2" t="s">
        <v>35</v>
      </c>
      <c r="C1765" s="2" t="s">
        <v>16</v>
      </c>
      <c r="D1765" s="2" t="s">
        <v>29</v>
      </c>
      <c r="E1765" s="2" t="s">
        <v>22</v>
      </c>
      <c r="F1765" s="2">
        <v>119863</v>
      </c>
      <c r="G1765" s="2">
        <v>1114</v>
      </c>
      <c r="H1765" s="2">
        <v>1370.22</v>
      </c>
      <c r="I1765" s="2">
        <v>75</v>
      </c>
      <c r="J1765" s="2">
        <v>21180.36</v>
      </c>
      <c r="K1765" s="4">
        <f t="shared" si="108"/>
        <v>9.293943919307877E-3</v>
      </c>
      <c r="L1765" s="6">
        <f t="shared" si="109"/>
        <v>1.23</v>
      </c>
      <c r="M1765" s="6">
        <f t="shared" si="110"/>
        <v>18.269600000000001</v>
      </c>
      <c r="N1765" s="8">
        <f t="shared" si="111"/>
        <v>15.457634540438761</v>
      </c>
    </row>
    <row r="1766" spans="1:14" x14ac:dyDescent="0.45">
      <c r="A1766" s="12">
        <v>45329</v>
      </c>
      <c r="B1766" s="2" t="s">
        <v>20</v>
      </c>
      <c r="C1766" s="2" t="s">
        <v>16</v>
      </c>
      <c r="D1766" s="2" t="s">
        <v>17</v>
      </c>
      <c r="E1766" s="2" t="s">
        <v>30</v>
      </c>
      <c r="F1766" s="2">
        <v>108806</v>
      </c>
      <c r="G1766" s="2">
        <v>5070</v>
      </c>
      <c r="H1766" s="2">
        <v>1825.2</v>
      </c>
      <c r="I1766" s="2">
        <v>279</v>
      </c>
      <c r="J1766" s="2">
        <v>26787.94</v>
      </c>
      <c r="K1766" s="4">
        <f t="shared" si="108"/>
        <v>4.6596695035200267E-2</v>
      </c>
      <c r="L1766" s="6">
        <f t="shared" si="109"/>
        <v>0.36</v>
      </c>
      <c r="M1766" s="6">
        <f t="shared" si="110"/>
        <v>6.5419354838709678</v>
      </c>
      <c r="N1766" s="8">
        <f t="shared" si="111"/>
        <v>14.676714880561033</v>
      </c>
    </row>
    <row r="1767" spans="1:14" x14ac:dyDescent="0.45">
      <c r="A1767" s="12">
        <v>45626</v>
      </c>
      <c r="B1767" s="2" t="s">
        <v>20</v>
      </c>
      <c r="C1767" s="2" t="s">
        <v>28</v>
      </c>
      <c r="D1767" s="2" t="s">
        <v>25</v>
      </c>
      <c r="E1767" s="2" t="s">
        <v>22</v>
      </c>
      <c r="F1767" s="2">
        <v>7234</v>
      </c>
      <c r="G1767" s="2">
        <v>496</v>
      </c>
      <c r="H1767" s="2">
        <v>352.16</v>
      </c>
      <c r="I1767" s="2">
        <v>10</v>
      </c>
      <c r="J1767" s="2">
        <v>399.8</v>
      </c>
      <c r="K1767" s="4">
        <f t="shared" si="108"/>
        <v>6.8565109206524741E-2</v>
      </c>
      <c r="L1767" s="6">
        <f t="shared" si="109"/>
        <v>0.71000000000000008</v>
      </c>
      <c r="M1767" s="6">
        <f t="shared" si="110"/>
        <v>35.216000000000001</v>
      </c>
      <c r="N1767" s="8">
        <f t="shared" si="111"/>
        <v>1.1352794184461608</v>
      </c>
    </row>
    <row r="1768" spans="1:14" x14ac:dyDescent="0.45">
      <c r="A1768" s="12">
        <v>45415</v>
      </c>
      <c r="B1768" s="2" t="s">
        <v>35</v>
      </c>
      <c r="C1768" s="2" t="s">
        <v>28</v>
      </c>
      <c r="D1768" s="2" t="s">
        <v>17</v>
      </c>
      <c r="E1768" s="2" t="s">
        <v>54</v>
      </c>
      <c r="F1768" s="2">
        <v>143541</v>
      </c>
      <c r="G1768" s="2">
        <v>1980</v>
      </c>
      <c r="H1768" s="2">
        <v>2791.8</v>
      </c>
      <c r="I1768" s="2">
        <v>152</v>
      </c>
      <c r="J1768" s="2">
        <v>42063.3</v>
      </c>
      <c r="K1768" s="4">
        <f t="shared" si="108"/>
        <v>1.379396827387297E-2</v>
      </c>
      <c r="L1768" s="6">
        <f t="shared" si="109"/>
        <v>1.4100000000000001</v>
      </c>
      <c r="M1768" s="6">
        <f t="shared" si="110"/>
        <v>18.367105263157896</v>
      </c>
      <c r="N1768" s="8">
        <f t="shared" si="111"/>
        <v>15.066731141199226</v>
      </c>
    </row>
    <row r="1769" spans="1:14" x14ac:dyDescent="0.45">
      <c r="A1769" s="12">
        <v>45372</v>
      </c>
      <c r="B1769" s="2" t="s">
        <v>20</v>
      </c>
      <c r="C1769" s="2" t="s">
        <v>24</v>
      </c>
      <c r="D1769" s="2" t="s">
        <v>21</v>
      </c>
      <c r="E1769" s="2" t="s">
        <v>51</v>
      </c>
      <c r="F1769" s="2">
        <v>5497</v>
      </c>
      <c r="G1769" s="2">
        <v>231</v>
      </c>
      <c r="H1769" s="2">
        <v>318.77999999999997</v>
      </c>
      <c r="I1769" s="2">
        <v>18</v>
      </c>
      <c r="J1769" s="2">
        <v>4467.32</v>
      </c>
      <c r="K1769" s="4">
        <f t="shared" si="108"/>
        <v>4.202292159359651E-2</v>
      </c>
      <c r="L1769" s="6">
        <f t="shared" si="109"/>
        <v>1.38</v>
      </c>
      <c r="M1769" s="6">
        <f t="shared" si="110"/>
        <v>17.709999999999997</v>
      </c>
      <c r="N1769" s="8">
        <f t="shared" si="111"/>
        <v>14.013802622498275</v>
      </c>
    </row>
    <row r="1770" spans="1:14" x14ac:dyDescent="0.45">
      <c r="A1770" s="12">
        <v>45354</v>
      </c>
      <c r="B1770" s="2" t="s">
        <v>35</v>
      </c>
      <c r="C1770" s="2" t="s">
        <v>38</v>
      </c>
      <c r="D1770" s="2" t="s">
        <v>21</v>
      </c>
      <c r="E1770" s="2" t="s">
        <v>22</v>
      </c>
      <c r="F1770" s="2">
        <v>160478</v>
      </c>
      <c r="G1770" s="2">
        <v>4413</v>
      </c>
      <c r="H1770" s="2">
        <v>4501.26</v>
      </c>
      <c r="I1770" s="2">
        <v>82</v>
      </c>
      <c r="J1770" s="2">
        <v>13362.88</v>
      </c>
      <c r="K1770" s="4">
        <f t="shared" si="108"/>
        <v>2.7499096449357545E-2</v>
      </c>
      <c r="L1770" s="6">
        <f t="shared" si="109"/>
        <v>1.02</v>
      </c>
      <c r="M1770" s="6">
        <f t="shared" si="110"/>
        <v>54.893414634146346</v>
      </c>
      <c r="N1770" s="8">
        <f t="shared" si="111"/>
        <v>2.9686976535458958</v>
      </c>
    </row>
    <row r="1771" spans="1:14" x14ac:dyDescent="0.45">
      <c r="A1771" s="12">
        <v>45579</v>
      </c>
      <c r="B1771" s="2" t="s">
        <v>15</v>
      </c>
      <c r="C1771" s="2" t="s">
        <v>24</v>
      </c>
      <c r="D1771" s="2" t="s">
        <v>41</v>
      </c>
      <c r="E1771" s="2" t="s">
        <v>22</v>
      </c>
      <c r="F1771" s="2">
        <v>116011</v>
      </c>
      <c r="G1771" s="2">
        <v>2726</v>
      </c>
      <c r="H1771" s="2">
        <v>5342.96</v>
      </c>
      <c r="I1771" s="2">
        <v>127</v>
      </c>
      <c r="J1771" s="2">
        <v>4188.78</v>
      </c>
      <c r="K1771" s="4">
        <f t="shared" si="108"/>
        <v>2.3497771763022472E-2</v>
      </c>
      <c r="L1771" s="6">
        <f t="shared" si="109"/>
        <v>1.96</v>
      </c>
      <c r="M1771" s="6">
        <f t="shared" si="110"/>
        <v>42.07055118110236</v>
      </c>
      <c r="N1771" s="8">
        <f t="shared" si="111"/>
        <v>0.78398116399898177</v>
      </c>
    </row>
    <row r="1772" spans="1:14" x14ac:dyDescent="0.45">
      <c r="A1772" s="12">
        <v>45552</v>
      </c>
      <c r="B1772" s="2" t="s">
        <v>35</v>
      </c>
      <c r="C1772" s="2" t="s">
        <v>16</v>
      </c>
      <c r="D1772" s="2" t="s">
        <v>21</v>
      </c>
      <c r="E1772" s="2" t="s">
        <v>30</v>
      </c>
      <c r="F1772" s="2">
        <v>166243</v>
      </c>
      <c r="G1772" s="2">
        <v>1895</v>
      </c>
      <c r="H1772" s="2">
        <v>1743.4</v>
      </c>
      <c r="I1772" s="2">
        <v>51</v>
      </c>
      <c r="J1772" s="2">
        <v>5887.21</v>
      </c>
      <c r="K1772" s="4">
        <f t="shared" si="108"/>
        <v>1.139897619749403E-2</v>
      </c>
      <c r="L1772" s="6">
        <f t="shared" si="109"/>
        <v>0.92</v>
      </c>
      <c r="M1772" s="6">
        <f t="shared" si="110"/>
        <v>34.184313725490199</v>
      </c>
      <c r="N1772" s="8">
        <f t="shared" si="111"/>
        <v>3.3768555695766889</v>
      </c>
    </row>
    <row r="1773" spans="1:14" x14ac:dyDescent="0.45">
      <c r="A1773" s="12">
        <v>45307</v>
      </c>
      <c r="B1773" s="2" t="s">
        <v>20</v>
      </c>
      <c r="C1773" s="2" t="s">
        <v>24</v>
      </c>
      <c r="D1773" s="2" t="s">
        <v>41</v>
      </c>
      <c r="E1773" s="2" t="s">
        <v>54</v>
      </c>
      <c r="F1773" s="2">
        <v>62868</v>
      </c>
      <c r="G1773" s="2">
        <v>2715</v>
      </c>
      <c r="H1773" s="2">
        <v>4344</v>
      </c>
      <c r="I1773" s="2">
        <v>180</v>
      </c>
      <c r="J1773" s="2">
        <v>35590.01</v>
      </c>
      <c r="K1773" s="4">
        <f t="shared" si="108"/>
        <v>4.3185722466119486E-2</v>
      </c>
      <c r="L1773" s="6">
        <f t="shared" si="109"/>
        <v>1.6</v>
      </c>
      <c r="M1773" s="6">
        <f t="shared" si="110"/>
        <v>24.133333333333333</v>
      </c>
      <c r="N1773" s="8">
        <f t="shared" si="111"/>
        <v>8.1929120626151022</v>
      </c>
    </row>
    <row r="1774" spans="1:14" x14ac:dyDescent="0.45">
      <c r="A1774" s="12">
        <v>45641</v>
      </c>
      <c r="B1774" s="2" t="s">
        <v>15</v>
      </c>
      <c r="C1774" s="2" t="s">
        <v>24</v>
      </c>
      <c r="D1774" s="2" t="s">
        <v>21</v>
      </c>
      <c r="E1774" s="2" t="s">
        <v>18</v>
      </c>
      <c r="F1774" s="2">
        <v>132953</v>
      </c>
      <c r="G1774" s="2">
        <v>8163</v>
      </c>
      <c r="H1774" s="2">
        <v>22529.88</v>
      </c>
      <c r="I1774" s="2">
        <v>130</v>
      </c>
      <c r="J1774" s="2">
        <v>16572.400000000001</v>
      </c>
      <c r="K1774" s="4">
        <f t="shared" si="108"/>
        <v>6.139763675885463E-2</v>
      </c>
      <c r="L1774" s="6">
        <f t="shared" si="109"/>
        <v>2.7600000000000002</v>
      </c>
      <c r="M1774" s="6">
        <f t="shared" si="110"/>
        <v>173.30676923076925</v>
      </c>
      <c r="N1774" s="8">
        <f t="shared" si="111"/>
        <v>0.73557426848256624</v>
      </c>
    </row>
    <row r="1775" spans="1:14" x14ac:dyDescent="0.45">
      <c r="A1775" s="12">
        <v>45362</v>
      </c>
      <c r="B1775" s="2" t="s">
        <v>35</v>
      </c>
      <c r="C1775" s="2" t="s">
        <v>38</v>
      </c>
      <c r="D1775" s="2" t="s">
        <v>25</v>
      </c>
      <c r="E1775" s="2" t="s">
        <v>18</v>
      </c>
      <c r="F1775" s="2">
        <v>107326</v>
      </c>
      <c r="G1775" s="2">
        <v>2436</v>
      </c>
      <c r="H1775" s="2">
        <v>1875.72</v>
      </c>
      <c r="I1775" s="2">
        <v>84</v>
      </c>
      <c r="J1775" s="2">
        <v>5936.35</v>
      </c>
      <c r="K1775" s="4">
        <f t="shared" si="108"/>
        <v>2.2697202914484842E-2</v>
      </c>
      <c r="L1775" s="6">
        <f t="shared" si="109"/>
        <v>0.77</v>
      </c>
      <c r="M1775" s="6">
        <f t="shared" si="110"/>
        <v>22.330000000000002</v>
      </c>
      <c r="N1775" s="8">
        <f t="shared" si="111"/>
        <v>3.1648380355276911</v>
      </c>
    </row>
    <row r="1776" spans="1:14" x14ac:dyDescent="0.45">
      <c r="A1776" s="12">
        <v>45379</v>
      </c>
      <c r="B1776" s="2" t="s">
        <v>20</v>
      </c>
      <c r="C1776" s="2" t="s">
        <v>16</v>
      </c>
      <c r="D1776" s="2" t="s">
        <v>41</v>
      </c>
      <c r="E1776" s="2" t="s">
        <v>54</v>
      </c>
      <c r="F1776" s="2">
        <v>24854</v>
      </c>
      <c r="G1776" s="2">
        <v>1106</v>
      </c>
      <c r="H1776" s="2">
        <v>1260.8399999999999</v>
      </c>
      <c r="I1776" s="2">
        <v>38</v>
      </c>
      <c r="J1776" s="2">
        <v>8735.32</v>
      </c>
      <c r="K1776" s="4">
        <f t="shared" si="108"/>
        <v>4.4499879295083283E-2</v>
      </c>
      <c r="L1776" s="6">
        <f t="shared" si="109"/>
        <v>1.1399999999999999</v>
      </c>
      <c r="M1776" s="6">
        <f t="shared" si="110"/>
        <v>33.18</v>
      </c>
      <c r="N1776" s="8">
        <f t="shared" si="111"/>
        <v>6.928174867548619</v>
      </c>
    </row>
    <row r="1777" spans="1:14" x14ac:dyDescent="0.45">
      <c r="A1777" s="12">
        <v>45387</v>
      </c>
      <c r="B1777" s="2" t="s">
        <v>15</v>
      </c>
      <c r="C1777" s="2" t="s">
        <v>38</v>
      </c>
      <c r="D1777" s="2" t="s">
        <v>25</v>
      </c>
      <c r="E1777" s="2" t="s">
        <v>51</v>
      </c>
      <c r="F1777" s="2">
        <v>175949</v>
      </c>
      <c r="G1777" s="2">
        <v>7108</v>
      </c>
      <c r="H1777" s="2">
        <v>17343.52</v>
      </c>
      <c r="I1777" s="2">
        <v>75</v>
      </c>
      <c r="J1777" s="2">
        <v>22062.99</v>
      </c>
      <c r="K1777" s="4">
        <f t="shared" si="108"/>
        <v>4.0398069895253741E-2</v>
      </c>
      <c r="L1777" s="6">
        <f t="shared" si="109"/>
        <v>2.44</v>
      </c>
      <c r="M1777" s="6">
        <f t="shared" si="110"/>
        <v>231.24693333333335</v>
      </c>
      <c r="N1777" s="8">
        <f t="shared" si="111"/>
        <v>1.2721171942027916</v>
      </c>
    </row>
    <row r="1778" spans="1:14" x14ac:dyDescent="0.45">
      <c r="A1778" s="12">
        <v>45653</v>
      </c>
      <c r="B1778" s="2" t="s">
        <v>20</v>
      </c>
      <c r="C1778" s="2" t="s">
        <v>28</v>
      </c>
      <c r="D1778" s="2" t="s">
        <v>21</v>
      </c>
      <c r="E1778" s="2" t="s">
        <v>26</v>
      </c>
      <c r="F1778" s="2">
        <v>131956</v>
      </c>
      <c r="G1778" s="2">
        <v>7772</v>
      </c>
      <c r="H1778" s="2">
        <v>2253.88</v>
      </c>
      <c r="I1778" s="2">
        <v>211</v>
      </c>
      <c r="J1778" s="2">
        <v>23120.58</v>
      </c>
      <c r="K1778" s="4">
        <f t="shared" si="108"/>
        <v>5.8898420685683107E-2</v>
      </c>
      <c r="L1778" s="6">
        <f t="shared" si="109"/>
        <v>0.29000000000000004</v>
      </c>
      <c r="M1778" s="6">
        <f t="shared" si="110"/>
        <v>10.681895734597157</v>
      </c>
      <c r="N1778" s="8">
        <f t="shared" si="111"/>
        <v>10.258123768789821</v>
      </c>
    </row>
    <row r="1779" spans="1:14" x14ac:dyDescent="0.45">
      <c r="A1779" s="12">
        <v>45607</v>
      </c>
      <c r="B1779" s="2" t="s">
        <v>15</v>
      </c>
      <c r="C1779" s="2" t="s">
        <v>24</v>
      </c>
      <c r="D1779" s="2" t="s">
        <v>25</v>
      </c>
      <c r="E1779" s="2" t="s">
        <v>18</v>
      </c>
      <c r="F1779" s="2">
        <v>90096</v>
      </c>
      <c r="G1779" s="2">
        <v>4784</v>
      </c>
      <c r="H1779" s="2">
        <v>15165.28</v>
      </c>
      <c r="I1779" s="2">
        <v>310</v>
      </c>
      <c r="J1779" s="2">
        <v>81015.37</v>
      </c>
      <c r="K1779" s="4">
        <f t="shared" si="108"/>
        <v>5.3098916711063752E-2</v>
      </c>
      <c r="L1779" s="6">
        <f t="shared" si="109"/>
        <v>3.17</v>
      </c>
      <c r="M1779" s="6">
        <f t="shared" si="110"/>
        <v>48.920258064516133</v>
      </c>
      <c r="N1779" s="8">
        <f t="shared" si="111"/>
        <v>5.342161173417173</v>
      </c>
    </row>
    <row r="1780" spans="1:14" x14ac:dyDescent="0.45">
      <c r="A1780" s="12">
        <v>45335</v>
      </c>
      <c r="B1780" s="2" t="s">
        <v>15</v>
      </c>
      <c r="C1780" s="2" t="s">
        <v>24</v>
      </c>
      <c r="D1780" s="2" t="s">
        <v>41</v>
      </c>
      <c r="E1780" s="2" t="s">
        <v>22</v>
      </c>
      <c r="F1780" s="2">
        <v>48766</v>
      </c>
      <c r="G1780" s="2">
        <v>1731</v>
      </c>
      <c r="H1780" s="2">
        <v>1800.24</v>
      </c>
      <c r="I1780" s="2">
        <v>44</v>
      </c>
      <c r="J1780" s="2">
        <v>12477.84</v>
      </c>
      <c r="K1780" s="4">
        <f t="shared" si="108"/>
        <v>3.5496042324570397E-2</v>
      </c>
      <c r="L1780" s="6">
        <f t="shared" si="109"/>
        <v>1.04</v>
      </c>
      <c r="M1780" s="6">
        <f t="shared" si="110"/>
        <v>40.914545454545454</v>
      </c>
      <c r="N1780" s="8">
        <f t="shared" si="111"/>
        <v>6.9312091721103855</v>
      </c>
    </row>
    <row r="1781" spans="1:14" x14ac:dyDescent="0.45">
      <c r="A1781" s="12">
        <v>45406</v>
      </c>
      <c r="B1781" s="2" t="s">
        <v>35</v>
      </c>
      <c r="C1781" s="2" t="s">
        <v>38</v>
      </c>
      <c r="D1781" s="2" t="s">
        <v>17</v>
      </c>
      <c r="E1781" s="2" t="s">
        <v>26</v>
      </c>
      <c r="F1781" s="2">
        <v>68989</v>
      </c>
      <c r="G1781" s="2">
        <v>2952</v>
      </c>
      <c r="H1781" s="2">
        <v>5284.08</v>
      </c>
      <c r="I1781" s="2">
        <v>169</v>
      </c>
      <c r="J1781" s="2">
        <v>14776.11</v>
      </c>
      <c r="K1781" s="4">
        <f t="shared" si="108"/>
        <v>4.2789430199017237E-2</v>
      </c>
      <c r="L1781" s="6">
        <f t="shared" si="109"/>
        <v>1.79</v>
      </c>
      <c r="M1781" s="6">
        <f t="shared" si="110"/>
        <v>31.266745562130176</v>
      </c>
      <c r="N1781" s="8">
        <f t="shared" si="111"/>
        <v>2.79634486987328</v>
      </c>
    </row>
    <row r="1782" spans="1:14" x14ac:dyDescent="0.45">
      <c r="A1782" s="12">
        <v>45578</v>
      </c>
      <c r="B1782" s="2" t="s">
        <v>15</v>
      </c>
      <c r="C1782" s="2" t="s">
        <v>16</v>
      </c>
      <c r="D1782" s="2" t="s">
        <v>41</v>
      </c>
      <c r="E1782" s="2" t="s">
        <v>51</v>
      </c>
      <c r="F1782" s="2">
        <v>197557</v>
      </c>
      <c r="G1782" s="2">
        <v>4326</v>
      </c>
      <c r="H1782" s="2">
        <v>5104.68</v>
      </c>
      <c r="I1782" s="2">
        <v>259</v>
      </c>
      <c r="J1782" s="2">
        <v>39016.050000000003</v>
      </c>
      <c r="K1782" s="4">
        <f t="shared" si="108"/>
        <v>2.1897477689983146E-2</v>
      </c>
      <c r="L1782" s="6">
        <f t="shared" si="109"/>
        <v>1.1800000000000002</v>
      </c>
      <c r="M1782" s="6">
        <f t="shared" si="110"/>
        <v>19.709189189189189</v>
      </c>
      <c r="N1782" s="8">
        <f t="shared" si="111"/>
        <v>7.6431921295752137</v>
      </c>
    </row>
    <row r="1783" spans="1:14" x14ac:dyDescent="0.45">
      <c r="A1783" s="12">
        <v>45426</v>
      </c>
      <c r="B1783" s="2" t="s">
        <v>15</v>
      </c>
      <c r="C1783" s="2" t="s">
        <v>24</v>
      </c>
      <c r="D1783" s="2" t="s">
        <v>41</v>
      </c>
      <c r="E1783" s="2" t="s">
        <v>33</v>
      </c>
      <c r="F1783" s="2">
        <v>96178</v>
      </c>
      <c r="G1783" s="2">
        <v>4328</v>
      </c>
      <c r="H1783" s="2">
        <v>14542.08</v>
      </c>
      <c r="I1783" s="2">
        <v>275</v>
      </c>
      <c r="J1783" s="2">
        <v>37193.1</v>
      </c>
      <c r="K1783" s="4">
        <f t="shared" si="108"/>
        <v>4.4999896026118237E-2</v>
      </c>
      <c r="L1783" s="6">
        <f t="shared" si="109"/>
        <v>3.36</v>
      </c>
      <c r="M1783" s="6">
        <f t="shared" si="110"/>
        <v>52.88029090909091</v>
      </c>
      <c r="N1783" s="8">
        <f t="shared" si="111"/>
        <v>2.5576189926062844</v>
      </c>
    </row>
    <row r="1784" spans="1:14" x14ac:dyDescent="0.45">
      <c r="A1784" s="12">
        <v>45545</v>
      </c>
      <c r="B1784" s="2" t="s">
        <v>20</v>
      </c>
      <c r="C1784" s="2" t="s">
        <v>28</v>
      </c>
      <c r="D1784" s="2" t="s">
        <v>25</v>
      </c>
      <c r="E1784" s="2" t="s">
        <v>51</v>
      </c>
      <c r="F1784" s="2">
        <v>144940</v>
      </c>
      <c r="G1784" s="2">
        <v>5333</v>
      </c>
      <c r="H1784" s="2">
        <v>6986.23</v>
      </c>
      <c r="I1784" s="2">
        <v>148</v>
      </c>
      <c r="J1784" s="2">
        <v>32610.09</v>
      </c>
      <c r="K1784" s="4">
        <f t="shared" si="108"/>
        <v>3.6794535669932384E-2</v>
      </c>
      <c r="L1784" s="6">
        <f t="shared" si="109"/>
        <v>1.3099999999999998</v>
      </c>
      <c r="M1784" s="6">
        <f t="shared" si="110"/>
        <v>47.204256756756756</v>
      </c>
      <c r="N1784" s="8">
        <f t="shared" si="111"/>
        <v>4.6677664491435298</v>
      </c>
    </row>
    <row r="1785" spans="1:14" x14ac:dyDescent="0.45">
      <c r="A1785" s="12">
        <v>45394</v>
      </c>
      <c r="B1785" s="2" t="s">
        <v>20</v>
      </c>
      <c r="C1785" s="2" t="s">
        <v>28</v>
      </c>
      <c r="D1785" s="2" t="s">
        <v>29</v>
      </c>
      <c r="E1785" s="2" t="s">
        <v>18</v>
      </c>
      <c r="F1785" s="2">
        <v>152322</v>
      </c>
      <c r="G1785" s="2">
        <v>13678</v>
      </c>
      <c r="H1785" s="2">
        <v>5607.98</v>
      </c>
      <c r="I1785" s="2">
        <v>813</v>
      </c>
      <c r="J1785" s="2">
        <v>103237.84</v>
      </c>
      <c r="K1785" s="4">
        <f t="shared" si="108"/>
        <v>8.9796615065453445E-2</v>
      </c>
      <c r="L1785" s="6">
        <f t="shared" si="109"/>
        <v>0.41</v>
      </c>
      <c r="M1785" s="6">
        <f t="shared" si="110"/>
        <v>6.8978843788437878</v>
      </c>
      <c r="N1785" s="8">
        <f t="shared" si="111"/>
        <v>18.40909561018406</v>
      </c>
    </row>
    <row r="1786" spans="1:14" x14ac:dyDescent="0.45">
      <c r="A1786" s="12">
        <v>45526</v>
      </c>
      <c r="B1786" s="2" t="s">
        <v>15</v>
      </c>
      <c r="C1786" s="2" t="s">
        <v>38</v>
      </c>
      <c r="D1786" s="2" t="s">
        <v>21</v>
      </c>
      <c r="E1786" s="2" t="s">
        <v>54</v>
      </c>
      <c r="F1786" s="2">
        <v>89124</v>
      </c>
      <c r="G1786" s="2">
        <v>2664</v>
      </c>
      <c r="H1786" s="2">
        <v>3303.36</v>
      </c>
      <c r="I1786" s="2">
        <v>198</v>
      </c>
      <c r="J1786" s="2">
        <v>52262.98</v>
      </c>
      <c r="K1786" s="4">
        <f t="shared" si="108"/>
        <v>2.9890938467752794E-2</v>
      </c>
      <c r="L1786" s="6">
        <f t="shared" si="109"/>
        <v>1.24</v>
      </c>
      <c r="M1786" s="6">
        <f t="shared" si="110"/>
        <v>16.683636363636364</v>
      </c>
      <c r="N1786" s="8">
        <f t="shared" si="111"/>
        <v>15.821157851399787</v>
      </c>
    </row>
    <row r="1787" spans="1:14" x14ac:dyDescent="0.45">
      <c r="A1787" s="12">
        <v>45639</v>
      </c>
      <c r="B1787" s="2" t="s">
        <v>15</v>
      </c>
      <c r="C1787" s="2" t="s">
        <v>24</v>
      </c>
      <c r="D1787" s="2" t="s">
        <v>17</v>
      </c>
      <c r="E1787" s="2" t="s">
        <v>51</v>
      </c>
      <c r="F1787" s="2">
        <v>126404</v>
      </c>
      <c r="G1787" s="2">
        <v>2073</v>
      </c>
      <c r="H1787" s="2">
        <v>1907.16</v>
      </c>
      <c r="I1787" s="2">
        <v>24</v>
      </c>
      <c r="J1787" s="2">
        <v>3807.61</v>
      </c>
      <c r="K1787" s="4">
        <f t="shared" si="108"/>
        <v>1.6399797474763458E-2</v>
      </c>
      <c r="L1787" s="6">
        <f t="shared" si="109"/>
        <v>0.92</v>
      </c>
      <c r="M1787" s="6">
        <f t="shared" si="110"/>
        <v>79.465000000000003</v>
      </c>
      <c r="N1787" s="8">
        <f t="shared" si="111"/>
        <v>1.9964816795654272</v>
      </c>
    </row>
    <row r="1788" spans="1:14" x14ac:dyDescent="0.45">
      <c r="A1788" s="12">
        <v>45616</v>
      </c>
      <c r="B1788" s="2" t="s">
        <v>35</v>
      </c>
      <c r="C1788" s="2" t="s">
        <v>16</v>
      </c>
      <c r="D1788" s="2" t="s">
        <v>25</v>
      </c>
      <c r="E1788" s="2" t="s">
        <v>33</v>
      </c>
      <c r="F1788" s="2">
        <v>84654</v>
      </c>
      <c r="G1788" s="2">
        <v>2937</v>
      </c>
      <c r="H1788" s="2">
        <v>5404.08</v>
      </c>
      <c r="I1788" s="2">
        <v>104</v>
      </c>
      <c r="J1788" s="2">
        <v>30747.279999999999</v>
      </c>
      <c r="K1788" s="4">
        <f t="shared" si="108"/>
        <v>3.469416684385853E-2</v>
      </c>
      <c r="L1788" s="6">
        <f t="shared" si="109"/>
        <v>1.84</v>
      </c>
      <c r="M1788" s="6">
        <f t="shared" si="110"/>
        <v>51.962307692307689</v>
      </c>
      <c r="N1788" s="8">
        <f t="shared" si="111"/>
        <v>5.6896419001939273</v>
      </c>
    </row>
    <row r="1789" spans="1:14" x14ac:dyDescent="0.45">
      <c r="A1789" s="12">
        <v>45463</v>
      </c>
      <c r="B1789" s="2" t="s">
        <v>35</v>
      </c>
      <c r="C1789" s="2" t="s">
        <v>24</v>
      </c>
      <c r="D1789" s="2" t="s">
        <v>21</v>
      </c>
      <c r="E1789" s="2" t="s">
        <v>30</v>
      </c>
      <c r="F1789" s="2">
        <v>95987</v>
      </c>
      <c r="G1789" s="2">
        <v>1919</v>
      </c>
      <c r="H1789" s="2">
        <v>3281.49</v>
      </c>
      <c r="I1789" s="2">
        <v>124</v>
      </c>
      <c r="J1789" s="2">
        <v>28533.79</v>
      </c>
      <c r="K1789" s="4">
        <f t="shared" si="108"/>
        <v>1.999229062268849E-2</v>
      </c>
      <c r="L1789" s="6">
        <f t="shared" si="109"/>
        <v>1.71</v>
      </c>
      <c r="M1789" s="6">
        <f t="shared" si="110"/>
        <v>26.463629032258062</v>
      </c>
      <c r="N1789" s="8">
        <f t="shared" si="111"/>
        <v>8.695376185818029</v>
      </c>
    </row>
    <row r="1790" spans="1:14" x14ac:dyDescent="0.45">
      <c r="A1790" s="12">
        <v>45444</v>
      </c>
      <c r="B1790" s="2" t="s">
        <v>15</v>
      </c>
      <c r="C1790" s="2" t="s">
        <v>28</v>
      </c>
      <c r="D1790" s="2" t="s">
        <v>29</v>
      </c>
      <c r="E1790" s="2" t="s">
        <v>18</v>
      </c>
      <c r="F1790" s="2">
        <v>154088</v>
      </c>
      <c r="G1790" s="2">
        <v>9106</v>
      </c>
      <c r="H1790" s="2">
        <v>29503.439999999999</v>
      </c>
      <c r="I1790" s="2">
        <v>294</v>
      </c>
      <c r="J1790" s="2">
        <v>42565.78</v>
      </c>
      <c r="K1790" s="4">
        <f t="shared" si="108"/>
        <v>5.9096100929339077E-2</v>
      </c>
      <c r="L1790" s="6">
        <f t="shared" si="109"/>
        <v>3.2399999999999998</v>
      </c>
      <c r="M1790" s="6">
        <f t="shared" si="110"/>
        <v>100.35183673469388</v>
      </c>
      <c r="N1790" s="8">
        <f t="shared" si="111"/>
        <v>1.4427395585057201</v>
      </c>
    </row>
    <row r="1791" spans="1:14" x14ac:dyDescent="0.45">
      <c r="A1791" s="12">
        <v>45351</v>
      </c>
      <c r="B1791" s="2" t="s">
        <v>20</v>
      </c>
      <c r="C1791" s="2" t="s">
        <v>16</v>
      </c>
      <c r="D1791" s="2" t="s">
        <v>21</v>
      </c>
      <c r="E1791" s="2" t="s">
        <v>54</v>
      </c>
      <c r="F1791" s="2">
        <v>71883</v>
      </c>
      <c r="G1791" s="2">
        <v>2077</v>
      </c>
      <c r="H1791" s="2">
        <v>3551.67</v>
      </c>
      <c r="I1791" s="2">
        <v>87</v>
      </c>
      <c r="J1791" s="2">
        <v>12811.32</v>
      </c>
      <c r="K1791" s="4">
        <f t="shared" si="108"/>
        <v>2.8894175257014872E-2</v>
      </c>
      <c r="L1791" s="6">
        <f t="shared" si="109"/>
        <v>1.71</v>
      </c>
      <c r="M1791" s="6">
        <f t="shared" si="110"/>
        <v>40.823793103448274</v>
      </c>
      <c r="N1791" s="8">
        <f t="shared" si="111"/>
        <v>3.6071256620125181</v>
      </c>
    </row>
    <row r="1792" spans="1:14" x14ac:dyDescent="0.45">
      <c r="A1792" s="12">
        <v>45495</v>
      </c>
      <c r="B1792" s="2" t="s">
        <v>35</v>
      </c>
      <c r="C1792" s="2" t="s">
        <v>28</v>
      </c>
      <c r="D1792" s="2" t="s">
        <v>41</v>
      </c>
      <c r="E1792" s="2" t="s">
        <v>18</v>
      </c>
      <c r="F1792" s="2">
        <v>133716</v>
      </c>
      <c r="G1792" s="2">
        <v>1617</v>
      </c>
      <c r="H1792" s="2">
        <v>1374.45</v>
      </c>
      <c r="I1792" s="2">
        <v>48</v>
      </c>
      <c r="J1792" s="2">
        <v>3570.09</v>
      </c>
      <c r="K1792" s="4">
        <f t="shared" si="108"/>
        <v>1.209279368213228E-2</v>
      </c>
      <c r="L1792" s="6">
        <f t="shared" si="109"/>
        <v>0.85</v>
      </c>
      <c r="M1792" s="6">
        <f t="shared" si="110"/>
        <v>28.634375000000002</v>
      </c>
      <c r="N1792" s="8">
        <f t="shared" si="111"/>
        <v>2.5974680781403472</v>
      </c>
    </row>
    <row r="1793" spans="1:14" x14ac:dyDescent="0.45">
      <c r="A1793" s="12">
        <v>45652</v>
      </c>
      <c r="B1793" s="2" t="s">
        <v>20</v>
      </c>
      <c r="C1793" s="2" t="s">
        <v>38</v>
      </c>
      <c r="D1793" s="2" t="s">
        <v>17</v>
      </c>
      <c r="E1793" s="2" t="s">
        <v>30</v>
      </c>
      <c r="F1793" s="2">
        <v>43319</v>
      </c>
      <c r="G1793" s="2">
        <v>2534</v>
      </c>
      <c r="H1793" s="2">
        <v>4206.4399999999996</v>
      </c>
      <c r="I1793" s="2">
        <v>111</v>
      </c>
      <c r="J1793" s="2">
        <v>10456.870000000001</v>
      </c>
      <c r="K1793" s="4">
        <f t="shared" si="108"/>
        <v>5.8496271843763707E-2</v>
      </c>
      <c r="L1793" s="6">
        <f t="shared" si="109"/>
        <v>1.66</v>
      </c>
      <c r="M1793" s="6">
        <f t="shared" si="110"/>
        <v>37.895855855855849</v>
      </c>
      <c r="N1793" s="8">
        <f t="shared" si="111"/>
        <v>2.4859192095929101</v>
      </c>
    </row>
    <row r="1794" spans="1:14" x14ac:dyDescent="0.45">
      <c r="A1794" s="12">
        <v>45538</v>
      </c>
      <c r="B1794" s="2" t="s">
        <v>15</v>
      </c>
      <c r="C1794" s="2" t="s">
        <v>16</v>
      </c>
      <c r="D1794" s="2" t="s">
        <v>41</v>
      </c>
      <c r="E1794" s="2" t="s">
        <v>51</v>
      </c>
      <c r="F1794" s="2">
        <v>144911</v>
      </c>
      <c r="G1794" s="2">
        <v>7897</v>
      </c>
      <c r="H1794" s="2">
        <v>12872.11</v>
      </c>
      <c r="I1794" s="2">
        <v>555</v>
      </c>
      <c r="J1794" s="2">
        <v>21004.5</v>
      </c>
      <c r="K1794" s="4">
        <f t="shared" si="108"/>
        <v>5.4495517938596791E-2</v>
      </c>
      <c r="L1794" s="6">
        <f t="shared" si="109"/>
        <v>1.6300000000000001</v>
      </c>
      <c r="M1794" s="6">
        <f t="shared" si="110"/>
        <v>23.192990990990992</v>
      </c>
      <c r="N1794" s="8">
        <f t="shared" si="111"/>
        <v>1.6317837557323547</v>
      </c>
    </row>
    <row r="1795" spans="1:14" x14ac:dyDescent="0.45">
      <c r="A1795" s="12">
        <v>45587</v>
      </c>
      <c r="B1795" s="2" t="s">
        <v>15</v>
      </c>
      <c r="C1795" s="2" t="s">
        <v>16</v>
      </c>
      <c r="D1795" s="2" t="s">
        <v>17</v>
      </c>
      <c r="E1795" s="2" t="s">
        <v>18</v>
      </c>
      <c r="F1795" s="2">
        <v>180634</v>
      </c>
      <c r="G1795" s="2">
        <v>7821</v>
      </c>
      <c r="H1795" s="2">
        <v>17284.41</v>
      </c>
      <c r="I1795" s="2">
        <v>581</v>
      </c>
      <c r="J1795" s="2">
        <v>136556.31</v>
      </c>
      <c r="K1795" s="4">
        <f t="shared" ref="K1795:K1801" si="112" xml:space="preserve"> G1795 / F1795</f>
        <v>4.3297496595325356E-2</v>
      </c>
      <c r="L1795" s="6">
        <f t="shared" ref="L1795:L1801" si="113">H1795/G1795</f>
        <v>2.21</v>
      </c>
      <c r="M1795" s="6">
        <f t="shared" ref="M1795:M1801" si="114">H1795/I1795</f>
        <v>29.749414802065406</v>
      </c>
      <c r="N1795" s="8">
        <f t="shared" ref="N1795:N1801" si="115">J1795/H1795</f>
        <v>7.9005479504362599</v>
      </c>
    </row>
    <row r="1796" spans="1:14" x14ac:dyDescent="0.45">
      <c r="A1796" s="12">
        <v>45325</v>
      </c>
      <c r="B1796" s="2" t="s">
        <v>35</v>
      </c>
      <c r="C1796" s="2" t="s">
        <v>38</v>
      </c>
      <c r="D1796" s="2" t="s">
        <v>21</v>
      </c>
      <c r="E1796" s="2" t="s">
        <v>54</v>
      </c>
      <c r="F1796" s="2">
        <v>76095</v>
      </c>
      <c r="G1796" s="2">
        <v>2031</v>
      </c>
      <c r="H1796" s="2">
        <v>3026.19</v>
      </c>
      <c r="I1796" s="2">
        <v>135</v>
      </c>
      <c r="J1796" s="2">
        <v>33172.870000000003</v>
      </c>
      <c r="K1796" s="4">
        <f t="shared" si="112"/>
        <v>2.6690321308890205E-2</v>
      </c>
      <c r="L1796" s="6">
        <f t="shared" si="113"/>
        <v>1.49</v>
      </c>
      <c r="M1796" s="6">
        <f t="shared" si="114"/>
        <v>22.416222222222224</v>
      </c>
      <c r="N1796" s="8">
        <f t="shared" si="115"/>
        <v>10.961925721782176</v>
      </c>
    </row>
    <row r="1797" spans="1:14" x14ac:dyDescent="0.45">
      <c r="A1797" s="12">
        <v>45484</v>
      </c>
      <c r="B1797" s="2" t="s">
        <v>20</v>
      </c>
      <c r="C1797" s="2" t="s">
        <v>24</v>
      </c>
      <c r="D1797" s="2" t="s">
        <v>41</v>
      </c>
      <c r="E1797" s="2" t="s">
        <v>30</v>
      </c>
      <c r="F1797" s="2">
        <v>180128</v>
      </c>
      <c r="G1797" s="2">
        <v>10555</v>
      </c>
      <c r="H1797" s="2">
        <v>8866.2000000000007</v>
      </c>
      <c r="I1797" s="2">
        <v>707</v>
      </c>
      <c r="J1797" s="2">
        <v>200566.9</v>
      </c>
      <c r="K1797" s="4">
        <f t="shared" si="112"/>
        <v>5.8597219754841001E-2</v>
      </c>
      <c r="L1797" s="6">
        <f t="shared" si="113"/>
        <v>0.84000000000000008</v>
      </c>
      <c r="M1797" s="6">
        <f t="shared" si="114"/>
        <v>12.540594059405942</v>
      </c>
      <c r="N1797" s="8">
        <f t="shared" si="115"/>
        <v>22.621517673862531</v>
      </c>
    </row>
    <row r="1798" spans="1:14" x14ac:dyDescent="0.45">
      <c r="A1798" s="12">
        <v>45466</v>
      </c>
      <c r="B1798" s="2" t="s">
        <v>35</v>
      </c>
      <c r="C1798" s="2" t="s">
        <v>38</v>
      </c>
      <c r="D1798" s="2" t="s">
        <v>21</v>
      </c>
      <c r="E1798" s="2" t="s">
        <v>54</v>
      </c>
      <c r="F1798" s="2">
        <v>169849</v>
      </c>
      <c r="G1798" s="2">
        <v>5927</v>
      </c>
      <c r="H1798" s="2">
        <v>5571.38</v>
      </c>
      <c r="I1798" s="2">
        <v>437</v>
      </c>
      <c r="J1798" s="2">
        <v>105321.92</v>
      </c>
      <c r="K1798" s="4">
        <f t="shared" si="112"/>
        <v>3.4895701476016935E-2</v>
      </c>
      <c r="L1798" s="6">
        <f t="shared" si="113"/>
        <v>0.94000000000000006</v>
      </c>
      <c r="M1798" s="6">
        <f t="shared" si="114"/>
        <v>12.749153318077804</v>
      </c>
      <c r="N1798" s="8">
        <f t="shared" si="115"/>
        <v>18.904099163941428</v>
      </c>
    </row>
    <row r="1799" spans="1:14" x14ac:dyDescent="0.45">
      <c r="A1799" s="12">
        <v>45352</v>
      </c>
      <c r="B1799" s="2" t="s">
        <v>35</v>
      </c>
      <c r="C1799" s="2" t="s">
        <v>24</v>
      </c>
      <c r="D1799" s="2" t="s">
        <v>17</v>
      </c>
      <c r="E1799" s="2" t="s">
        <v>54</v>
      </c>
      <c r="F1799" s="2">
        <v>122974</v>
      </c>
      <c r="G1799" s="2">
        <v>2939</v>
      </c>
      <c r="H1799" s="2">
        <v>5437.15</v>
      </c>
      <c r="I1799" s="2">
        <v>91</v>
      </c>
      <c r="J1799" s="2">
        <v>26004.98</v>
      </c>
      <c r="K1799" s="4">
        <f t="shared" si="112"/>
        <v>2.389936084050287E-2</v>
      </c>
      <c r="L1799" s="6">
        <f t="shared" si="113"/>
        <v>1.8499999999999999</v>
      </c>
      <c r="M1799" s="6">
        <f t="shared" si="114"/>
        <v>59.748901098901094</v>
      </c>
      <c r="N1799" s="8">
        <f t="shared" si="115"/>
        <v>4.7828329179809277</v>
      </c>
    </row>
    <row r="1800" spans="1:14" x14ac:dyDescent="0.45">
      <c r="A1800" s="12">
        <v>45506</v>
      </c>
      <c r="B1800" s="2" t="s">
        <v>15</v>
      </c>
      <c r="C1800" s="2" t="s">
        <v>16</v>
      </c>
      <c r="D1800" s="2" t="s">
        <v>41</v>
      </c>
      <c r="E1800" s="2" t="s">
        <v>26</v>
      </c>
      <c r="F1800" s="2">
        <v>28553</v>
      </c>
      <c r="G1800" s="2">
        <v>850</v>
      </c>
      <c r="H1800" s="2">
        <v>1751</v>
      </c>
      <c r="I1800" s="2">
        <v>51</v>
      </c>
      <c r="J1800" s="2">
        <v>13010.72</v>
      </c>
      <c r="K1800" s="4">
        <f t="shared" si="112"/>
        <v>2.9769201134731901E-2</v>
      </c>
      <c r="L1800" s="6">
        <f t="shared" si="113"/>
        <v>2.06</v>
      </c>
      <c r="M1800" s="6">
        <f t="shared" si="114"/>
        <v>34.333333333333336</v>
      </c>
      <c r="N1800" s="8">
        <f t="shared" si="115"/>
        <v>7.4304511707595653</v>
      </c>
    </row>
    <row r="1801" spans="1:14" x14ac:dyDescent="0.45">
      <c r="A1801" s="12">
        <v>45320</v>
      </c>
      <c r="B1801" s="2" t="s">
        <v>35</v>
      </c>
      <c r="C1801" s="2" t="s">
        <v>38</v>
      </c>
      <c r="D1801" s="2" t="s">
        <v>21</v>
      </c>
      <c r="E1801" s="2" t="s">
        <v>22</v>
      </c>
      <c r="F1801" s="2">
        <v>77447</v>
      </c>
      <c r="G1801" s="2">
        <v>906</v>
      </c>
      <c r="H1801" s="2">
        <v>1041.9000000000001</v>
      </c>
      <c r="I1801" s="2">
        <v>29</v>
      </c>
      <c r="J1801" s="2">
        <v>8284.1299999999992</v>
      </c>
      <c r="K1801" s="4">
        <f t="shared" si="112"/>
        <v>1.169832272392733E-2</v>
      </c>
      <c r="L1801" s="6">
        <f t="shared" si="113"/>
        <v>1.1500000000000001</v>
      </c>
      <c r="M1801" s="6">
        <f t="shared" si="114"/>
        <v>35.927586206896557</v>
      </c>
      <c r="N1801" s="8">
        <f t="shared" si="115"/>
        <v>7.9509837796333604</v>
      </c>
    </row>
  </sheetData>
  <autoFilter ref="A1:J1801" xr:uid="{00000000-0009-0000-0000-000000000000}"/>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6E98-521C-4100-8EDA-A172DD03392F}">
  <dimension ref="A1:O201"/>
  <sheetViews>
    <sheetView topLeftCell="A189" workbookViewId="0">
      <selection activeCell="C201" sqref="C201"/>
    </sheetView>
  </sheetViews>
  <sheetFormatPr defaultRowHeight="14.25" x14ac:dyDescent="0.45"/>
  <cols>
    <col min="1" max="1" width="9.86328125" bestFit="1" customWidth="1"/>
    <col min="2" max="2" width="14.265625" bestFit="1" customWidth="1"/>
    <col min="3" max="3" width="13.19921875" bestFit="1" customWidth="1"/>
    <col min="4" max="4" width="16.33203125" bestFit="1" customWidth="1"/>
    <col min="5" max="5" width="16.3984375" bestFit="1" customWidth="1"/>
    <col min="6" max="6" width="11.265625" bestFit="1" customWidth="1"/>
    <col min="7" max="7" width="10.73046875" bestFit="1" customWidth="1"/>
    <col min="8" max="8" width="12.796875" bestFit="1" customWidth="1"/>
    <col min="10" max="10" width="9.86328125" bestFit="1" customWidth="1"/>
    <col min="11" max="11" width="14" bestFit="1" customWidth="1"/>
    <col min="13" max="13" width="9.86328125" bestFit="1" customWidth="1"/>
    <col min="14" max="14" width="9" bestFit="1" customWidth="1"/>
    <col min="15" max="15" width="14" bestFit="1" customWidth="1"/>
  </cols>
  <sheetData>
    <row r="1" spans="1:15" x14ac:dyDescent="0.45">
      <c r="A1" s="52" t="s">
        <v>395</v>
      </c>
      <c r="B1" s="52"/>
      <c r="D1" s="52" t="s">
        <v>402</v>
      </c>
      <c r="E1" s="52"/>
      <c r="G1" s="52" t="s">
        <v>410</v>
      </c>
      <c r="H1" s="52"/>
      <c r="J1" s="52" t="s">
        <v>415</v>
      </c>
      <c r="K1" s="52"/>
      <c r="M1" s="52" t="s">
        <v>429</v>
      </c>
      <c r="N1" s="52"/>
      <c r="O1" s="13"/>
    </row>
    <row r="2" spans="1:15" x14ac:dyDescent="0.45">
      <c r="A2" s="9" t="s">
        <v>405</v>
      </c>
      <c r="B2" t="s">
        <v>394</v>
      </c>
      <c r="D2" s="9" t="s">
        <v>406</v>
      </c>
      <c r="E2" t="s">
        <v>394</v>
      </c>
      <c r="G2" s="9" t="s">
        <v>409</v>
      </c>
      <c r="H2" t="s">
        <v>397</v>
      </c>
      <c r="J2" s="9" t="s">
        <v>431</v>
      </c>
      <c r="K2" s="6" t="s">
        <v>398</v>
      </c>
      <c r="M2" s="9" t="s">
        <v>431</v>
      </c>
      <c r="N2" s="6" t="s">
        <v>401</v>
      </c>
    </row>
    <row r="3" spans="1:15" x14ac:dyDescent="0.45">
      <c r="A3" s="10" t="s">
        <v>20</v>
      </c>
      <c r="B3" s="8">
        <v>9.5385635819020678</v>
      </c>
      <c r="D3" s="10" t="s">
        <v>18</v>
      </c>
      <c r="E3" s="8">
        <v>6.961854447037144</v>
      </c>
      <c r="G3" s="10" t="s">
        <v>41</v>
      </c>
      <c r="H3" s="6">
        <v>45.043659996252153</v>
      </c>
      <c r="J3" s="10" t="s">
        <v>416</v>
      </c>
      <c r="K3" s="6">
        <v>901735.06000000052</v>
      </c>
      <c r="M3" s="10" t="s">
        <v>416</v>
      </c>
      <c r="N3" s="6">
        <v>4691994.4700000016</v>
      </c>
    </row>
    <row r="4" spans="1:15" x14ac:dyDescent="0.45">
      <c r="A4" s="10" t="s">
        <v>35</v>
      </c>
      <c r="B4" s="8">
        <v>6.9156662894628438</v>
      </c>
      <c r="D4" s="10" t="s">
        <v>30</v>
      </c>
      <c r="E4" s="8">
        <v>6.709294454252289</v>
      </c>
      <c r="G4" s="10" t="s">
        <v>29</v>
      </c>
      <c r="H4" s="6">
        <v>45.773213059927201</v>
      </c>
      <c r="J4" s="10" t="s">
        <v>417</v>
      </c>
      <c r="K4" s="6">
        <v>988588.35999999987</v>
      </c>
      <c r="M4" s="10" t="s">
        <v>417</v>
      </c>
      <c r="N4" s="6">
        <v>4749203.459999999</v>
      </c>
    </row>
    <row r="5" spans="1:15" x14ac:dyDescent="0.45">
      <c r="A5" s="10" t="s">
        <v>15</v>
      </c>
      <c r="B5" s="8">
        <v>4.1126933882432883</v>
      </c>
      <c r="D5" s="10" t="s">
        <v>54</v>
      </c>
      <c r="E5" s="8">
        <v>6.6745505475891669</v>
      </c>
      <c r="G5" s="10" t="s">
        <v>17</v>
      </c>
      <c r="H5" s="6">
        <v>46.589137537896647</v>
      </c>
      <c r="J5" s="10" t="s">
        <v>418</v>
      </c>
      <c r="K5" s="6">
        <v>837915.28000000061</v>
      </c>
      <c r="M5" s="10" t="s">
        <v>418</v>
      </c>
      <c r="N5" s="6">
        <v>4407519.3800000027</v>
      </c>
    </row>
    <row r="6" spans="1:15" x14ac:dyDescent="0.45">
      <c r="A6" s="10" t="s">
        <v>393</v>
      </c>
      <c r="B6" s="8">
        <v>6.4502014520848299</v>
      </c>
      <c r="D6" s="10" t="s">
        <v>51</v>
      </c>
      <c r="E6" s="8">
        <v>6.6494787628696841</v>
      </c>
      <c r="G6" s="10" t="s">
        <v>25</v>
      </c>
      <c r="H6" s="6">
        <v>47.559227795446134</v>
      </c>
      <c r="J6" s="10" t="s">
        <v>419</v>
      </c>
      <c r="K6" s="6">
        <v>1032895.8999999997</v>
      </c>
      <c r="M6" s="10" t="s">
        <v>419</v>
      </c>
      <c r="N6" s="6">
        <v>5143463.57</v>
      </c>
    </row>
    <row r="7" spans="1:15" x14ac:dyDescent="0.45">
      <c r="D7" s="10" t="s">
        <v>33</v>
      </c>
      <c r="E7" s="8">
        <v>6.2579332394151619</v>
      </c>
      <c r="G7" s="10" t="s">
        <v>21</v>
      </c>
      <c r="H7" s="6">
        <v>48.038787670727231</v>
      </c>
      <c r="J7" s="10" t="s">
        <v>420</v>
      </c>
      <c r="K7" s="6">
        <v>904564.25999999943</v>
      </c>
      <c r="M7" s="10" t="s">
        <v>420</v>
      </c>
      <c r="N7" s="6">
        <v>3768913.3599999994</v>
      </c>
    </row>
    <row r="8" spans="1:15" x14ac:dyDescent="0.45">
      <c r="A8" s="53" t="s">
        <v>396</v>
      </c>
      <c r="B8" s="53"/>
      <c r="D8" s="10" t="s">
        <v>22</v>
      </c>
      <c r="E8" s="8">
        <v>6.1449927077203714</v>
      </c>
      <c r="G8" s="10" t="s">
        <v>393</v>
      </c>
      <c r="H8" s="6">
        <v>46.608913949095346</v>
      </c>
      <c r="J8" s="10" t="s">
        <v>421</v>
      </c>
      <c r="K8" s="6">
        <v>966952.75999999989</v>
      </c>
      <c r="M8" s="10" t="s">
        <v>421</v>
      </c>
      <c r="N8" s="6">
        <v>4362176.3099999996</v>
      </c>
    </row>
    <row r="9" spans="1:15" x14ac:dyDescent="0.45">
      <c r="A9" s="9" t="s">
        <v>405</v>
      </c>
      <c r="B9" t="s">
        <v>397</v>
      </c>
      <c r="D9" s="10" t="s">
        <v>26</v>
      </c>
      <c r="E9" s="8">
        <v>5.80893920095001</v>
      </c>
      <c r="J9" s="10" t="s">
        <v>422</v>
      </c>
      <c r="K9" s="6">
        <v>797918.1399999999</v>
      </c>
      <c r="M9" s="10" t="s">
        <v>422</v>
      </c>
      <c r="N9" s="6">
        <v>3695093.9700000021</v>
      </c>
    </row>
    <row r="10" spans="1:15" x14ac:dyDescent="0.45">
      <c r="A10" s="10" t="s">
        <v>20</v>
      </c>
      <c r="B10" s="6">
        <v>29.196644163345482</v>
      </c>
      <c r="D10" s="10" t="s">
        <v>393</v>
      </c>
      <c r="E10" s="8">
        <v>6.4502014520848432</v>
      </c>
      <c r="G10" s="52" t="s">
        <v>411</v>
      </c>
      <c r="H10" s="52"/>
      <c r="J10" s="10" t="s">
        <v>423</v>
      </c>
      <c r="K10" s="6">
        <v>819622.04999999958</v>
      </c>
      <c r="M10" s="10" t="s">
        <v>423</v>
      </c>
      <c r="N10" s="6">
        <v>4301659.2600000016</v>
      </c>
    </row>
    <row r="11" spans="1:15" x14ac:dyDescent="0.45">
      <c r="A11" s="10" t="s">
        <v>35</v>
      </c>
      <c r="B11" s="6">
        <v>39.096840400801412</v>
      </c>
      <c r="G11" s="9" t="s">
        <v>409</v>
      </c>
      <c r="H11" t="s">
        <v>401</v>
      </c>
      <c r="J11" s="10" t="s">
        <v>424</v>
      </c>
      <c r="K11" s="6">
        <v>1010523.0399999998</v>
      </c>
      <c r="M11" s="10" t="s">
        <v>424</v>
      </c>
      <c r="N11" s="6">
        <v>4749430.2700000005</v>
      </c>
    </row>
    <row r="12" spans="1:15" x14ac:dyDescent="0.45">
      <c r="A12" s="10" t="s">
        <v>15</v>
      </c>
      <c r="B12" s="6">
        <v>64.064646919946057</v>
      </c>
      <c r="D12" s="52" t="s">
        <v>403</v>
      </c>
      <c r="E12" s="52"/>
      <c r="G12" s="10" t="s">
        <v>29</v>
      </c>
      <c r="H12" s="6">
        <v>11891991.419999992</v>
      </c>
      <c r="J12" s="10" t="s">
        <v>425</v>
      </c>
      <c r="K12" s="6">
        <v>868099.26000000013</v>
      </c>
      <c r="M12" s="10" t="s">
        <v>425</v>
      </c>
      <c r="N12" s="6">
        <v>4670520.6799999978</v>
      </c>
    </row>
    <row r="13" spans="1:15" x14ac:dyDescent="0.45">
      <c r="A13" s="10" t="s">
        <v>393</v>
      </c>
      <c r="B13" s="6">
        <v>46.608913949095374</v>
      </c>
      <c r="D13" s="9" t="s">
        <v>406</v>
      </c>
      <c r="E13" t="s">
        <v>404</v>
      </c>
      <c r="G13" s="10" t="s">
        <v>21</v>
      </c>
      <c r="H13" s="6">
        <v>11549934.429999994</v>
      </c>
      <c r="J13" s="10" t="s">
        <v>426</v>
      </c>
      <c r="K13" s="6">
        <v>882564.99000000022</v>
      </c>
      <c r="M13" s="10" t="s">
        <v>426</v>
      </c>
      <c r="N13" s="6">
        <v>4484002.7500000028</v>
      </c>
    </row>
    <row r="14" spans="1:15" x14ac:dyDescent="0.45">
      <c r="D14" s="10" t="s">
        <v>18</v>
      </c>
      <c r="E14" s="4">
        <v>3.9463269029112277E-2</v>
      </c>
      <c r="G14" s="10" t="s">
        <v>25</v>
      </c>
      <c r="H14" s="6">
        <v>10930814.039999999</v>
      </c>
      <c r="J14" s="10" t="s">
        <v>427</v>
      </c>
      <c r="K14" s="6">
        <v>1097369.9899999995</v>
      </c>
      <c r="M14" s="10" t="s">
        <v>427</v>
      </c>
      <c r="N14" s="6">
        <v>5159353.3300000019</v>
      </c>
    </row>
    <row r="15" spans="1:15" x14ac:dyDescent="0.45">
      <c r="A15" s="52" t="s">
        <v>399</v>
      </c>
      <c r="B15" s="52"/>
      <c r="D15" s="10" t="s">
        <v>30</v>
      </c>
      <c r="E15" s="4">
        <v>3.8904771628548607E-2</v>
      </c>
      <c r="G15" s="10" t="s">
        <v>17</v>
      </c>
      <c r="H15" s="6">
        <v>10173311.229999997</v>
      </c>
      <c r="J15" s="10" t="s">
        <v>393</v>
      </c>
      <c r="K15" s="6">
        <v>11108749.09</v>
      </c>
      <c r="M15" s="10" t="s">
        <v>393</v>
      </c>
      <c r="N15" s="6">
        <v>54183330.810000002</v>
      </c>
    </row>
    <row r="16" spans="1:15" x14ac:dyDescent="0.45">
      <c r="A16" s="9" t="s">
        <v>405</v>
      </c>
      <c r="B16" t="s">
        <v>398</v>
      </c>
      <c r="D16" s="10" t="s">
        <v>26</v>
      </c>
      <c r="E16" s="4">
        <v>3.8724239627908948E-2</v>
      </c>
      <c r="G16" s="10" t="s">
        <v>41</v>
      </c>
      <c r="H16" s="6">
        <v>9637279.6899999995</v>
      </c>
    </row>
    <row r="17" spans="1:15" x14ac:dyDescent="0.45">
      <c r="A17" s="10" t="s">
        <v>15</v>
      </c>
      <c r="B17" s="6">
        <v>6349268.910000002</v>
      </c>
      <c r="D17" s="10" t="s">
        <v>51</v>
      </c>
      <c r="E17" s="4">
        <v>3.8690794334369054E-2</v>
      </c>
      <c r="G17" s="10" t="s">
        <v>393</v>
      </c>
      <c r="H17" s="6">
        <v>54183330.80999998</v>
      </c>
      <c r="J17" s="52" t="s">
        <v>428</v>
      </c>
      <c r="K17" s="52"/>
      <c r="M17" s="52" t="s">
        <v>430</v>
      </c>
      <c r="N17" s="52"/>
      <c r="O17" s="52"/>
    </row>
    <row r="18" spans="1:15" x14ac:dyDescent="0.45">
      <c r="A18" s="10" t="s">
        <v>20</v>
      </c>
      <c r="B18" s="6">
        <v>2653418.5099999993</v>
      </c>
      <c r="D18" s="10" t="s">
        <v>54</v>
      </c>
      <c r="E18" s="4">
        <v>3.8665768952796865E-2</v>
      </c>
      <c r="J18" s="9" t="s">
        <v>431</v>
      </c>
      <c r="K18" t="s">
        <v>394</v>
      </c>
      <c r="M18" s="9" t="s">
        <v>1</v>
      </c>
      <c r="N18" s="9" t="s">
        <v>4</v>
      </c>
      <c r="O18" t="s">
        <v>394</v>
      </c>
    </row>
    <row r="19" spans="1:15" x14ac:dyDescent="0.45">
      <c r="A19" s="10" t="s">
        <v>35</v>
      </c>
      <c r="B19" s="6">
        <v>2106061.6699999971</v>
      </c>
      <c r="D19" s="10" t="s">
        <v>33</v>
      </c>
      <c r="E19" s="4">
        <v>3.7704694472316551E-2</v>
      </c>
      <c r="G19" s="52" t="s">
        <v>412</v>
      </c>
      <c r="H19" s="52"/>
      <c r="J19" s="10" t="s">
        <v>416</v>
      </c>
      <c r="K19" s="8">
        <v>6.3190425926666469</v>
      </c>
      <c r="M19" t="s">
        <v>15</v>
      </c>
      <c r="N19" t="s">
        <v>54</v>
      </c>
      <c r="O19" s="8">
        <v>3.9360378326360652</v>
      </c>
    </row>
    <row r="20" spans="1:15" x14ac:dyDescent="0.45">
      <c r="A20" s="10" t="s">
        <v>393</v>
      </c>
      <c r="B20" s="6">
        <v>11108749.089999998</v>
      </c>
      <c r="D20" s="10" t="s">
        <v>22</v>
      </c>
      <c r="E20" s="4">
        <v>3.6846154184704404E-2</v>
      </c>
      <c r="G20" s="9" t="s">
        <v>413</v>
      </c>
      <c r="H20" t="s">
        <v>394</v>
      </c>
      <c r="J20" s="10" t="s">
        <v>417</v>
      </c>
      <c r="K20" s="8">
        <v>6.140928822505848</v>
      </c>
      <c r="N20" t="s">
        <v>33</v>
      </c>
      <c r="O20" s="8">
        <v>3.590727532607195</v>
      </c>
    </row>
    <row r="21" spans="1:15" x14ac:dyDescent="0.45">
      <c r="D21" s="10" t="s">
        <v>393</v>
      </c>
      <c r="E21" s="4">
        <v>3.8417416999451177E-2</v>
      </c>
      <c r="G21" s="10" t="s">
        <v>16</v>
      </c>
      <c r="H21" s="8">
        <v>7.0000954611132817</v>
      </c>
      <c r="J21" s="10" t="s">
        <v>418</v>
      </c>
      <c r="K21" s="8">
        <v>6.1583516322691239</v>
      </c>
      <c r="N21" t="s">
        <v>30</v>
      </c>
      <c r="O21" s="8">
        <v>3.8402687862455549</v>
      </c>
    </row>
    <row r="22" spans="1:15" x14ac:dyDescent="0.45">
      <c r="A22" s="52" t="s">
        <v>400</v>
      </c>
      <c r="B22" s="52"/>
      <c r="G22" s="10" t="s">
        <v>38</v>
      </c>
      <c r="H22" s="8">
        <v>6.4485482347538206</v>
      </c>
      <c r="J22" s="10" t="s">
        <v>419</v>
      </c>
      <c r="K22" s="8">
        <v>6.8190440022637171</v>
      </c>
      <c r="N22" t="s">
        <v>51</v>
      </c>
      <c r="O22" s="8">
        <v>4.0169652197590953</v>
      </c>
    </row>
    <row r="23" spans="1:15" x14ac:dyDescent="0.45">
      <c r="A23" s="9" t="s">
        <v>406</v>
      </c>
      <c r="B23" t="s">
        <v>401</v>
      </c>
      <c r="D23" s="52" t="s">
        <v>407</v>
      </c>
      <c r="E23" s="52"/>
      <c r="G23" s="10" t="s">
        <v>24</v>
      </c>
      <c r="H23" s="8">
        <v>6.3397923755123786</v>
      </c>
      <c r="J23" s="10" t="s">
        <v>420</v>
      </c>
      <c r="K23" s="8">
        <v>6.169270826116577</v>
      </c>
      <c r="N23" t="s">
        <v>18</v>
      </c>
      <c r="O23" s="8">
        <v>4.7678782823042587</v>
      </c>
    </row>
    <row r="24" spans="1:15" x14ac:dyDescent="0.45">
      <c r="A24" s="10" t="s">
        <v>18</v>
      </c>
      <c r="B24" s="6">
        <v>7939594.4099999974</v>
      </c>
      <c r="D24" s="9" t="s">
        <v>409</v>
      </c>
      <c r="E24" t="s">
        <v>408</v>
      </c>
      <c r="G24" s="10" t="s">
        <v>28</v>
      </c>
      <c r="H24" s="8">
        <v>5.9775872415467752</v>
      </c>
      <c r="J24" s="10" t="s">
        <v>421</v>
      </c>
      <c r="K24" s="8">
        <v>5.7784111688708064</v>
      </c>
      <c r="N24" t="s">
        <v>22</v>
      </c>
      <c r="O24" s="8">
        <v>4.5080523752187354</v>
      </c>
    </row>
    <row r="25" spans="1:15" x14ac:dyDescent="0.45">
      <c r="A25" s="10" t="s">
        <v>54</v>
      </c>
      <c r="B25" s="6">
        <v>7921847.8399999971</v>
      </c>
      <c r="D25" s="10" t="s">
        <v>29</v>
      </c>
      <c r="E25">
        <v>71261</v>
      </c>
      <c r="G25" s="10" t="s">
        <v>393</v>
      </c>
      <c r="H25" s="8">
        <v>6.4502014520848352</v>
      </c>
      <c r="J25" s="10" t="s">
        <v>422</v>
      </c>
      <c r="K25" s="8">
        <v>6.1631089926560323</v>
      </c>
      <c r="N25" t="s">
        <v>26</v>
      </c>
      <c r="O25" s="8">
        <v>4.0101332769445239</v>
      </c>
    </row>
    <row r="26" spans="1:15" x14ac:dyDescent="0.45">
      <c r="A26" s="10" t="s">
        <v>51</v>
      </c>
      <c r="B26" s="6">
        <v>7909606.2600000007</v>
      </c>
      <c r="D26" s="10" t="s">
        <v>21</v>
      </c>
      <c r="E26">
        <v>67257</v>
      </c>
      <c r="J26" s="10" t="s">
        <v>423</v>
      </c>
      <c r="K26" s="8">
        <v>6.7201477021232181</v>
      </c>
      <c r="M26" t="s">
        <v>432</v>
      </c>
      <c r="O26" s="8">
        <v>4.1126933882432812</v>
      </c>
    </row>
    <row r="27" spans="1:15" x14ac:dyDescent="0.45">
      <c r="A27" s="10" t="s">
        <v>33</v>
      </c>
      <c r="B27" s="6">
        <v>7867323.1200000001</v>
      </c>
      <c r="D27" s="10" t="s">
        <v>25</v>
      </c>
      <c r="E27">
        <v>65687</v>
      </c>
      <c r="G27" s="52" t="s">
        <v>414</v>
      </c>
      <c r="H27" s="52"/>
      <c r="J27" s="10" t="s">
        <v>424</v>
      </c>
      <c r="K27" s="8">
        <v>6.1642258941114294</v>
      </c>
      <c r="M27" t="s">
        <v>35</v>
      </c>
      <c r="N27" t="s">
        <v>54</v>
      </c>
      <c r="O27" s="8">
        <v>8.0039335280070478</v>
      </c>
    </row>
    <row r="28" spans="1:15" x14ac:dyDescent="0.45">
      <c r="A28" s="10" t="s">
        <v>30</v>
      </c>
      <c r="B28" s="6">
        <v>7694838.6100000031</v>
      </c>
      <c r="D28" s="10" t="s">
        <v>17</v>
      </c>
      <c r="E28">
        <v>65121</v>
      </c>
      <c r="G28" s="9" t="s">
        <v>413</v>
      </c>
      <c r="H28" t="s">
        <v>404</v>
      </c>
      <c r="J28" s="10" t="s">
        <v>425</v>
      </c>
      <c r="K28" s="8">
        <v>7.0987030950078864</v>
      </c>
      <c r="N28" t="s">
        <v>33</v>
      </c>
      <c r="O28" s="8">
        <v>6.1649924683577879</v>
      </c>
    </row>
    <row r="29" spans="1:15" x14ac:dyDescent="0.45">
      <c r="A29" s="10" t="s">
        <v>22</v>
      </c>
      <c r="B29" s="6">
        <v>7659544.2900000019</v>
      </c>
      <c r="D29" s="10" t="s">
        <v>41</v>
      </c>
      <c r="E29">
        <v>57486</v>
      </c>
      <c r="G29" s="10" t="s">
        <v>16</v>
      </c>
      <c r="H29" s="4">
        <v>3.9415661415767834E-2</v>
      </c>
      <c r="J29" s="10" t="s">
        <v>426</v>
      </c>
      <c r="K29" s="8">
        <v>6.6932357839952505</v>
      </c>
      <c r="N29" t="s">
        <v>30</v>
      </c>
      <c r="O29" s="8">
        <v>7.4694315148084094</v>
      </c>
    </row>
    <row r="30" spans="1:15" x14ac:dyDescent="0.45">
      <c r="A30" s="10" t="s">
        <v>26</v>
      </c>
      <c r="B30" s="6">
        <v>7190576.2799999984</v>
      </c>
      <c r="D30" s="10" t="s">
        <v>393</v>
      </c>
      <c r="E30">
        <v>326812</v>
      </c>
      <c r="G30" s="10" t="s">
        <v>28</v>
      </c>
      <c r="H30" s="4">
        <v>3.84792288665411E-2</v>
      </c>
      <c r="J30" s="10" t="s">
        <v>427</v>
      </c>
      <c r="K30" s="8">
        <v>7.1726687940335641</v>
      </c>
      <c r="N30" t="s">
        <v>51</v>
      </c>
      <c r="O30" s="8">
        <v>6.6746080886973473</v>
      </c>
    </row>
    <row r="31" spans="1:15" x14ac:dyDescent="0.45">
      <c r="A31" s="10" t="s">
        <v>393</v>
      </c>
      <c r="B31" s="6">
        <v>54183330.810000002</v>
      </c>
      <c r="G31" s="10" t="s">
        <v>38</v>
      </c>
      <c r="H31" s="4">
        <v>3.8082171355016153E-2</v>
      </c>
      <c r="J31" s="10" t="s">
        <v>393</v>
      </c>
      <c r="K31" s="8">
        <v>6.4502014520848325</v>
      </c>
      <c r="N31" t="s">
        <v>18</v>
      </c>
      <c r="O31" s="8">
        <v>8.7771084518220768</v>
      </c>
    </row>
    <row r="32" spans="1:15" x14ac:dyDescent="0.45">
      <c r="G32" s="10" t="s">
        <v>24</v>
      </c>
      <c r="H32" s="4">
        <v>3.7621387787807471E-2</v>
      </c>
      <c r="N32" t="s">
        <v>22</v>
      </c>
      <c r="O32" s="8">
        <v>5.8917512995900303</v>
      </c>
    </row>
    <row r="33" spans="7:15" x14ac:dyDescent="0.45">
      <c r="G33" s="10" t="s">
        <v>393</v>
      </c>
      <c r="H33" s="4">
        <v>3.8417416999451164E-2</v>
      </c>
      <c r="N33" t="s">
        <v>26</v>
      </c>
      <c r="O33" s="8">
        <v>6.1374940853207018</v>
      </c>
    </row>
    <row r="34" spans="7:15" x14ac:dyDescent="0.45">
      <c r="M34" t="s">
        <v>433</v>
      </c>
      <c r="O34" s="8">
        <v>6.9156662894628385</v>
      </c>
    </row>
    <row r="35" spans="7:15" x14ac:dyDescent="0.45">
      <c r="M35" t="s">
        <v>20</v>
      </c>
      <c r="N35" t="s">
        <v>54</v>
      </c>
      <c r="O35" s="8">
        <v>10.014413621939092</v>
      </c>
    </row>
    <row r="36" spans="7:15" x14ac:dyDescent="0.45">
      <c r="N36" t="s">
        <v>33</v>
      </c>
      <c r="O36" s="8">
        <v>10.1858226127931</v>
      </c>
    </row>
    <row r="37" spans="7:15" x14ac:dyDescent="0.45">
      <c r="N37" t="s">
        <v>30</v>
      </c>
      <c r="O37" s="8">
        <v>9.7356829923945245</v>
      </c>
    </row>
    <row r="38" spans="7:15" x14ac:dyDescent="0.45">
      <c r="N38" t="s">
        <v>51</v>
      </c>
      <c r="O38" s="8">
        <v>9.9453312647111769</v>
      </c>
    </row>
    <row r="39" spans="7:15" x14ac:dyDescent="0.45">
      <c r="N39" t="s">
        <v>18</v>
      </c>
      <c r="O39" s="8">
        <v>9.0522120137424515</v>
      </c>
    </row>
    <row r="40" spans="7:15" x14ac:dyDescent="0.45">
      <c r="N40" t="s">
        <v>22</v>
      </c>
      <c r="O40" s="8">
        <v>9.1963580246177052</v>
      </c>
    </row>
    <row r="41" spans="7:15" x14ac:dyDescent="0.45">
      <c r="N41" t="s">
        <v>26</v>
      </c>
      <c r="O41" s="8">
        <v>8.4392381927419038</v>
      </c>
    </row>
    <row r="42" spans="7:15" x14ac:dyDescent="0.45">
      <c r="M42" t="s">
        <v>434</v>
      </c>
      <c r="O42" s="8">
        <v>9.5385635819020695</v>
      </c>
    </row>
    <row r="43" spans="7:15" x14ac:dyDescent="0.45">
      <c r="M43" t="s">
        <v>393</v>
      </c>
      <c r="O43" s="8">
        <v>6.4502014520848352</v>
      </c>
    </row>
    <row r="199" spans="2:6" x14ac:dyDescent="0.45">
      <c r="B199" s="54" t="s">
        <v>442</v>
      </c>
      <c r="C199" s="54"/>
      <c r="D199" s="54"/>
      <c r="E199" s="54"/>
      <c r="F199" s="54"/>
    </row>
    <row r="200" spans="2:6" x14ac:dyDescent="0.45">
      <c r="B200" t="s">
        <v>398</v>
      </c>
      <c r="C200" t="s">
        <v>401</v>
      </c>
      <c r="D200" t="s">
        <v>408</v>
      </c>
      <c r="E200" t="s">
        <v>443</v>
      </c>
      <c r="F200" t="s">
        <v>444</v>
      </c>
    </row>
    <row r="201" spans="2:6" x14ac:dyDescent="0.45">
      <c r="B201">
        <v>11108749.090000002</v>
      </c>
      <c r="C201">
        <v>54183330.810000017</v>
      </c>
      <c r="D201">
        <v>326812</v>
      </c>
      <c r="E201">
        <v>185254234</v>
      </c>
      <c r="F201">
        <v>7132816</v>
      </c>
    </row>
  </sheetData>
  <mergeCells count="16">
    <mergeCell ref="B199:F199"/>
    <mergeCell ref="D23:E23"/>
    <mergeCell ref="G1:H1"/>
    <mergeCell ref="G10:H10"/>
    <mergeCell ref="G19:H19"/>
    <mergeCell ref="G27:H27"/>
    <mergeCell ref="A22:B22"/>
    <mergeCell ref="D1:E1"/>
    <mergeCell ref="D12:E12"/>
    <mergeCell ref="M1:N1"/>
    <mergeCell ref="M17:O17"/>
    <mergeCell ref="J1:K1"/>
    <mergeCell ref="J17:K17"/>
    <mergeCell ref="A1:B1"/>
    <mergeCell ref="A8:B8"/>
    <mergeCell ref="A15:B15"/>
  </mergeCells>
  <pageMargins left="0.7" right="0.7" top="0.75" bottom="0.75" header="0.3" footer="0.3"/>
  <pageSetup orientation="portrait"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1B56E-024A-4449-B71D-E9B48970D86B}">
  <dimension ref="B1:V10"/>
  <sheetViews>
    <sheetView showGridLines="0" zoomScale="69" workbookViewId="0">
      <selection activeCell="Y28" sqref="Y28"/>
    </sheetView>
  </sheetViews>
  <sheetFormatPr defaultRowHeight="14.25" x14ac:dyDescent="0.45"/>
  <cols>
    <col min="1" max="1" width="26.6640625" style="14" customWidth="1"/>
    <col min="2" max="3" width="9.06640625" style="14"/>
    <col min="4" max="4" width="8.33203125" style="14" customWidth="1"/>
    <col min="5" max="5" width="2.1328125" style="14" customWidth="1"/>
    <col min="6" max="8" width="9.06640625" style="14"/>
    <col min="9" max="9" width="2.3984375" style="14" customWidth="1"/>
    <col min="10" max="12" width="9.06640625" style="14"/>
    <col min="13" max="13" width="2.33203125" style="14" customWidth="1"/>
    <col min="14" max="16" width="9.06640625" style="14"/>
    <col min="17" max="17" width="2.6640625" style="14" customWidth="1"/>
    <col min="18" max="16384" width="9.06640625" style="14"/>
  </cols>
  <sheetData>
    <row r="1" spans="2:22" ht="34.5" customHeight="1" x14ac:dyDescent="0.45">
      <c r="B1" s="18" t="s">
        <v>435</v>
      </c>
      <c r="C1" s="18"/>
      <c r="D1" s="18"/>
      <c r="E1" s="18"/>
      <c r="F1" s="18"/>
      <c r="G1" s="18"/>
      <c r="H1" s="18"/>
      <c r="I1" s="18"/>
      <c r="J1" s="18"/>
      <c r="K1" s="18"/>
      <c r="L1" s="18"/>
      <c r="M1" s="18"/>
      <c r="N1" s="18"/>
      <c r="O1" s="18"/>
      <c r="P1" s="18"/>
      <c r="Q1" s="18"/>
      <c r="R1" s="18"/>
      <c r="S1" s="18"/>
      <c r="T1" s="18"/>
    </row>
    <row r="2" spans="2:22" x14ac:dyDescent="0.45">
      <c r="B2" s="18"/>
      <c r="C2" s="18"/>
      <c r="D2" s="18"/>
      <c r="E2" s="18"/>
      <c r="F2" s="18"/>
      <c r="G2" s="18"/>
      <c r="H2" s="18"/>
      <c r="I2" s="18"/>
      <c r="J2" s="18"/>
      <c r="K2" s="18"/>
      <c r="L2" s="18"/>
      <c r="M2" s="18"/>
      <c r="N2" s="18"/>
      <c r="O2" s="18"/>
      <c r="P2" s="18"/>
      <c r="Q2" s="18"/>
      <c r="R2" s="18"/>
      <c r="S2" s="18"/>
      <c r="T2" s="18"/>
    </row>
    <row r="4" spans="2:22" ht="18" x14ac:dyDescent="0.55000000000000004">
      <c r="B4" s="19" t="s">
        <v>436</v>
      </c>
      <c r="C4" s="20"/>
      <c r="D4" s="21"/>
      <c r="E4" s="15"/>
      <c r="F4" s="19" t="s">
        <v>437</v>
      </c>
      <c r="G4" s="20"/>
      <c r="H4" s="21"/>
      <c r="I4" s="15"/>
      <c r="J4" s="19" t="s">
        <v>438</v>
      </c>
      <c r="K4" s="20"/>
      <c r="L4" s="21"/>
      <c r="M4" s="15"/>
      <c r="N4" s="19" t="s">
        <v>439</v>
      </c>
      <c r="O4" s="20"/>
      <c r="P4" s="21"/>
      <c r="Q4" s="15"/>
      <c r="R4" s="19" t="s">
        <v>440</v>
      </c>
      <c r="S4" s="20"/>
      <c r="T4" s="21"/>
      <c r="U4" s="16"/>
    </row>
    <row r="5" spans="2:22" ht="14.25" customHeight="1" x14ac:dyDescent="0.45">
      <c r="B5" s="22">
        <f>GETPIVOTDATA("Sum of ad_spend",Pivot_Analysis!$B$200)</f>
        <v>11108749.090000002</v>
      </c>
      <c r="C5" s="23"/>
      <c r="D5" s="24"/>
      <c r="E5" s="17"/>
      <c r="F5" s="28">
        <f>GETPIVOTDATA("Sum of revenue",Pivot_Analysis!$B$200)</f>
        <v>54183330.810000017</v>
      </c>
      <c r="G5" s="29"/>
      <c r="H5" s="30"/>
      <c r="I5" s="17"/>
      <c r="J5" s="34">
        <f>GETPIVOTDATA("Sum of revenue",Pivot_Analysis!$B$200) / GETPIVOTDATA("Sum of ad_spend",Pivot_Analysis!$B$200)</f>
        <v>4.8775366489081451</v>
      </c>
      <c r="K5" s="35"/>
      <c r="L5" s="36"/>
      <c r="M5" s="17"/>
      <c r="N5" s="40">
        <f>GETPIVOTDATA("Sum of conversions",Pivot_Analysis!$B$200)</f>
        <v>326812</v>
      </c>
      <c r="O5" s="41"/>
      <c r="P5" s="42"/>
      <c r="Q5" s="17"/>
      <c r="R5" s="46">
        <f>GETPIVOTDATA("Sum of clicks",Pivot_Analysis!$B$200)/GETPIVOTDATA("Sum of impressions",Pivot_Analysis!$B$200)</f>
        <v>3.8502850088705666E-2</v>
      </c>
      <c r="S5" s="47"/>
      <c r="T5" s="48"/>
    </row>
    <row r="6" spans="2:22" ht="14.25" customHeight="1" x14ac:dyDescent="0.45">
      <c r="B6" s="22"/>
      <c r="C6" s="23"/>
      <c r="D6" s="24"/>
      <c r="E6" s="17"/>
      <c r="F6" s="28"/>
      <c r="G6" s="29"/>
      <c r="H6" s="30"/>
      <c r="I6" s="17"/>
      <c r="J6" s="34"/>
      <c r="K6" s="35"/>
      <c r="L6" s="36"/>
      <c r="M6" s="17"/>
      <c r="N6" s="40"/>
      <c r="O6" s="41"/>
      <c r="P6" s="42"/>
      <c r="Q6" s="17"/>
      <c r="R6" s="46"/>
      <c r="S6" s="47"/>
      <c r="T6" s="48"/>
    </row>
    <row r="7" spans="2:22" ht="14.25" customHeight="1" x14ac:dyDescent="0.45">
      <c r="B7" s="22"/>
      <c r="C7" s="23"/>
      <c r="D7" s="24"/>
      <c r="E7" s="17"/>
      <c r="F7" s="28"/>
      <c r="G7" s="29"/>
      <c r="H7" s="30"/>
      <c r="I7" s="17"/>
      <c r="J7" s="34"/>
      <c r="K7" s="35"/>
      <c r="L7" s="36"/>
      <c r="M7" s="17"/>
      <c r="N7" s="40"/>
      <c r="O7" s="41"/>
      <c r="P7" s="42"/>
      <c r="Q7" s="17"/>
      <c r="R7" s="46"/>
      <c r="S7" s="47"/>
      <c r="T7" s="48"/>
    </row>
    <row r="8" spans="2:22" ht="14.25" customHeight="1" x14ac:dyDescent="0.45">
      <c r="B8" s="25"/>
      <c r="C8" s="26"/>
      <c r="D8" s="27"/>
      <c r="E8" s="17"/>
      <c r="F8" s="31"/>
      <c r="G8" s="32"/>
      <c r="H8" s="33"/>
      <c r="I8" s="17"/>
      <c r="J8" s="37"/>
      <c r="K8" s="38"/>
      <c r="L8" s="39"/>
      <c r="M8" s="17"/>
      <c r="N8" s="43"/>
      <c r="O8" s="44"/>
      <c r="P8" s="45"/>
      <c r="Q8" s="17"/>
      <c r="R8" s="49"/>
      <c r="S8" s="50"/>
      <c r="T8" s="51"/>
    </row>
    <row r="10" spans="2:22" x14ac:dyDescent="0.45">
      <c r="V10" s="14" t="s">
        <v>441</v>
      </c>
    </row>
  </sheetData>
  <mergeCells count="11">
    <mergeCell ref="B5:D8"/>
    <mergeCell ref="F5:H8"/>
    <mergeCell ref="J5:L8"/>
    <mergeCell ref="N5:P8"/>
    <mergeCell ref="R5:T8"/>
    <mergeCell ref="B1:T2"/>
    <mergeCell ref="B4:D4"/>
    <mergeCell ref="F4:H4"/>
    <mergeCell ref="J4:L4"/>
    <mergeCell ref="N4:P4"/>
    <mergeCell ref="R4:T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127A9-E30B-4A3E-93A4-7D2E57258837}">
  <dimension ref="B1:N2"/>
  <sheetViews>
    <sheetView showGridLines="0" tabSelected="1" workbookViewId="0">
      <selection activeCell="M11" sqref="M11"/>
    </sheetView>
  </sheetViews>
  <sheetFormatPr defaultRowHeight="14.25" x14ac:dyDescent="0.45"/>
  <cols>
    <col min="1" max="16384" width="9.06640625" style="14"/>
  </cols>
  <sheetData>
    <row r="1" spans="2:14" x14ac:dyDescent="0.45">
      <c r="B1" s="55" t="s">
        <v>445</v>
      </c>
      <c r="C1" s="55"/>
      <c r="D1" s="55"/>
      <c r="E1" s="55"/>
      <c r="F1" s="55"/>
      <c r="G1" s="55"/>
      <c r="H1" s="55"/>
      <c r="I1" s="55"/>
      <c r="J1" s="55"/>
      <c r="K1" s="55"/>
      <c r="L1" s="55"/>
      <c r="M1" s="55"/>
      <c r="N1" s="55"/>
    </row>
    <row r="2" spans="2:14" x14ac:dyDescent="0.45">
      <c r="B2" s="55"/>
      <c r="C2" s="55"/>
      <c r="D2" s="55"/>
      <c r="E2" s="55"/>
      <c r="F2" s="55"/>
      <c r="G2" s="55"/>
      <c r="H2" s="55"/>
      <c r="I2" s="55"/>
      <c r="J2" s="55"/>
      <c r="K2" s="55"/>
      <c r="L2" s="55"/>
      <c r="M2" s="55"/>
      <c r="N2" s="55"/>
    </row>
  </sheetData>
  <mergeCells count="1">
    <mergeCell ref="B1: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 </vt:lpstr>
      <vt:lpstr>Cleaned_Data</vt:lpstr>
      <vt:lpstr>Pivot_Analysis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Vidhi Nagora</cp:lastModifiedBy>
  <dcterms:created xsi:type="dcterms:W3CDTF">2026-09-16T06:23:14Z</dcterms:created>
  <dcterms:modified xsi:type="dcterms:W3CDTF">2026-09-19T10:14:34Z</dcterms:modified>
</cp:coreProperties>
</file>